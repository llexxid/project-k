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\Desktop\"/>
    </mc:Choice>
  </mc:AlternateContent>
  <xr:revisionPtr revIDLastSave="0" documentId="13_ncr:1_{F395DF74-1D53-4A16-9CD1-D74DDF474E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0_개요" sheetId="1" r:id="rId1"/>
    <sheet name="01_연계맵" sheetId="2" r:id="rId2"/>
    <sheet name="02_가이드" sheetId="3" r:id="rId3"/>
    <sheet name="03_퀘스트" sheetId="4" r:id="rId4"/>
    <sheet name="04_업적" sheetId="5" r:id="rId5"/>
    <sheet name="05_보상그룹" sheetId="6" r:id="rId6"/>
    <sheet name="06_목표타입" sheetId="7" r:id="rId7"/>
  </sheets>
  <definedNames>
    <definedName name="_xlnm._FilterDatabase" localSheetId="2" hidden="1">'02_가이드'!$A$4:$L$34</definedName>
    <definedName name="_xlnm._FilterDatabase" localSheetId="3" hidden="1">'03_퀘스트'!$A$4:$J$21</definedName>
    <definedName name="_xlnm._FilterDatabase" localSheetId="4" hidden="1">'04_업적'!$A$4:$K$63</definedName>
    <definedName name="_xlnm._FilterDatabase" localSheetId="5" hidden="1">'05_보상그룹'!$A$4:$G$26</definedName>
    <definedName name="_xlnm._FilterDatabase" localSheetId="6" hidden="1">'06_목표타입'!$A$4:$G$32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6" i="1" l="1"/>
  <c r="B55" i="1"/>
  <c r="B54" i="1"/>
  <c r="B53" i="1"/>
  <c r="B52" i="1"/>
  <c r="B51" i="1"/>
</calcChain>
</file>

<file path=xl/sharedStrings.xml><?xml version="1.0" encoding="utf-8"?>
<sst xmlns="http://schemas.openxmlformats.org/spreadsheetml/2006/main" count="1117" uniqueCount="525">
  <si>
    <t>가이드 · 퀘스트 · 업적 카탈로그</t>
  </si>
  <si>
    <t>v2 · 2026-08-28 · 기준: 기획서 v2.1 / 빌드 unity-AI-integration</t>
  </si>
  <si>
    <t>1. 3계층</t>
  </si>
  <si>
    <t>계층</t>
  </si>
  <si>
    <t>Category</t>
  </si>
  <si>
    <t>주기</t>
  </si>
  <si>
    <t>건수</t>
  </si>
  <si>
    <t>노출</t>
  </si>
  <si>
    <t>가이드</t>
  </si>
  <si>
    <t>Guide (0)</t>
  </si>
  <si>
    <t>1회 · 순차</t>
  </si>
  <si>
    <t>메인 HUD + Panel_Guide</t>
  </si>
  <si>
    <t>일일</t>
  </si>
  <si>
    <t>Daily (1)</t>
  </si>
  <si>
    <t>KST 00:00</t>
  </si>
  <si>
    <t>퀘스트 패널</t>
  </si>
  <si>
    <t>주간</t>
  </si>
  <si>
    <t>Weekly (2)</t>
  </si>
  <si>
    <t>월 00:00</t>
  </si>
  <si>
    <t>업적</t>
  </si>
  <si>
    <t>Achievement (3)</t>
  </si>
  <si>
    <t>영구 누적</t>
  </si>
  <si>
    <t>Panel_Achievements (미구현)</t>
  </si>
  <si>
    <t>2. ID 대역</t>
  </si>
  <si>
    <t>구분</t>
  </si>
  <si>
    <t>대역</t>
  </si>
  <si>
    <t>규칙</t>
  </si>
  <si>
    <t>10001~10030</t>
  </si>
  <si>
    <t>순번 +1. NextQuestId 체인</t>
  </si>
  <si>
    <t>20001~20010</t>
  </si>
  <si>
    <t>순번 +1</t>
  </si>
  <si>
    <t>30001~30007</t>
  </si>
  <si>
    <t>4 CC TT</t>
  </si>
  <si>
    <t>CC=계열(01~13), TT=단계</t>
  </si>
  <si>
    <t>보상 그룹</t>
  </si>
  <si>
    <t>1xxx/2xxx/3xxx/4xxx</t>
  </si>
  <si>
    <t>가이드/일일/주간/업적</t>
  </si>
  <si>
    <t>3. TargetId 규칙  ※ 0 = 대상 무제한 (QuestObjectMatcher)</t>
  </si>
  <si>
    <t>대상</t>
  </si>
  <si>
    <t>값</t>
  </si>
  <si>
    <t>근거 enum</t>
  </si>
  <si>
    <t>스테이지</t>
  </si>
  <si>
    <t>eStage long 값 그대로</t>
  </si>
  <si>
    <t>StageEnum.cs</t>
  </si>
  <si>
    <t>뽑기 종류</t>
  </si>
  <si>
    <t>1=장비 2=마탑 3=신 스킬</t>
  </si>
  <si>
    <t>eGachaType + 1</t>
  </si>
  <si>
    <t>강화 트랙</t>
  </si>
  <si>
    <t>1=ATK 2=HP 3=치확 4=치뎀 5=EXP</t>
  </si>
  <si>
    <t>EnhanceType + 1</t>
  </si>
  <si>
    <t>장비 레어도</t>
  </si>
  <si>
    <t>1=노말 2=레어 3=에픽</t>
  </si>
  <si>
    <t>eEquipmentRarity + 1</t>
  </si>
  <si>
    <t>전직 차수</t>
  </si>
  <si>
    <t>1=1차 2=2차</t>
  </si>
  <si>
    <t>직접 정의</t>
  </si>
  <si>
    <t>신 스킬 등급</t>
  </si>
  <si>
    <t>1=영웅 2=전설 3=신화</t>
  </si>
  <si>
    <t>eDivineGrade + 1</t>
  </si>
  <si>
    <t>4. 구현 상태</t>
  </si>
  <si>
    <t>항목</t>
  </si>
  <si>
    <t>상태</t>
  </si>
  <si>
    <t>메모</t>
  </si>
  <si>
    <t>퀘스트 골격</t>
  </si>
  <si>
    <t>완료</t>
  </si>
  <si>
    <t>QuestDefinition / QuestManager / QuestDatabaseSO</t>
  </si>
  <si>
    <t>이벤트 발행</t>
  </si>
  <si>
    <t>부분</t>
  </si>
  <si>
    <t>StageCleared · MonsterKilled 2종만 구독</t>
  </si>
  <si>
    <t>누적 진행도</t>
  </si>
  <si>
    <t>미배선</t>
  </si>
  <si>
    <t>GetLifetimeValue() 0 고정 → 업적 29개 대기</t>
  </si>
  <si>
    <t>보상 지급</t>
  </si>
  <si>
    <t>ClaimQuestReward 에 TODO 만 존재</t>
  </si>
  <si>
    <t>일일/주간 리셋</t>
  </si>
  <si>
    <t>IsRepeatable 플래그만 존재</t>
  </si>
  <si>
    <t>업적 UI</t>
  </si>
  <si>
    <t>UIPanelId.Achievements(22) 자리만 예약</t>
  </si>
  <si>
    <t>가이드 UI</t>
  </si>
  <si>
    <t>GuideQuestUI / TutorialManager 이원화</t>
  </si>
  <si>
    <t>1~2장만 존재 → 3장 이상 [대기]</t>
  </si>
  <si>
    <t>장비</t>
  </si>
  <si>
    <t>무기 1슬롯 · 레어도 3단계</t>
  </si>
  <si>
    <t>파티 조합</t>
  </si>
  <si>
    <t>코드 없음 (기획서 4.5)</t>
  </si>
  <si>
    <t>재화</t>
  </si>
  <si>
    <t>루비·마석·뽑기권 없음 → 4종만 사용</t>
  </si>
  <si>
    <t>5. 작업 순서</t>
  </si>
  <si>
    <t>1. GetLifetimeValue() 구현 (누적 카운터 저장소)</t>
  </si>
  <si>
    <t>2. RewardGroupId 지급 해석기 구현</t>
  </si>
  <si>
    <t>3. 기존 enum 8종 이벤트 발행 배선</t>
  </si>
  <si>
    <t>4. 신규 목표 타입 16종 enum 추가</t>
  </si>
  <si>
    <t>5. 일일/주간 리셋 스케줄러 + 업적 패널 UI</t>
  </si>
  <si>
    <t>6. 통계 (자동 계산)</t>
  </si>
  <si>
    <t>신규 목표 타입</t>
  </si>
  <si>
    <t>연계 맵</t>
  </si>
  <si>
    <t>시스템 축 1개 = 가이드(첫 접촉) → 퀘스트(반복) → 업적(누적). 세 계층이 ObjectiveType 을 공유한다.</t>
  </si>
  <si>
    <t>시스템</t>
  </si>
  <si>
    <t>퀘스트</t>
  </si>
  <si>
    <t>업적 계열</t>
  </si>
  <si>
    <t>진행</t>
  </si>
  <si>
    <t>G01 G05 G08 G10 G13 G19 G21 G25</t>
  </si>
  <si>
    <t>—</t>
  </si>
  <si>
    <t>01 진행</t>
  </si>
  <si>
    <t>토벌</t>
  </si>
  <si>
    <t>G02</t>
  </si>
  <si>
    <t>D-01 W-01</t>
  </si>
  <si>
    <t>02 토벌</t>
  </si>
  <si>
    <t>보스</t>
  </si>
  <si>
    <t>G10 G25</t>
  </si>
  <si>
    <t>D-02 W-02</t>
  </si>
  <si>
    <t>03 보스</t>
  </si>
  <si>
    <t>강화</t>
  </si>
  <si>
    <t>G03 G04 G09</t>
  </si>
  <si>
    <t>D-03 W-05</t>
  </si>
  <si>
    <t>04 강화</t>
  </si>
  <si>
    <t>G06 G07 G11 G12</t>
  </si>
  <si>
    <t>05 장비</t>
  </si>
  <si>
    <t>전직</t>
  </si>
  <si>
    <t>G14 G15</t>
  </si>
  <si>
    <t>06 전직</t>
  </si>
  <si>
    <t>07 파티</t>
  </si>
  <si>
    <t>마탑</t>
  </si>
  <si>
    <t>G16 G17 G18 G20 G28</t>
  </si>
  <si>
    <t>D-04</t>
  </si>
  <si>
    <t>08 마탑</t>
  </si>
  <si>
    <t>신 스킬</t>
  </si>
  <si>
    <t>G26 G27</t>
  </si>
  <si>
    <t>D-07</t>
  </si>
  <si>
    <t>09 신스킬</t>
  </si>
  <si>
    <t>던전</t>
  </si>
  <si>
    <t>G22 G23 G24</t>
  </si>
  <si>
    <t>D-05 W-03</t>
  </si>
  <si>
    <t>10 던전</t>
  </si>
  <si>
    <t>뽑기</t>
  </si>
  <si>
    <t>G06 G16</t>
  </si>
  <si>
    <t>D-06 W-04</t>
  </si>
  <si>
    <t>11 뽑기</t>
  </si>
  <si>
    <t>환생</t>
  </si>
  <si>
    <t>G30</t>
  </si>
  <si>
    <t>W-06</t>
  </si>
  <si>
    <t>12 환생</t>
  </si>
  <si>
    <t>레벨/오프라인</t>
  </si>
  <si>
    <t>G29</t>
  </si>
  <si>
    <t>D-09</t>
  </si>
  <si>
    <t>13 레벨</t>
  </si>
  <si>
    <t>접속/광고</t>
  </si>
  <si>
    <t>D-08 D-10 W-07</t>
  </si>
  <si>
    <t>Category=Guide(0) · IsRepeatable=FALSE · 1개씩 순차 노출. 2장까지의 콘텐츠 기준 30단계.</t>
  </si>
  <si>
    <t>QuestId</t>
  </si>
  <si>
    <t>코드</t>
  </si>
  <si>
    <t>제목</t>
  </si>
  <si>
    <t>목표</t>
  </si>
  <si>
    <t>ObjectiveType</t>
  </si>
  <si>
    <t>ProgressMode</t>
  </si>
  <si>
    <t>TargetId</t>
  </si>
  <si>
    <t>Required</t>
  </si>
  <si>
    <t>NextQuestId</t>
  </si>
  <si>
    <t>RewardGroupId</t>
  </si>
  <si>
    <t>Presentation</t>
  </si>
  <si>
    <t>비고</t>
  </si>
  <si>
    <t>G01</t>
  </si>
  <si>
    <t>첫 전투</t>
  </si>
  <si>
    <t>스테이지 1-1 클리어</t>
  </si>
  <si>
    <t>StageClear</t>
  </si>
  <si>
    <t>CurrentState</t>
  </si>
  <si>
    <t>None</t>
  </si>
  <si>
    <t>첫 사냥</t>
  </si>
  <si>
    <t>몬스터 20마리 처치</t>
  </si>
  <si>
    <t>MonsterKill</t>
  </si>
  <si>
    <t>EventCount</t>
  </si>
  <si>
    <t>G03</t>
  </si>
  <si>
    <t>공격력 강화</t>
  </si>
  <si>
    <t>공격력 강화 3회</t>
  </si>
  <si>
    <t>StatEnhance</t>
  </si>
  <si>
    <t>HighlightButton</t>
  </si>
  <si>
    <t>신규</t>
  </si>
  <si>
    <t>G04</t>
  </si>
  <si>
    <t>체력 강화</t>
  </si>
  <si>
    <t>체력 강화 3회</t>
  </si>
  <si>
    <t>G05</t>
  </si>
  <si>
    <t>1-3 클리어</t>
  </si>
  <si>
    <t>스테이지 1-3 클리어</t>
  </si>
  <si>
    <t>G06</t>
  </si>
  <si>
    <t>장비 뽑기</t>
  </si>
  <si>
    <t>장비 뽑기 1회</t>
  </si>
  <si>
    <t>GachaUse</t>
  </si>
  <si>
    <t>OpenPopup</t>
  </si>
  <si>
    <t>발행 필요</t>
  </si>
  <si>
    <t>G07</t>
  </si>
  <si>
    <t>장비 장착</t>
  </si>
  <si>
    <t>장비 1개 장착</t>
  </si>
  <si>
    <t>EquipmentEquip</t>
  </si>
  <si>
    <t>FocusContent</t>
  </si>
  <si>
    <t>G08</t>
  </si>
  <si>
    <t>1-5 클리어</t>
  </si>
  <si>
    <t>스테이지 1-5 클리어</t>
  </si>
  <si>
    <t>G09</t>
  </si>
  <si>
    <t>강화 반복</t>
  </si>
  <si>
    <t>공격력 강화 10회</t>
  </si>
  <si>
    <t>G10</t>
  </si>
  <si>
    <t>첫 보스</t>
  </si>
  <si>
    <t>스테이지 1-10 보스 클리어</t>
  </si>
  <si>
    <t>G11</t>
  </si>
  <si>
    <t>장비 수집</t>
  </si>
  <si>
    <t>장비 3개 획득</t>
  </si>
  <si>
    <t>EquipmentObtain</t>
  </si>
  <si>
    <t>G12</t>
  </si>
  <si>
    <t>장비 합성</t>
  </si>
  <si>
    <t>장비 합성 1회</t>
  </si>
  <si>
    <t>EquipmentSynthesize</t>
  </si>
  <si>
    <t>G13</t>
  </si>
  <si>
    <t>2-1 클리어</t>
  </si>
  <si>
    <t>스테이지 2-1 클리어</t>
  </si>
  <si>
    <t>G14</t>
  </si>
  <si>
    <t>첫 전직</t>
  </si>
  <si>
    <t>왕국군 1인 1차 전직</t>
  </si>
  <si>
    <t>JobChange</t>
  </si>
  <si>
    <t>G15</t>
  </si>
  <si>
    <t>진영 완성</t>
  </si>
  <si>
    <t>왕국군 3인 1차 전직</t>
  </si>
  <si>
    <t>파티 보너스 조건</t>
  </si>
  <si>
    <t>G16</t>
  </si>
  <si>
    <t>마탑 뽑기</t>
  </si>
  <si>
    <t>마탑 스킬 뽑기 1회</t>
  </si>
  <si>
    <t>G17</t>
  </si>
  <si>
    <t>마탑 장착</t>
  </si>
  <si>
    <t>마탑 스킬 1개 장착</t>
  </si>
  <si>
    <t>SkillEquip</t>
  </si>
  <si>
    <t>G18</t>
  </si>
  <si>
    <t>마탑 강화</t>
  </si>
  <si>
    <t>마탑 스킬 강화 3회</t>
  </si>
  <si>
    <t>SkillEnhance</t>
  </si>
  <si>
    <t>G19</t>
  </si>
  <si>
    <t>2-3 클리어</t>
  </si>
  <si>
    <t>스테이지 2-3 클리어</t>
  </si>
  <si>
    <t>G20</t>
  </si>
  <si>
    <t>마탑 확장</t>
  </si>
  <si>
    <t>마탑 스킬 2개 장착</t>
  </si>
  <si>
    <t>슬롯 5개</t>
  </si>
  <si>
    <t>G21</t>
  </si>
  <si>
    <t>2-5 클리어</t>
  </si>
  <si>
    <t>스테이지 2-5 클리어</t>
  </si>
  <si>
    <t>G22</t>
  </si>
  <si>
    <t>던전 입장</t>
  </si>
  <si>
    <t>골드 던전 입장</t>
  </si>
  <si>
    <t>DungeonEnter</t>
  </si>
  <si>
    <t>G23</t>
  </si>
  <si>
    <t>골드 던전</t>
  </si>
  <si>
    <t>골드 던전 1단계 클리어</t>
  </si>
  <si>
    <t>DungeonClear</t>
  </si>
  <si>
    <t>G24</t>
  </si>
  <si>
    <t>루비 던전</t>
  </si>
  <si>
    <t>루비 던전 1단계 클리어</t>
  </si>
  <si>
    <t>G25</t>
  </si>
  <si>
    <t>2장 클리어</t>
  </si>
  <si>
    <t>스테이지 2-10 보스 클리어</t>
  </si>
  <si>
    <t>G26</t>
  </si>
  <si>
    <t>신 스킬 장착</t>
  </si>
  <si>
    <t>신 스킬 카드 1장 장착</t>
  </si>
  <si>
    <t>DivineEquip</t>
  </si>
  <si>
    <t>신규 · 기획 해금 3-10</t>
  </si>
  <si>
    <t>G27</t>
  </si>
  <si>
    <t>신 스킬 시전</t>
  </si>
  <si>
    <t>신 스킬 1회 시전</t>
  </si>
  <si>
    <t>DivineCast</t>
  </si>
  <si>
    <t>TutorialMessage</t>
  </si>
  <si>
    <t>G28</t>
  </si>
  <si>
    <t>마탑 각성</t>
  </si>
  <si>
    <t>마탑 스킬 1각 달성</t>
  </si>
  <si>
    <t>SkillAwaken</t>
  </si>
  <si>
    <t>레벨 10</t>
  </si>
  <si>
    <t>플레이어 레벨 10 달성</t>
  </si>
  <si>
    <t>PlayerLevel</t>
  </si>
  <si>
    <t>스냅샷 필요</t>
  </si>
  <si>
    <t>첫 환생</t>
  </si>
  <si>
    <t>환생 1회 완료</t>
  </si>
  <si>
    <t>Reincarnate</t>
  </si>
  <si>
    <t>신규 · 가이드 종료</t>
  </si>
  <si>
    <t>퀘스트 (일일 / 주간)</t>
  </si>
  <si>
    <t>Category=Daily(1)/Weekly(2) · IsRepeatable=TRUE · NextQuestId=0 · Presentation=None</t>
  </si>
  <si>
    <t>D-01</t>
  </si>
  <si>
    <t>몬스터 200마리 처치</t>
  </si>
  <si>
    <t>D-02</t>
  </si>
  <si>
    <t>보스 3회 처치</t>
  </si>
  <si>
    <t>BossKill</t>
  </si>
  <si>
    <t>D-03</t>
  </si>
  <si>
    <t>골드 강화 10회</t>
  </si>
  <si>
    <t>D-05</t>
  </si>
  <si>
    <t>던전 1회 클리어</t>
  </si>
  <si>
    <t>D-06</t>
  </si>
  <si>
    <t>뽑기 5회 사용</t>
  </si>
  <si>
    <t>신 스킬 3회 시전</t>
  </si>
  <si>
    <t>D-08</t>
  </si>
  <si>
    <t>광고 1회 시청</t>
  </si>
  <si>
    <t>AdWatch</t>
  </si>
  <si>
    <t>신규 · SDK 미연동</t>
  </si>
  <si>
    <t>오프라인 보상 수령</t>
  </si>
  <si>
    <t>OfflineClaim</t>
  </si>
  <si>
    <t>D-10</t>
  </si>
  <si>
    <t>일일 퀘스트 전체 완료</t>
  </si>
  <si>
    <t>QuestAllClear</t>
  </si>
  <si>
    <t>신규 · TargetId 1=일일</t>
  </si>
  <si>
    <t>W-01</t>
  </si>
  <si>
    <t>몬스터 2,000마리 처치</t>
  </si>
  <si>
    <t>W-02</t>
  </si>
  <si>
    <t>보스 20회 처치</t>
  </si>
  <si>
    <t>W-03</t>
  </si>
  <si>
    <t>던전 7회 클리어</t>
  </si>
  <si>
    <t>W-04</t>
  </si>
  <si>
    <t>뽑기 30회 사용</t>
  </si>
  <si>
    <t>W-05</t>
  </si>
  <si>
    <t>골드 강화 200회</t>
  </si>
  <si>
    <t>환생 3회</t>
  </si>
  <si>
    <t>W-07</t>
  </si>
  <si>
    <t>주간 퀘스트 전체 완료</t>
  </si>
  <si>
    <t>신규 · TargetId 2=주간</t>
  </si>
  <si>
    <t>일일 총량  비전 지식 20 · 고대 주화 50 · 전직 파편 3   (기획서 8.2.1 일치)</t>
  </si>
  <si>
    <t>주간 총량  고대 주화 400 · 전직 파편 15 · 비전 지식 50</t>
  </si>
  <si>
    <t>Category=Achievement(3) · IsRepeatable=FALSE · Presentation=None · 환생 후에도 유지. NextQuestId = 같은 계열 다음 단계.</t>
  </si>
  <si>
    <t>계열</t>
  </si>
  <si>
    <t>단계</t>
  </si>
  <si>
    <t>I</t>
  </si>
  <si>
    <t>1-10 도달</t>
  </si>
  <si>
    <t>II</t>
  </si>
  <si>
    <t>2-10 도달</t>
  </si>
  <si>
    <t>III</t>
  </si>
  <si>
    <t>5-10 도달</t>
  </si>
  <si>
    <t>콘텐츠 대기</t>
  </si>
  <si>
    <t>IV</t>
  </si>
  <si>
    <t>10-10 도달</t>
  </si>
  <si>
    <t>V</t>
  </si>
  <si>
    <t>20-10 도달</t>
  </si>
  <si>
    <t>몬스터 1,000마리 처치</t>
  </si>
  <si>
    <t>LifetimeTotal</t>
  </si>
  <si>
    <t>몬스터 10,000마리 처치</t>
  </si>
  <si>
    <t>몬스터 100,000마리 처치</t>
  </si>
  <si>
    <t>몬스터 1,000,000마리 처치</t>
  </si>
  <si>
    <t>몬스터 10,000,000마리 처치</t>
  </si>
  <si>
    <t>보스 10회 처치</t>
  </si>
  <si>
    <t>보스 100회 처치</t>
  </si>
  <si>
    <t>보스 1,000회 처치</t>
  </si>
  <si>
    <t>보스 10,000회 처치</t>
  </si>
  <si>
    <t>골드 강화 100회</t>
  </si>
  <si>
    <t>골드 강화 1,000회</t>
  </si>
  <si>
    <t>골드 강화 10,000회</t>
  </si>
  <si>
    <t>골드 강화 100,000회</t>
  </si>
  <si>
    <t>골드 강화 1,000,000회</t>
  </si>
  <si>
    <t>장비 10개 획득</t>
  </si>
  <si>
    <t>장비 100개 획득</t>
  </si>
  <si>
    <t>장비 1,000개 획득</t>
  </si>
  <si>
    <t>장비 합성 10회</t>
  </si>
  <si>
    <t>에픽 장비 장착</t>
  </si>
  <si>
    <t>TargetId 3=에픽</t>
  </si>
  <si>
    <t>1차 전직 1인</t>
  </si>
  <si>
    <t>1차 전직 3인</t>
  </si>
  <si>
    <t>2차 전직 1인</t>
  </si>
  <si>
    <t>2차 전직 3인</t>
  </si>
  <si>
    <t>명명 파티 조합 1종 달성</t>
  </si>
  <si>
    <t>PartyCombo</t>
  </si>
  <si>
    <t>시스템 미구현</t>
  </si>
  <si>
    <t>명명 파티 조합 4종 달성</t>
  </si>
  <si>
    <t>엘리트 3인 조합 달성</t>
  </si>
  <si>
    <t>TargetId 1=엘리트</t>
  </si>
  <si>
    <t>마탑 스킬 3종 보유</t>
  </si>
  <si>
    <t>SkillObtain</t>
  </si>
  <si>
    <t>신규 · 현 풀 전종</t>
  </si>
  <si>
    <t>마탑 스킬 강화 50회</t>
  </si>
  <si>
    <t>마탑 스킬 강화 500회</t>
  </si>
  <si>
    <t>마탑 스킬 5각 달성</t>
  </si>
  <si>
    <t>신규 · 최고 각성치</t>
  </si>
  <si>
    <t>마탑 스킬 10각 달성</t>
  </si>
  <si>
    <t>신규 · 파편 168개</t>
  </si>
  <si>
    <t>신 스킬 카드 1종 수집</t>
  </si>
  <si>
    <t>DivineCollect</t>
  </si>
  <si>
    <t>신 스킬 카드 4종 수집</t>
  </si>
  <si>
    <t>신화 등급 카드 1종 보유</t>
  </si>
  <si>
    <t>TargetId 3=신화</t>
  </si>
  <si>
    <t>신 스킬 카드 8종 수집</t>
  </si>
  <si>
    <t>신규 · 전종</t>
  </si>
  <si>
    <t>신 스킬 카드 레벨 10</t>
  </si>
  <si>
    <t>DivineLevel</t>
  </si>
  <si>
    <t>신규 · 최고 레벨</t>
  </si>
  <si>
    <t>던전 50회 클리어</t>
  </si>
  <si>
    <t>던전 300회 클리어</t>
  </si>
  <si>
    <t>골드 던전 5단계 클리어</t>
  </si>
  <si>
    <t>루비 던전 5단계 클리어</t>
  </si>
  <si>
    <t>뽑기 50회</t>
  </si>
  <si>
    <t>뽑기 500회</t>
  </si>
  <si>
    <t>뽑기 2,000회</t>
  </si>
  <si>
    <t>뽑기 10,000회</t>
  </si>
  <si>
    <t>환생 1회</t>
  </si>
  <si>
    <t>신규 · 유물 해금</t>
  </si>
  <si>
    <t>환생 10회</t>
  </si>
  <si>
    <t>환생 50회</t>
  </si>
  <si>
    <t>환생 200회</t>
  </si>
  <si>
    <t>환생 레벨 50 달성</t>
  </si>
  <si>
    <t>ReincarnationLevel</t>
  </si>
  <si>
    <t>신규 · 시작 챕터 상향</t>
  </si>
  <si>
    <t>플레이어 레벨 10</t>
  </si>
  <si>
    <t>최고 기록 판정</t>
  </si>
  <si>
    <t>플레이어 레벨 50</t>
  </si>
  <si>
    <t>플레이어 레벨 100</t>
  </si>
  <si>
    <t>플레이어 레벨 200</t>
  </si>
  <si>
    <t>RewardGroupId 단일 출처. 지급 가능 재화 4종 — Gold / AncientCoin / ClassFragment / ArcaneKnowledge.</t>
  </si>
  <si>
    <t>용도</t>
  </si>
  <si>
    <t>재화 1</t>
  </si>
  <si>
    <t>수량 1</t>
  </si>
  <si>
    <t>재화 2</t>
  </si>
  <si>
    <t>수량 2</t>
  </si>
  <si>
    <t>가이드 소</t>
  </si>
  <si>
    <t>Gold</t>
  </si>
  <si>
    <t>가이드 중</t>
  </si>
  <si>
    <t>가이드 대</t>
  </si>
  <si>
    <t>가이드 보스</t>
  </si>
  <si>
    <t>AncientCoin</t>
  </si>
  <si>
    <t>가이드 전직</t>
  </si>
  <si>
    <t>가이드 마탑</t>
  </si>
  <si>
    <t>ArcaneKnowledge</t>
  </si>
  <si>
    <t>가이드 완주</t>
  </si>
  <si>
    <t>일일 골드</t>
  </si>
  <si>
    <t>동적 — 분당 골드 × 10분</t>
  </si>
  <si>
    <t>일일 보스</t>
  </si>
  <si>
    <t>일일 마탑</t>
  </si>
  <si>
    <t>일일 던전</t>
  </si>
  <si>
    <t>일일 완료</t>
  </si>
  <si>
    <t>주간 소</t>
  </si>
  <si>
    <t>주간 전직</t>
  </si>
  <si>
    <t>주간 마탑</t>
  </si>
  <si>
    <t>주간 환생</t>
  </si>
  <si>
    <t>주간 완료</t>
  </si>
  <si>
    <t>업적 I</t>
  </si>
  <si>
    <t>업적 II</t>
  </si>
  <si>
    <t>업적 III</t>
  </si>
  <si>
    <t>업적 IV</t>
  </si>
  <si>
    <t>업적 V</t>
  </si>
  <si>
    <t>칭호 동반 예정 (미구현)</t>
  </si>
  <si>
    <t>제외 재화  루비 · 마석 · 뽑기권 — eCurrency 에 없음. 확장 시 업적 V 에 마석 추가 권장.</t>
  </si>
  <si>
    <t>마탑 스킬 파편은 스킬별 저장이라 대상 스킬 ID 가 필요 → 보상에서 제외.</t>
  </si>
  <si>
    <t>목표 타입 구현 맵</t>
  </si>
  <si>
    <t>완료 = 배선됨 · 부분 = 보완 필요 · 미배선 = enum 있음, 발행 없음 · 신규 = enum 부터 추가 · 보류 = 정의 대기</t>
  </si>
  <si>
    <t>의미</t>
  </si>
  <si>
    <t>사용 계층</t>
  </si>
  <si>
    <t>권장 ProgressMode</t>
  </si>
  <si>
    <t>데이터 소스</t>
  </si>
  <si>
    <t>필요 작업</t>
  </si>
  <si>
    <t>스테이지 클리어</t>
  </si>
  <si>
    <t>가이드 업적</t>
  </si>
  <si>
    <t>StageManager.OnStageCleared</t>
  </si>
  <si>
    <t>몬스터 처치</t>
  </si>
  <si>
    <t>전 계층</t>
  </si>
  <si>
    <t>EventCount / LifetimeTotal</t>
  </si>
  <si>
    <t>StageManager.OnMonsterKilled</t>
  </si>
  <si>
    <t>누적 카운터</t>
  </si>
  <si>
    <t>장비 획득</t>
  </si>
  <si>
    <t>EquipmentManager.OnItemDropped</t>
  </si>
  <si>
    <t>발행 + 누적</t>
  </si>
  <si>
    <t>EquipmentManager.OnEquipped</t>
  </si>
  <si>
    <t>발행 + 스냅샷 (TargetId=레어도 이상 장착 수)</t>
  </si>
  <si>
    <t>뽑기 사용</t>
  </si>
  <si>
    <t>GachaManager 풀 성공</t>
  </si>
  <si>
    <t>StageManager.TryEnterDungeon</t>
  </si>
  <si>
    <t>발행</t>
  </si>
  <si>
    <t>던전 클리어</t>
  </si>
  <si>
    <t>EventCount / CurrentState / LifetimeTotal</t>
  </si>
  <si>
    <t>StageManager 던전 클리어</t>
  </si>
  <si>
    <t>발행 + 난이도별 플래그</t>
  </si>
  <si>
    <t>ChangeJob.OnJobChanged</t>
  </si>
  <si>
    <t>발행 + 스냅샷 (TargetId=차수 이상 인원 수)</t>
  </si>
  <si>
    <t>마탑 스킬 장착</t>
  </si>
  <si>
    <t>MageTowerManager.Equip</t>
  </si>
  <si>
    <t>발행 + 스냅샷 (장착 슬롯 수)</t>
  </si>
  <si>
    <t>LevelUp / PlayerLevel</t>
  </si>
  <si>
    <t>플레이어 레벨</t>
  </si>
  <si>
    <t>UserManager.GetUserLevel()</t>
  </si>
  <si>
    <t>스냅샷 + 최고 기록 저장 (환생 초기화 대응)</t>
  </si>
  <si>
    <t>Enhance</t>
  </si>
  <si>
    <t>강화 (의미 중복)</t>
  </si>
  <si>
    <t>보류</t>
  </si>
  <si>
    <t>StatEnhance / EquipmentEnhance 분리</t>
  </si>
  <si>
    <t>ItemUse</t>
  </si>
  <si>
    <t>아이템 사용</t>
  </si>
  <si>
    <t>소모품 시스템 확정 후</t>
  </si>
  <si>
    <t>보스 처치</t>
  </si>
  <si>
    <t>퀘스트 업적</t>
  </si>
  <si>
    <t>StageParser.IsBossWave 클리어</t>
  </si>
  <si>
    <t>enum + 발행 + 누적</t>
  </si>
  <si>
    <t>골드 강화</t>
  </si>
  <si>
    <t>StatEnhanceManager.OnEnhanced</t>
  </si>
  <si>
    <t>enum + 발행 (TargetId=트랙)</t>
  </si>
  <si>
    <t>EquipmentManager.OnSynthesized</t>
  </si>
  <si>
    <t>enum + 발행</t>
  </si>
  <si>
    <t>마탑 스킬 보유 종수</t>
  </si>
  <si>
    <t>MageTowerManager.IsOwned</t>
  </si>
  <si>
    <t>enum + 스냅샷</t>
  </si>
  <si>
    <t>마탑 스킬 강화</t>
  </si>
  <si>
    <t>MageTowerManager.Enhance</t>
  </si>
  <si>
    <t>마탑 각성 단계</t>
  </si>
  <si>
    <t>MageTowerManager.GetAwakeningLevel</t>
  </si>
  <si>
    <t>enum + 스냅샷 (최댓값)</t>
  </si>
  <si>
    <t>DivineSkillManager.EquippedCardId</t>
  </si>
  <si>
    <t>가이드 일일</t>
  </si>
  <si>
    <t>DivineSkillManager.Cast</t>
  </si>
  <si>
    <t>신 스킬 수집 종수</t>
  </si>
  <si>
    <t>DivineSkillManager.OwnedCount</t>
  </si>
  <si>
    <t>enum + 스냅샷 (TargetId=등급)</t>
  </si>
  <si>
    <t>신 스킬 카드 레벨</t>
  </si>
  <si>
    <t>DivineSkillManager.GetLevel</t>
  </si>
  <si>
    <t>환생 실행</t>
  </si>
  <si>
    <t>가이드 주간 업적</t>
  </si>
  <si>
    <t>ReincarnationService 성공</t>
  </si>
  <si>
    <t>환생 레벨</t>
  </si>
  <si>
    <t>ReincarnationState.Level</t>
  </si>
  <si>
    <t>파티 조합 달성</t>
  </si>
  <si>
    <t>미구현 (기획서 4.5)</t>
  </si>
  <si>
    <t>조합 판정 시스템부터</t>
  </si>
  <si>
    <t>광고 시청</t>
  </si>
  <si>
    <t>광고 SDK 콜백</t>
  </si>
  <si>
    <t>SDK 연동 후</t>
  </si>
  <si>
    <t>OfflineRewardManager</t>
  </si>
  <si>
    <t>퀘스트 전체 완료</t>
  </si>
  <si>
    <t>일일 주간</t>
  </si>
  <si>
    <t>QuestManager 완료 수 집계</t>
  </si>
  <si>
    <t>enum + 스냅샷 (TargetId=계층)</t>
  </si>
  <si>
    <t>상태 범례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</si>
</sst>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"/>
  </numFmts>
  <fonts count="32" x14ac:knownFonts="1">
    <font>
      <sz val="11"/>
      <color theme="1"/>
      <name val="맑은 고딕"/>
      <family val="2"/>
      <scheme val="minor"/>
    </font>
    <font>
      <b/>
      <sz val="14"/>
      <color rgb="FF1F2430"/>
      <name val="맑은 고딕"/>
      <family val="3"/>
      <charset val="129"/>
    </font>
    <font>
      <sz val="9"/>
      <color rgb="FF7A828C"/>
      <name val="맑은 고딕"/>
      <family val="3"/>
      <charset val="129"/>
    </font>
    <font>
      <b/>
      <sz val="10"/>
      <color rgb="FF3B5BA5"/>
      <name val="맑은 고딕"/>
      <family val="3"/>
      <charset val="129"/>
    </font>
    <font>
      <b/>
      <sz val="9.5"/>
      <color rgb="FFFFFFFF"/>
      <name val="맑은 고딕"/>
      <family val="3"/>
      <charset val="129"/>
    </font>
    <font>
      <sz val="9.5"/>
      <color rgb="FF1F2430"/>
      <name val="맑은 고딕"/>
      <family val="3"/>
      <charset val="129"/>
    </font>
    <font>
      <b/>
      <sz val="9.5"/>
      <color rgb="FF137333"/>
      <name val="맑은 고딕"/>
      <family val="3"/>
      <charset val="129"/>
    </font>
    <font>
      <b/>
      <sz val="9.5"/>
      <color rgb="FFB06000"/>
      <name val="맑은 고딕"/>
      <family val="3"/>
      <charset val="129"/>
    </font>
    <font>
      <b/>
      <sz val="9.5"/>
      <color rgb="FFC5221F"/>
      <name val="맑은 고딕"/>
      <family val="3"/>
      <charset val="129"/>
    </font>
    <font>
      <b/>
      <sz val="9.5"/>
      <color rgb="FF1F2430"/>
      <name val="맑은 고딕"/>
      <family val="3"/>
      <charset val="129"/>
    </font>
    <font>
      <b/>
      <sz val="9.5"/>
      <color rgb="FF5F6368"/>
      <name val="맑은 고딕"/>
      <family val="3"/>
      <charset val="129"/>
    </font>
    <font>
      <b/>
      <sz val="9.5"/>
      <color rgb="FF1A4FA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</font>
    <font>
      <b/>
      <sz val="14"/>
      <color rgb="FF1F2430"/>
      <name val="맑은 고딕"/>
    </font>
    <font>
      <sz val="9"/>
      <color rgb="FF7A828C"/>
      <name val="맑은 고딕"/>
    </font>
    <font>
      <b/>
      <sz val="10"/>
      <color rgb="FF3B5BA5"/>
      <name val="맑은 고딕"/>
    </font>
    <font>
      <b/>
      <sz val="9"/>
      <color rgb="FFFFFFFF"/>
      <name val="맑은 고딕"/>
    </font>
    <font>
      <sz val="9"/>
      <color rgb="FF1F2430"/>
      <name val="맑은 고딕"/>
    </font>
    <font>
      <b/>
      <sz val="9"/>
      <color rgb="FF137333"/>
      <name val="맑은 고딕"/>
    </font>
    <font>
      <b/>
      <sz val="9"/>
      <color rgb="FFB06000"/>
      <name val="맑은 고딕"/>
    </font>
    <font>
      <b/>
      <sz val="9"/>
      <color rgb="FFC5221F"/>
      <name val="맑은 고딕"/>
    </font>
    <font>
      <b/>
      <sz val="9"/>
      <color rgb="FF1F2430"/>
      <name val="맑은 고딕"/>
    </font>
    <font>
      <b/>
      <sz val="9"/>
      <color rgb="FF5F6368"/>
      <name val="맑은 고딕"/>
    </font>
    <font>
      <b/>
      <sz val="9"/>
      <color rgb="FF1A4FA0"/>
      <name val="맑은 고딕"/>
    </font>
    <font>
      <sz val="8"/>
      <name val="맑은 고딕"/>
    </font>
    <font>
      <b/>
      <sz val="9"/>
      <color rgb="FFA56A00"/>
      <name val="맑은 고딕"/>
    </font>
    <font>
      <b/>
      <sz val="9"/>
      <color rgb="FFBD3333"/>
      <name val="맑은 고딕"/>
    </font>
    <font>
      <b/>
      <sz val="9"/>
      <color rgb="FF2459AB"/>
      <name val="맑은 고딕"/>
    </font>
    <font>
      <b/>
      <sz val="9"/>
      <color rgb="FF6B7280"/>
      <name val="맑은 고딕"/>
    </font>
    <font>
      <b/>
      <sz val="9"/>
      <color rgb="FF59616D"/>
      <name val="맑은 고딕"/>
    </font>
    <font>
      <b/>
      <sz val="11"/>
      <color rgb="FF2459AB"/>
      <name val="맑은 고딕"/>
    </font>
  </fonts>
  <fills count="28">
    <fill>
      <patternFill patternType="none"/>
    </fill>
    <fill>
      <patternFill patternType="gray125"/>
    </fill>
    <fill>
      <patternFill patternType="solid">
        <fgColor rgb="FFEDF1F8"/>
      </patternFill>
    </fill>
    <fill>
      <patternFill patternType="solid">
        <fgColor rgb="FF2F3B52"/>
      </patternFill>
    </fill>
    <fill>
      <patternFill patternType="solid">
        <fgColor rgb="FFF7F8FA"/>
      </patternFill>
    </fill>
    <fill>
      <patternFill patternType="solid">
        <fgColor rgb="FFE6F4EA"/>
      </patternFill>
    </fill>
    <fill>
      <patternFill patternType="solid">
        <fgColor rgb="FFFEF7E0"/>
      </patternFill>
    </fill>
    <fill>
      <patternFill patternType="solid">
        <fgColor rgb="FFFCE8E6"/>
      </patternFill>
    </fill>
    <fill>
      <patternFill patternType="solid">
        <fgColor rgb="FFF1F3F4"/>
      </patternFill>
    </fill>
    <fill>
      <patternFill patternType="solid">
        <fgColor rgb="FFE8F0FE"/>
      </patternFill>
    </fill>
    <fill>
      <patternFill patternType="none"/>
    </fill>
    <fill>
      <patternFill patternType="gray125"/>
    </fill>
    <fill>
      <patternFill patternType="solid">
        <fgColor rgb="FFEDF1F8"/>
      </patternFill>
    </fill>
    <fill>
      <patternFill patternType="solid">
        <fgColor rgb="FF2F3B52"/>
      </patternFill>
    </fill>
    <fill>
      <patternFill patternType="solid">
        <fgColor rgb="FFF7F8FA"/>
      </patternFill>
    </fill>
    <fill>
      <patternFill patternType="solid">
        <fgColor rgb="FFE6F4EA"/>
      </patternFill>
    </fill>
    <fill>
      <patternFill patternType="solid">
        <fgColor rgb="FFFEF7E0"/>
      </patternFill>
    </fill>
    <fill>
      <patternFill patternType="solid">
        <fgColor rgb="FFFCE8E6"/>
      </patternFill>
    </fill>
    <fill>
      <patternFill patternType="solid">
        <fgColor rgb="FFF1F3F4"/>
      </patternFill>
    </fill>
    <fill>
      <patternFill patternType="solid">
        <fgColor rgb="FFE8F0FE"/>
      </patternFill>
    </fill>
    <fill>
      <patternFill patternType="solid">
        <fgColor rgb="FFE5E7EB"/>
      </patternFill>
    </fill>
    <fill>
      <patternFill patternType="solid">
        <fgColor rgb="FFFFF3D9"/>
      </patternFill>
    </fill>
    <fill>
      <patternFill patternType="solid">
        <fgColor rgb="FFEEF4F8"/>
      </patternFill>
    </fill>
    <fill>
      <patternFill patternType="solid">
        <fgColor rgb="FFFFF6DE"/>
      </patternFill>
    </fill>
    <fill>
      <patternFill patternType="solid">
        <fgColor rgb="FFFFECEC"/>
      </patternFill>
    </fill>
    <fill>
      <patternFill patternType="solid">
        <fgColor rgb="FFEAF1FF"/>
      </patternFill>
    </fill>
    <fill>
      <patternFill patternType="solid">
        <fgColor rgb="FFF0F1F3"/>
      </patternFill>
    </fill>
    <fill>
      <patternFill patternType="solid">
        <fgColor rgb="FFE3E5E8"/>
      </patternFill>
    </fill>
  </fills>
  <borders count="6">
    <border>
      <left/>
      <right/>
      <top/>
      <bottom/>
      <diagonal/>
    </border>
    <border>
      <left/>
      <right/>
      <top/>
      <bottom style="thin">
        <color rgb="FFDDE1E6"/>
      </bottom>
      <diagonal/>
    </border>
    <border>
      <left/>
      <right/>
      <top style="thin">
        <color rgb="FFB9C0CB"/>
      </top>
      <bottom/>
      <diagonal/>
    </border>
    <border/>
    <border>
      <bottom style="thin">
        <color rgb="FFDDE1E6"/>
      </bottom>
    </border>
    <border>
      <top style="thin">
        <color rgb="FFB9C0CB"/>
      </top>
    </border>
  </borders>
  <cellStyleXfs count="2">
    <xf numFmtId="0" fontId="0" fillId="0" borderId="0"/>
    <xf numFmtId="0" fontId="13" fillId="10" borderId="3"/>
  </cellStyleXfs>
  <cellXfs count="165">
    <xf numFmtId="0" fontId="0" fillId="0" borderId="0" xfId="0"/>
    <xf numFmtId="0" fontId="4" fillId="3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5" fillId="0" borderId="1" xfId="0" applyFont="1" applyBorder="1"/>
    <xf numFmtId="3" fontId="9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5" fillId="4" borderId="1" xfId="0" applyFont="1" applyFill="1" applyBorder="1"/>
    <xf numFmtId="3" fontId="9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/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3" fontId="5" fillId="0" borderId="2" xfId="0" applyNumberFormat="1" applyFont="1" applyBorder="1" applyAlignment="1">
      <alignment horizontal="righ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right" vertical="center"/>
    </xf>
    <xf numFmtId="0" fontId="10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9" fillId="0" borderId="0" xfId="0" applyFont="1"/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0" fillId="0" borderId="0" xfId="0"/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/>
    <xf numFmtId="0" fontId="13" fillId="10" borderId="3" xfId="1"/>
    <xf numFmtId="0" fontId="17" fillId="13" borderId="3" xfId="1" applyFont="1" applyFill="1" applyAlignment="1">
      <alignment horizontal="center" vertical="center"/>
    </xf>
    <xf numFmtId="0" fontId="18" fillId="10" borderId="4" xfId="1" applyFont="1" applyBorder="1" applyAlignment="1">
      <alignment horizontal="left" vertical="center"/>
    </xf>
    <xf numFmtId="0" fontId="18" fillId="14" borderId="4" xfId="1" applyFont="1" applyFill="1" applyBorder="1" applyAlignment="1">
      <alignment horizontal="left" vertical="center"/>
    </xf>
    <xf numFmtId="0" fontId="18" fillId="10" borderId="4" xfId="1" applyFont="1" applyBorder="1" applyAlignment="1">
      <alignment horizontal="left" vertical="center" wrapText="1"/>
    </xf>
    <xf numFmtId="0" fontId="18" fillId="14" borderId="4" xfId="1" applyFont="1" applyFill="1" applyBorder="1" applyAlignment="1">
      <alignment horizontal="left" vertical="center" wrapText="1"/>
    </xf>
    <xf numFmtId="0" fontId="19" fillId="15" borderId="4" xfId="1" applyFont="1" applyFill="1" applyBorder="1" applyAlignment="1">
      <alignment horizontal="center" vertical="center"/>
    </xf>
    <xf numFmtId="0" fontId="20" fillId="16" borderId="4" xfId="1" applyFont="1" applyFill="1" applyBorder="1" applyAlignment="1">
      <alignment horizontal="center" vertical="center"/>
    </xf>
    <xf numFmtId="0" fontId="21" fillId="17" borderId="4" xfId="1" applyFont="1" applyFill="1" applyBorder="1" applyAlignment="1">
      <alignment horizontal="center" vertical="center"/>
    </xf>
    <xf numFmtId="0" fontId="18" fillId="10" borderId="4" xfId="1" applyFont="1" applyBorder="1"/>
    <xf numFmtId="3" fontId="22" fillId="10" borderId="4" xfId="1" applyNumberFormat="1" applyFont="1" applyBorder="1" applyAlignment="1">
      <alignment horizontal="center" vertical="center"/>
    </xf>
    <xf numFmtId="0" fontId="13" fillId="10" borderId="4" xfId="1" applyBorder="1"/>
    <xf numFmtId="0" fontId="18" fillId="14" borderId="4" xfId="1" applyFont="1" applyFill="1" applyBorder="1"/>
    <xf numFmtId="3" fontId="22" fillId="14" borderId="4" xfId="1" applyNumberFormat="1" applyFont="1" applyFill="1" applyBorder="1" applyAlignment="1">
      <alignment horizontal="center" vertical="center"/>
    </xf>
    <xf numFmtId="0" fontId="13" fillId="14" borderId="4" xfId="1" applyFill="1" applyBorder="1"/>
    <xf numFmtId="0" fontId="18" fillId="10" borderId="4" xfId="1" applyFont="1" applyBorder="1" applyAlignment="1">
      <alignment horizontal="center" vertical="center"/>
    </xf>
    <xf numFmtId="3" fontId="18" fillId="10" borderId="4" xfId="1" applyNumberFormat="1" applyFont="1" applyBorder="1" applyAlignment="1">
      <alignment horizontal="right" vertical="center"/>
    </xf>
    <xf numFmtId="0" fontId="18" fillId="14" borderId="4" xfId="1" applyFont="1" applyFill="1" applyBorder="1" applyAlignment="1">
      <alignment horizontal="center" vertical="center"/>
    </xf>
    <xf numFmtId="3" fontId="18" fillId="14" borderId="4" xfId="1" applyNumberFormat="1" applyFont="1" applyFill="1" applyBorder="1" applyAlignment="1">
      <alignment horizontal="right" vertical="center"/>
    </xf>
    <xf numFmtId="0" fontId="18" fillId="10" borderId="5" xfId="1" applyFont="1" applyBorder="1" applyAlignment="1">
      <alignment horizontal="center" vertical="center"/>
    </xf>
    <xf numFmtId="0" fontId="18" fillId="10" borderId="5" xfId="1" applyFont="1" applyBorder="1" applyAlignment="1">
      <alignment horizontal="left" vertical="center"/>
    </xf>
    <xf numFmtId="3" fontId="18" fillId="10" borderId="5" xfId="1" applyNumberFormat="1" applyFont="1" applyBorder="1" applyAlignment="1">
      <alignment horizontal="right" vertical="center"/>
    </xf>
    <xf numFmtId="0" fontId="18" fillId="14" borderId="5" xfId="1" applyFont="1" applyFill="1" applyBorder="1" applyAlignment="1">
      <alignment horizontal="left" vertical="center"/>
    </xf>
    <xf numFmtId="0" fontId="18" fillId="14" borderId="5" xfId="1" applyFont="1" applyFill="1" applyBorder="1" applyAlignment="1">
      <alignment horizontal="center" vertical="center"/>
    </xf>
    <xf numFmtId="3" fontId="18" fillId="14" borderId="5" xfId="1" applyNumberFormat="1" applyFont="1" applyFill="1" applyBorder="1" applyAlignment="1">
      <alignment horizontal="right" vertical="center"/>
    </xf>
    <xf numFmtId="0" fontId="23" fillId="18" borderId="4" xfId="1" applyFont="1" applyFill="1" applyBorder="1" applyAlignment="1">
      <alignment horizontal="center" vertical="center"/>
    </xf>
    <xf numFmtId="0" fontId="24" fillId="19" borderId="4" xfId="1" applyFont="1" applyFill="1" applyBorder="1" applyAlignment="1">
      <alignment horizontal="center" vertical="center"/>
    </xf>
    <xf numFmtId="0" fontId="22" fillId="10" borderId="3" xfId="1" applyFont="1"/>
    <xf numFmtId="0" fontId="19" fillId="15" borderId="3" xfId="1" applyFont="1" applyFill="1" applyAlignment="1">
      <alignment horizontal="center" vertical="center"/>
    </xf>
    <xf numFmtId="0" fontId="20" fillId="16" borderId="3" xfId="1" applyFont="1" applyFill="1" applyAlignment="1">
      <alignment horizontal="center" vertical="center"/>
    </xf>
    <xf numFmtId="0" fontId="21" fillId="17" borderId="3" xfId="1" applyFont="1" applyFill="1" applyAlignment="1">
      <alignment horizontal="center" vertical="center"/>
    </xf>
    <xf numFmtId="0" fontId="24" fillId="19" borderId="3" xfId="1" applyFont="1" applyFill="1" applyAlignment="1">
      <alignment horizontal="center" vertical="center"/>
    </xf>
    <xf numFmtId="0" fontId="23" fillId="18" borderId="3" xfId="1" applyFont="1" applyFill="1" applyAlignment="1">
      <alignment horizontal="center" vertical="center"/>
    </xf>
    <xf numFmtId="0" fontId="16" fillId="12" borderId="3" xfId="1" applyFont="1" applyFill="1" applyAlignment="1">
      <alignment horizontal="left" vertical="center"/>
    </xf>
    <xf numFmtId="0" fontId="13" fillId="10" borderId="3" xfId="1"/>
    <xf numFmtId="0" fontId="18" fillId="10" borderId="3" xfId="1" applyFont="1" applyAlignment="1">
      <alignment horizontal="left" vertical="center"/>
    </xf>
    <xf numFmtId="0" fontId="15" fillId="10" borderId="3" xfId="1" applyFont="1" applyAlignment="1">
      <alignment horizontal="left" vertical="center"/>
    </xf>
    <xf numFmtId="0" fontId="14" fillId="10" borderId="3" xfId="1" applyFont="1" applyAlignment="1">
      <alignment horizontal="left" vertical="center"/>
    </xf>
    <xf numFmtId="0" fontId="15" fillId="10" borderId="3" xfId="1" applyFont="1"/>
    <xf numFmtId="0" fontId="14" fillId="10" borderId="3" xfId="1" applyNumberFormat="1" applyFont="1" applyFill="1" applyBorder="1" applyAlignment="1">
      <alignment horizontal="left" vertical="center" wrapText="1"/>
    </xf>
    <xf numFmtId="0" fontId="13" fillId="10" borderId="3" xfId="1" applyNumberFormat="1" applyFont="1" applyFill="1" applyBorder="1" applyAlignment="1">
      <alignment wrapText="1"/>
    </xf>
    <xf numFmtId="0" fontId="15" fillId="10" borderId="3" xfId="1" applyNumberFormat="1" applyFont="1" applyFill="1" applyBorder="1" applyAlignment="1">
      <alignment horizontal="left" vertical="center" wrapText="1"/>
    </xf>
    <xf numFmtId="0" fontId="17" fillId="13" borderId="3" xfId="1" applyNumberFormat="1" applyFont="1" applyFill="1" applyBorder="1" applyAlignment="1">
      <alignment horizontal="center" vertical="center" wrapText="1"/>
    </xf>
    <xf numFmtId="0" fontId="18" fillId="10" borderId="4" xfId="1" applyNumberFormat="1" applyFont="1" applyFill="1" applyBorder="1" applyAlignment="1">
      <alignment horizontal="center" vertical="center" wrapText="1"/>
    </xf>
    <xf numFmtId="0" fontId="18" fillId="10" borderId="4" xfId="1" applyNumberFormat="1" applyFont="1" applyFill="1" applyBorder="1" applyAlignment="1">
      <alignment horizontal="left" vertical="center" wrapText="1"/>
    </xf>
    <xf numFmtId="3" fontId="18" fillId="10" borderId="4" xfId="1" applyNumberFormat="1" applyFont="1" applyFill="1" applyBorder="1" applyAlignment="1">
      <alignment horizontal="right" vertical="center" wrapText="1"/>
    </xf>
    <xf numFmtId="0" fontId="18" fillId="14" borderId="4" xfId="1" applyNumberFormat="1" applyFont="1" applyFill="1" applyBorder="1" applyAlignment="1">
      <alignment horizontal="center" vertical="center" wrapText="1"/>
    </xf>
    <xf numFmtId="0" fontId="18" fillId="14" borderId="4" xfId="1" applyNumberFormat="1" applyFont="1" applyFill="1" applyBorder="1" applyAlignment="1">
      <alignment horizontal="left" vertical="center" wrapText="1"/>
    </xf>
    <xf numFmtId="3" fontId="18" fillId="14" borderId="4" xfId="1" applyNumberFormat="1" applyFont="1" applyFill="1" applyBorder="1" applyAlignment="1">
      <alignment horizontal="right" vertical="center" wrapText="1"/>
    </xf>
    <xf numFmtId="0" fontId="13" fillId="10" borderId="3" xfId="1" applyNumberFormat="1" applyFont="1" applyFill="1" applyBorder="1" applyAlignment="1">
      <alignment vertical="center" wrapText="1"/>
    </xf>
    <xf numFmtId="0" fontId="18" fillId="20" borderId="4" xfId="1" applyNumberFormat="1" applyFont="1" applyFill="1" applyBorder="1" applyAlignment="1">
      <alignment horizontal="center" vertical="center" wrapText="1"/>
    </xf>
    <xf numFmtId="0" fontId="18" fillId="20" borderId="4" xfId="1" applyNumberFormat="1" applyFont="1" applyFill="1" applyBorder="1" applyAlignment="1">
      <alignment horizontal="left" vertical="center" wrapText="1"/>
    </xf>
    <xf numFmtId="3" fontId="18" fillId="20" borderId="4" xfId="1" applyNumberFormat="1" applyFont="1" applyFill="1" applyBorder="1" applyAlignment="1">
      <alignment horizontal="right" vertical="center" wrapText="1"/>
    </xf>
    <xf numFmtId="0" fontId="18" fillId="10" borderId="5" xfId="1" applyNumberFormat="1" applyFont="1" applyFill="1" applyBorder="1" applyAlignment="1">
      <alignment horizontal="center" vertical="center" wrapText="1"/>
    </xf>
    <xf numFmtId="0" fontId="18" fillId="10" borderId="5" xfId="1" applyNumberFormat="1" applyFont="1" applyFill="1" applyBorder="1" applyAlignment="1">
      <alignment horizontal="left" vertical="center" wrapText="1"/>
    </xf>
    <xf numFmtId="3" fontId="18" fillId="10" borderId="5" xfId="1" applyNumberFormat="1" applyFont="1" applyFill="1" applyBorder="1" applyAlignment="1">
      <alignment horizontal="right" vertical="center" wrapText="1"/>
    </xf>
    <xf numFmtId="0" fontId="15" fillId="10" borderId="3" xfId="1" applyNumberFormat="1" applyFont="1" applyFill="1" applyBorder="1" applyAlignment="1">
      <alignment wrapText="1"/>
    </xf>
    <xf numFmtId="0" fontId="15" fillId="10" borderId="3" xfId="1" applyNumberFormat="1" applyFont="1" applyFill="1" applyBorder="1" applyAlignment="1">
      <alignment vertical="center" wrapText="1"/>
    </xf>
    <xf numFmtId="0" fontId="18" fillId="21" borderId="4" xfId="1" applyNumberFormat="1" applyFont="1" applyFill="1" applyBorder="1" applyAlignment="1">
      <alignment horizontal="center" vertical="center" wrapText="1"/>
    </xf>
    <xf numFmtId="0" fontId="18" fillId="21" borderId="4" xfId="1" applyNumberFormat="1" applyFont="1" applyFill="1" applyBorder="1" applyAlignment="1">
      <alignment horizontal="left" vertical="center" wrapText="1"/>
    </xf>
    <xf numFmtId="3" fontId="18" fillId="21" borderId="4" xfId="1" applyNumberFormat="1" applyFont="1" applyFill="1" applyBorder="1" applyAlignment="1">
      <alignment horizontal="right" vertical="center" wrapText="1"/>
    </xf>
    <xf numFmtId="0" fontId="18" fillId="14" borderId="5" xfId="1" applyNumberFormat="1" applyFont="1" applyFill="1" applyBorder="1" applyAlignment="1">
      <alignment horizontal="left" vertical="center" wrapText="1"/>
    </xf>
    <xf numFmtId="0" fontId="18" fillId="14" borderId="5" xfId="1" applyNumberFormat="1" applyFont="1" applyFill="1" applyBorder="1" applyAlignment="1">
      <alignment horizontal="center" vertical="center" wrapText="1"/>
    </xf>
    <xf numFmtId="3" fontId="18" fillId="14" borderId="5" xfId="1" applyNumberFormat="1" applyFont="1" applyFill="1" applyBorder="1" applyAlignment="1">
      <alignment horizontal="right" vertical="center" wrapText="1"/>
    </xf>
    <xf numFmtId="0" fontId="18" fillId="21" borderId="5" xfId="1" applyNumberFormat="1" applyFont="1" applyFill="1" applyBorder="1" applyAlignment="1">
      <alignment horizontal="left" vertical="center" wrapText="1"/>
    </xf>
    <xf numFmtId="0" fontId="18" fillId="21" borderId="5" xfId="1" applyNumberFormat="1" applyFont="1" applyFill="1" applyBorder="1" applyAlignment="1">
      <alignment horizontal="center" vertical="center" wrapText="1"/>
    </xf>
    <xf numFmtId="3" fontId="18" fillId="21" borderId="5" xfId="1" applyNumberFormat="1" applyFont="1" applyFill="1" applyBorder="1" applyAlignment="1">
      <alignment horizontal="right" vertical="center" wrapText="1"/>
    </xf>
    <xf numFmtId="0" fontId="18" fillId="20" borderId="5" xfId="1" applyNumberFormat="1" applyFont="1" applyFill="1" applyBorder="1" applyAlignment="1">
      <alignment horizontal="left" vertical="center" wrapText="1"/>
    </xf>
    <xf numFmtId="0" fontId="18" fillId="20" borderId="5" xfId="1" applyNumberFormat="1" applyFont="1" applyFill="1" applyBorder="1" applyAlignment="1">
      <alignment horizontal="center" vertical="center" wrapText="1"/>
    </xf>
    <xf numFmtId="3" fontId="18" fillId="20" borderId="5" xfId="1" applyNumberFormat="1" applyFont="1" applyFill="1" applyBorder="1" applyAlignment="1">
      <alignment horizontal="right" vertical="center" wrapText="1"/>
    </xf>
    <xf numFmtId="0" fontId="16" fillId="12" borderId="3" xfId="1" applyNumberFormat="1" applyFont="1" applyFill="1" applyBorder="1" applyAlignment="1">
      <alignment horizontal="left" vertical="center" wrapText="1"/>
    </xf>
    <xf numFmtId="0" fontId="19" fillId="15" borderId="4" xfId="1" applyNumberFormat="1" applyFont="1" applyFill="1" applyBorder="1" applyAlignment="1">
      <alignment horizontal="center" vertical="center" wrapText="1"/>
    </xf>
    <xf numFmtId="0" fontId="20" fillId="16" borderId="4" xfId="1" applyNumberFormat="1" applyFont="1" applyFill="1" applyBorder="1" applyAlignment="1">
      <alignment horizontal="center" vertical="center" wrapText="1"/>
    </xf>
    <xf numFmtId="0" fontId="21" fillId="17" borderId="4" xfId="1" applyNumberFormat="1" applyFont="1" applyFill="1" applyBorder="1" applyAlignment="1">
      <alignment horizontal="center" vertical="center" wrapText="1"/>
    </xf>
    <xf numFmtId="0" fontId="18" fillId="10" borderId="3" xfId="1" applyNumberFormat="1" applyFont="1" applyFill="1" applyBorder="1" applyAlignment="1">
      <alignment horizontal="left" vertical="center" wrapText="1"/>
    </xf>
    <xf numFmtId="0" fontId="18" fillId="10" borderId="4" xfId="1" applyNumberFormat="1" applyFont="1" applyFill="1" applyBorder="1" applyAlignment="1">
      <alignment wrapText="1"/>
    </xf>
    <xf numFmtId="3" fontId="22" fillId="10" borderId="4" xfId="1" applyNumberFormat="1" applyFont="1" applyFill="1" applyBorder="1" applyAlignment="1">
      <alignment horizontal="center" vertical="center" wrapText="1"/>
    </xf>
    <xf numFmtId="0" fontId="13" fillId="10" borderId="4" xfId="1" applyNumberFormat="1" applyFont="1" applyFill="1" applyBorder="1" applyAlignment="1">
      <alignment wrapText="1"/>
    </xf>
    <xf numFmtId="0" fontId="18" fillId="14" borderId="4" xfId="1" applyNumberFormat="1" applyFont="1" applyFill="1" applyBorder="1" applyAlignment="1">
      <alignment wrapText="1"/>
    </xf>
    <xf numFmtId="3" fontId="22" fillId="14" borderId="4" xfId="1" applyNumberFormat="1" applyFont="1" applyFill="1" applyBorder="1" applyAlignment="1">
      <alignment horizontal="center" vertical="center" wrapText="1"/>
    </xf>
    <xf numFmtId="0" fontId="13" fillId="14" borderId="4" xfId="1" applyNumberFormat="1" applyFont="1" applyFill="1" applyBorder="1" applyAlignment="1">
      <alignment wrapText="1"/>
    </xf>
    <xf numFmtId="0" fontId="18" fillId="10" borderId="4" xfId="1" applyNumberFormat="1" applyFont="1" applyFill="1" applyBorder="1" applyAlignment="1">
      <alignment vertical="center" wrapText="1"/>
    </xf>
    <xf numFmtId="0" fontId="13" fillId="10" borderId="4" xfId="1" applyNumberFormat="1" applyFont="1" applyFill="1" applyBorder="1" applyAlignment="1">
      <alignment vertical="center" wrapText="1"/>
    </xf>
    <xf numFmtId="0" fontId="18" fillId="14" borderId="4" xfId="1" applyNumberFormat="1" applyFont="1" applyFill="1" applyBorder="1" applyAlignment="1">
      <alignment vertical="center" wrapText="1"/>
    </xf>
    <xf numFmtId="0" fontId="13" fillId="14" borderId="4" xfId="1" applyNumberFormat="1" applyFont="1" applyFill="1" applyBorder="1" applyAlignment="1">
      <alignment vertical="center" wrapText="1"/>
    </xf>
    <xf numFmtId="0" fontId="23" fillId="18" borderId="4" xfId="1" applyNumberFormat="1" applyFont="1" applyFill="1" applyBorder="1" applyAlignment="1">
      <alignment horizontal="center" vertical="center" wrapText="1"/>
    </xf>
    <xf numFmtId="0" fontId="24" fillId="19" borderId="4" xfId="1" applyNumberFormat="1" applyFont="1" applyFill="1" applyBorder="1" applyAlignment="1">
      <alignment horizontal="center" vertical="center" wrapText="1"/>
    </xf>
    <xf numFmtId="0" fontId="22" fillId="10" borderId="3" xfId="1" applyNumberFormat="1" applyFont="1" applyFill="1" applyBorder="1" applyAlignment="1">
      <alignment wrapText="1"/>
    </xf>
    <xf numFmtId="0" fontId="19" fillId="15" borderId="3" xfId="1" applyNumberFormat="1" applyFont="1" applyFill="1" applyBorder="1" applyAlignment="1">
      <alignment horizontal="center" vertical="center" wrapText="1"/>
    </xf>
    <xf numFmtId="0" fontId="20" fillId="16" borderId="3" xfId="1" applyNumberFormat="1" applyFont="1" applyFill="1" applyBorder="1" applyAlignment="1">
      <alignment horizontal="center" vertical="center" wrapText="1"/>
    </xf>
    <xf numFmtId="0" fontId="21" fillId="17" borderId="3" xfId="1" applyNumberFormat="1" applyFont="1" applyFill="1" applyBorder="1" applyAlignment="1">
      <alignment horizontal="center" vertical="center" wrapText="1"/>
    </xf>
    <xf numFmtId="0" fontId="24" fillId="19" borderId="3" xfId="1" applyNumberFormat="1" applyFont="1" applyFill="1" applyBorder="1" applyAlignment="1">
      <alignment horizontal="center" vertical="center" wrapText="1"/>
    </xf>
    <xf numFmtId="0" fontId="23" fillId="18" borderId="3" xfId="1" applyNumberFormat="1" applyFont="1" applyFill="1" applyBorder="1" applyAlignment="1">
      <alignment horizontal="center" vertical="center" wrapText="1"/>
    </xf>
    <xf numFmtId="0" fontId="22" fillId="10" borderId="3" xfId="1" applyNumberFormat="1" applyFont="1" applyFill="1" applyBorder="1" applyAlignment="1">
      <alignment vertical="center" wrapText="1"/>
    </xf>
    <xf numFmtId="164" fontId="18" fillId="10" borderId="4" xfId="1" applyNumberFormat="1" applyFont="1" applyFill="1" applyBorder="1" applyAlignment="1">
      <alignment horizontal="center" vertical="center" wrapText="1"/>
    </xf>
    <xf numFmtId="164" fontId="18" fillId="14" borderId="4" xfId="1" applyNumberFormat="1" applyFont="1" applyFill="1" applyBorder="1" applyAlignment="1">
      <alignment horizontal="center" vertical="center" wrapText="1"/>
    </xf>
    <xf numFmtId="164" fontId="18" fillId="20" borderId="4" xfId="1" applyNumberFormat="1" applyFont="1" applyFill="1" applyBorder="1" applyAlignment="1">
      <alignment horizontal="center" vertical="center" wrapText="1"/>
    </xf>
    <xf numFmtId="164" fontId="18" fillId="10" borderId="4" xfId="1" applyNumberFormat="1" applyFont="1" applyFill="1" applyBorder="1" applyAlignment="1">
      <alignment horizontal="right" vertical="center" wrapText="1"/>
    </xf>
    <xf numFmtId="164" fontId="18" fillId="14" borderId="4" xfId="1" applyNumberFormat="1" applyFont="1" applyFill="1" applyBorder="1" applyAlignment="1">
      <alignment horizontal="right" vertical="center" wrapText="1"/>
    </xf>
    <xf numFmtId="164" fontId="18" fillId="20" borderId="4" xfId="1" applyNumberFormat="1" applyFont="1" applyFill="1" applyBorder="1" applyAlignment="1">
      <alignment horizontal="right" vertical="center" wrapText="1"/>
    </xf>
    <xf numFmtId="164" fontId="18" fillId="21" borderId="4" xfId="1" applyNumberFormat="1" applyFont="1" applyFill="1" applyBorder="1" applyAlignment="1">
      <alignment horizontal="center" vertical="center" wrapText="1"/>
    </xf>
    <xf numFmtId="164" fontId="18" fillId="10" borderId="5" xfId="1" applyNumberFormat="1" applyFont="1" applyFill="1" applyBorder="1" applyAlignment="1">
      <alignment horizontal="center" vertical="center" wrapText="1"/>
    </xf>
    <xf numFmtId="164" fontId="18" fillId="21" borderId="4" xfId="1" applyNumberFormat="1" applyFont="1" applyFill="1" applyBorder="1" applyAlignment="1">
      <alignment horizontal="right" vertical="center" wrapText="1"/>
    </xf>
    <xf numFmtId="164" fontId="18" fillId="10" borderId="5" xfId="1" applyNumberFormat="1" applyFont="1" applyFill="1" applyBorder="1" applyAlignment="1">
      <alignment horizontal="right" vertical="center" wrapText="1"/>
    </xf>
    <xf numFmtId="164" fontId="18" fillId="14" borderId="5" xfId="1" applyNumberFormat="1" applyFont="1" applyFill="1" applyBorder="1" applyAlignment="1">
      <alignment horizontal="center" vertical="center" wrapText="1"/>
    </xf>
    <xf numFmtId="164" fontId="18" fillId="21" borderId="5" xfId="1" applyNumberFormat="1" applyFont="1" applyFill="1" applyBorder="1" applyAlignment="1">
      <alignment horizontal="center" vertical="center" wrapText="1"/>
    </xf>
    <xf numFmtId="164" fontId="18" fillId="20" borderId="5" xfId="1" applyNumberFormat="1" applyFont="1" applyFill="1" applyBorder="1" applyAlignment="1">
      <alignment horizontal="center" vertical="center" wrapText="1"/>
    </xf>
    <xf numFmtId="164" fontId="18" fillId="14" borderId="5" xfId="1" applyNumberFormat="1" applyFont="1" applyFill="1" applyBorder="1" applyAlignment="1">
      <alignment horizontal="right" vertical="center" wrapText="1"/>
    </xf>
    <xf numFmtId="164" fontId="18" fillId="21" borderId="5" xfId="1" applyNumberFormat="1" applyFont="1" applyFill="1" applyBorder="1" applyAlignment="1">
      <alignment horizontal="right" vertical="center" wrapText="1"/>
    </xf>
    <xf numFmtId="164" fontId="18" fillId="20" borderId="5" xfId="1" applyNumberFormat="1" applyFont="1" applyFill="1" applyBorder="1" applyAlignment="1">
      <alignment horizontal="right" vertical="center" wrapText="1"/>
    </xf>
    <xf numFmtId="0" fontId="13" fillId="22" borderId="3" xfId="1" applyNumberFormat="1" applyFont="1" applyFill="1" applyBorder="1" applyAlignment="1">
      <alignment vertical="center" wrapText="1"/>
    </xf>
    <xf numFmtId="0" fontId="19" fillId="23" borderId="4" xfId="1" applyNumberFormat="1" applyFont="1" applyFill="1" applyBorder="1" applyAlignment="1">
      <alignment horizontal="center" vertical="center" wrapText="1"/>
    </xf>
    <xf numFmtId="0" fontId="26" fillId="23" borderId="4" xfId="1" applyNumberFormat="1" applyFont="1" applyFill="1" applyBorder="1" applyAlignment="1">
      <alignment horizontal="center" vertical="center" wrapText="1"/>
    </xf>
    <xf numFmtId="0" fontId="20" fillId="23" borderId="4" xfId="1" applyNumberFormat="1" applyFont="1" applyFill="1" applyBorder="1" applyAlignment="1">
      <alignment horizontal="center" vertical="center" wrapText="1"/>
    </xf>
    <xf numFmtId="0" fontId="21" fillId="24" borderId="4" xfId="1" applyNumberFormat="1" applyFont="1" applyFill="1" applyBorder="1" applyAlignment="1">
      <alignment horizontal="center" vertical="center" wrapText="1"/>
    </xf>
    <xf numFmtId="0" fontId="27" fillId="24" borderId="4" xfId="1" applyNumberFormat="1" applyFont="1" applyFill="1" applyBorder="1" applyAlignment="1">
      <alignment horizontal="center" vertical="center" wrapText="1"/>
    </xf>
    <xf numFmtId="0" fontId="21" fillId="25" borderId="4" xfId="1" applyNumberFormat="1" applyFont="1" applyFill="1" applyBorder="1" applyAlignment="1">
      <alignment horizontal="center" vertical="center" wrapText="1"/>
    </xf>
    <xf numFmtId="0" fontId="28" fillId="25" borderId="4" xfId="1" applyNumberFormat="1" applyFont="1" applyFill="1" applyBorder="1" applyAlignment="1">
      <alignment horizontal="center" vertical="center" wrapText="1"/>
    </xf>
    <xf numFmtId="0" fontId="23" fillId="26" borderId="4" xfId="1" applyNumberFormat="1" applyFont="1" applyFill="1" applyBorder="1" applyAlignment="1">
      <alignment horizontal="center" vertical="center" wrapText="1"/>
    </xf>
    <xf numFmtId="0" fontId="29" fillId="26" borderId="4" xfId="1" applyNumberFormat="1" applyFont="1" applyFill="1" applyBorder="1" applyAlignment="1">
      <alignment horizontal="center" vertical="center" wrapText="1"/>
    </xf>
    <xf numFmtId="0" fontId="24" fillId="25" borderId="4" xfId="1" applyNumberFormat="1" applyFont="1" applyFill="1" applyBorder="1" applyAlignment="1">
      <alignment horizontal="center" vertical="center" wrapText="1"/>
    </xf>
    <xf numFmtId="0" fontId="24" fillId="27" borderId="4" xfId="1" applyNumberFormat="1" applyFont="1" applyFill="1" applyBorder="1" applyAlignment="1">
      <alignment horizontal="center" vertical="center" wrapText="1"/>
    </xf>
    <xf numFmtId="0" fontId="30" fillId="27" borderId="4" xfId="1" applyNumberFormat="1" applyFont="1" applyFill="1" applyBorder="1" applyAlignment="1">
      <alignment horizontal="center" vertical="center" wrapText="1"/>
    </xf>
    <xf numFmtId="0" fontId="24" fillId="26" borderId="4" xfId="1" applyNumberFormat="1" applyFont="1" applyFill="1" applyBorder="1" applyAlignment="1">
      <alignment horizontal="center" vertical="center" wrapText="1"/>
    </xf>
    <xf numFmtId="0" fontId="13" fillId="25" borderId="3" xfId="1" applyNumberFormat="1" applyFont="1" applyFill="1" applyBorder="1" applyAlignment="1">
      <alignment vertical="center" wrapText="1"/>
    </xf>
    <xf numFmtId="0" fontId="31" fillId="25" borderId="3" xfId="1" applyNumberFormat="1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3B52"/>
  </sheetPr>
  <dimension ref="A1:E56"/>
  <sheetViews>
    <sheetView showGridLines="0" tabSelected="1" topLeftCell="A36" workbookViewId="0">
      <selection activeCell="C8" sqref="C8"/>
    </sheetView>
  </sheetViews>
  <sheetFormatPr defaultRowHeight="16.5" x14ac:dyDescent="0.3"/>
  <cols>
    <col min="1" max="1" width="18" customWidth="1"/>
    <col min="2" max="2" width="22" customWidth="1"/>
    <col min="3" max="3" width="44" customWidth="1"/>
    <col min="4" max="5" width="18" customWidth="1"/>
  </cols>
  <sheetData>
    <row r="1" spans="1:5" ht="34" customHeight="1" x14ac:dyDescent="0.3">
      <c r="A1" s="78" t="str">
        <v>가이드 · 퀘스트 · 업적 카탈로그 — 베타 개정</v>
      </c>
      <c r="B1" s="88"/>
      <c r="C1" s="88"/>
      <c r="D1" s="88"/>
      <c r="E1" s="88"/>
    </row>
    <row r="2" spans="1:5" ht="62" customHeight="1" x14ac:dyDescent="0.3">
      <c r="A2" s="80" t="str">
        <v>Beta 1.0 · 2026-09-13 · 기준: 기획서(개정: 베타버전) / 현재 작업 트리 2dc4c3dd + 미커밋 변경</v>
      </c>
      <c r="B2" s="88"/>
      <c r="C2" s="88"/>
      <c r="D2" s="88"/>
      <c r="E2" s="88"/>
    </row>
    <row r="4" spans="1:5" ht="22" customHeight="1" x14ac:dyDescent="0.3">
      <c r="A4" s="109" t="s">
        <v>2</v>
      </c>
      <c r="B4" s="88"/>
      <c r="C4" s="88"/>
      <c r="D4" s="88"/>
      <c r="E4" s="88"/>
    </row>
    <row r="5" spans="1:5" x14ac:dyDescent="0.3" ht="22" customHeight="1">
      <c r="A5" s="81" t="s">
        <v>3</v>
      </c>
      <c r="B5" s="81" t="s">
        <v>4</v>
      </c>
      <c r="C5" s="81" t="s">
        <v>5</v>
      </c>
      <c r="D5" s="81" t="s">
        <v>6</v>
      </c>
      <c r="E5" s="81" t="s">
        <v>7</v>
      </c>
    </row>
    <row r="6" spans="1:5" x14ac:dyDescent="0.3" ht="28" customHeight="1">
      <c r="A6" s="83" t="s">
        <v>8</v>
      </c>
      <c r="B6" s="83" t="s">
        <v>9</v>
      </c>
      <c r="C6" s="83" t="s">
        <v>10</v>
      </c>
      <c r="D6" s="83" t="n">
        <v>28</v>
      </c>
      <c r="E6" s="83" t="str">
        <v>활성 28 / 보존 30 · 폐기 2</v>
      </c>
    </row>
    <row r="7" spans="1:5" x14ac:dyDescent="0.3" ht="28" customHeight="1">
      <c r="A7" s="86" t="s">
        <v>12</v>
      </c>
      <c r="B7" s="86" t="s">
        <v>13</v>
      </c>
      <c r="C7" s="86" t="s">
        <v>14</v>
      </c>
      <c r="D7" s="86" t="n">
        <v>8</v>
      </c>
      <c r="E7" s="86" t="str">
        <v>기본 7 + 완료 1 / 보존 10 · 폐기 1·보류 1</v>
      </c>
    </row>
    <row r="8" spans="1:5" x14ac:dyDescent="0.3" ht="22" customHeight="1">
      <c r="A8" s="83" t="s">
        <v>16</v>
      </c>
      <c r="B8" s="83" t="s">
        <v>17</v>
      </c>
      <c r="C8" s="83" t="s">
        <v>18</v>
      </c>
      <c r="D8" s="83">
        <v>7</v>
      </c>
      <c r="E8" s="83" t="s">
        <v>15</v>
      </c>
    </row>
    <row r="9" spans="1:5" x14ac:dyDescent="0.3" ht="28" customHeight="1">
      <c r="A9" s="86" t="s">
        <v>19</v>
      </c>
      <c r="B9" s="86" t="s">
        <v>20</v>
      </c>
      <c r="C9" s="86" t="s">
        <v>21</v>
      </c>
      <c r="D9" s="86" t="n">
        <v>49</v>
      </c>
      <c r="E9" s="86" t="str">
        <v>활성 49 / 보존 59 · 폐기 5·보류 5</v>
      </c>
    </row>
    <row r="11" spans="1:5" ht="22" customHeight="1" x14ac:dyDescent="0.3">
      <c r="A11" s="109" t="s">
        <v>23</v>
      </c>
      <c r="B11" s="88"/>
      <c r="C11" s="88"/>
      <c r="D11" s="88"/>
      <c r="E11" s="88"/>
    </row>
    <row r="12" spans="1:5" x14ac:dyDescent="0.3" ht="22" customHeight="1">
      <c r="A12" s="81" t="s">
        <v>24</v>
      </c>
      <c r="B12" s="81" t="s">
        <v>25</v>
      </c>
      <c r="C12" s="81" t="s">
        <v>26</v>
      </c>
      <c r="D12" s="81"/>
      <c r="E12" s="81"/>
    </row>
    <row r="13" spans="1:5" x14ac:dyDescent="0.3" ht="22" customHeight="1">
      <c r="A13" s="83" t="s">
        <v>8</v>
      </c>
      <c r="B13" s="83" t="s">
        <v>27</v>
      </c>
      <c r="C13" s="83" t="str">
        <v>폐기 10026·10027 건너뜀. 10025→10028; ID 재번호 금지</v>
      </c>
      <c r="D13" s="83"/>
      <c r="E13" s="83"/>
    </row>
    <row r="14" spans="1:5" x14ac:dyDescent="0.3" ht="22" customHeight="1">
      <c r="A14" s="86" t="s">
        <v>12</v>
      </c>
      <c r="B14" s="86" t="s">
        <v>29</v>
      </c>
      <c r="C14" s="86" t="s">
        <v>30</v>
      </c>
      <c r="D14" s="86"/>
      <c r="E14" s="86"/>
    </row>
    <row r="15" spans="1:5" x14ac:dyDescent="0.3" ht="22" customHeight="1">
      <c r="A15" s="83" t="s">
        <v>16</v>
      </c>
      <c r="B15" s="83" t="s">
        <v>31</v>
      </c>
      <c r="C15" s="83" t="s">
        <v>30</v>
      </c>
      <c r="D15" s="83"/>
      <c r="E15" s="83"/>
    </row>
    <row r="16" spans="1:5" x14ac:dyDescent="0.3" ht="22" customHeight="1">
      <c r="A16" s="86" t="s">
        <v>19</v>
      </c>
      <c r="B16" s="86" t="s">
        <v>32</v>
      </c>
      <c r="C16" s="86" t="s">
        <v>33</v>
      </c>
      <c r="D16" s="86"/>
      <c r="E16" s="86"/>
    </row>
    <row r="17" spans="1:5" x14ac:dyDescent="0.3" ht="22" customHeight="1">
      <c r="A17" s="83" t="s">
        <v>34</v>
      </c>
      <c r="B17" s="83" t="s">
        <v>35</v>
      </c>
      <c r="C17" s="83" t="s">
        <v>36</v>
      </c>
      <c r="D17" s="83"/>
      <c r="E17" s="83"/>
    </row>
    <row r="19" spans="1:5" ht="22" customHeight="1" x14ac:dyDescent="0.3">
      <c r="A19" s="109" t="s">
        <v>37</v>
      </c>
      <c r="B19" s="88"/>
      <c r="C19" s="88"/>
      <c r="D19" s="88"/>
      <c r="E19" s="88"/>
    </row>
    <row r="20" spans="1:5" x14ac:dyDescent="0.3" ht="22" customHeight="1">
      <c r="A20" s="81" t="s">
        <v>38</v>
      </c>
      <c r="B20" s="81" t="s">
        <v>39</v>
      </c>
      <c r="C20" s="81" t="s">
        <v>40</v>
      </c>
      <c r="D20" s="81"/>
      <c r="E20" s="81"/>
    </row>
    <row r="21" spans="1:5" x14ac:dyDescent="0.3" ht="22" customHeight="1">
      <c r="A21" s="83" t="s">
        <v>41</v>
      </c>
      <c r="B21" s="83" t="s">
        <v>42</v>
      </c>
      <c r="C21" s="83" t="s">
        <v>43</v>
      </c>
      <c r="D21" s="83"/>
      <c r="E21" s="83"/>
    </row>
    <row r="22" spans="1:5" x14ac:dyDescent="0.3" ht="28" customHeight="1">
      <c r="A22" s="86" t="s">
        <v>44</v>
      </c>
      <c r="B22" s="86" t="str">
        <v>1=장비 2=마탑. 3=신 스킬은 폐기 예약</v>
      </c>
      <c r="C22" s="86" t="s">
        <v>46</v>
      </c>
      <c r="D22" s="86"/>
      <c r="E22" s="86"/>
    </row>
    <row r="23" spans="1:5" x14ac:dyDescent="0.3" ht="28" customHeight="1">
      <c r="A23" s="83" t="s">
        <v>47</v>
      </c>
      <c r="B23" s="83" t="str">
        <v>1=ATK 2=HP 활성. 3·4·5는 보류 예약</v>
      </c>
      <c r="C23" s="83" t="s">
        <v>49</v>
      </c>
      <c r="D23" s="83"/>
      <c r="E23" s="83"/>
    </row>
    <row r="24" spans="1:5" x14ac:dyDescent="0.3" ht="22" customHeight="1">
      <c r="A24" s="86" t="s">
        <v>50</v>
      </c>
      <c r="B24" s="86" t="s">
        <v>51</v>
      </c>
      <c r="C24" s="86" t="s">
        <v>52</v>
      </c>
      <c r="D24" s="86"/>
      <c r="E24" s="86"/>
    </row>
    <row r="25" spans="1:5" x14ac:dyDescent="0.3" ht="22" customHeight="1">
      <c r="A25" s="83" t="s">
        <v>53</v>
      </c>
      <c r="B25" s="83" t="s">
        <v>54</v>
      </c>
      <c r="C25" s="83" t="s">
        <v>55</v>
      </c>
      <c r="D25" s="83"/>
      <c r="E25" s="83"/>
    </row>
    <row r="26" spans="1:5" x14ac:dyDescent="0.3" ht="28" customHeight="1">
      <c r="A26" s="86" t="s">
        <v>56</v>
      </c>
      <c r="B26" s="86" t="str">
        <v>폐기 예약: 기존 1·2·3 번호 재사용 금지</v>
      </c>
      <c r="C26" s="86" t="s">
        <v>58</v>
      </c>
      <c r="D26" s="86"/>
      <c r="E26" s="86"/>
    </row>
    <row r="28" spans="1:5" ht="22" customHeight="1" x14ac:dyDescent="0.3">
      <c r="A28" s="109" t="s">
        <v>59</v>
      </c>
      <c r="B28" s="88"/>
      <c r="C28" s="88"/>
      <c r="D28" s="88"/>
      <c r="E28" s="88"/>
    </row>
    <row r="29" spans="1:5" x14ac:dyDescent="0.3" ht="22" customHeight="1">
      <c r="A29" s="81" t="s">
        <v>60</v>
      </c>
      <c r="B29" s="81" t="s">
        <v>61</v>
      </c>
      <c r="C29" s="81" t="s">
        <v>62</v>
      </c>
      <c r="D29" s="81"/>
      <c r="E29" s="81"/>
    </row>
    <row r="30" spans="1:5" x14ac:dyDescent="0.3" ht="28" customHeight="1">
      <c r="A30" s="83" t="s">
        <v>63</v>
      </c>
      <c r="B30" s="110" t="s">
        <v>64</v>
      </c>
      <c r="C30" s="83" t="str">
        <v>골격 존재; 실제 SO 4개 ID 1~4만 연결. 본 카탈로그 10001~ 이관 필요</v>
      </c>
    </row>
    <row r="31" spans="1:5" x14ac:dyDescent="0.3" ht="28" customHeight="1">
      <c r="A31" s="86" t="s">
        <v>66</v>
      </c>
      <c r="B31" s="111" t="s">
        <v>67</v>
      </c>
      <c r="C31" s="86" t="str">
        <v>현재 StageCleared·MonsterKilled 중심. 베타 BattleTime·SkillCast 등 추가 배선</v>
      </c>
    </row>
    <row r="32" spans="1:5" x14ac:dyDescent="0.3" ht="22" customHeight="1">
      <c r="A32" s="83" t="s">
        <v>69</v>
      </c>
      <c r="B32" s="112" t="s">
        <v>70</v>
      </c>
      <c r="C32" s="83" t="str">
        <v>GetLifetimeValue() 현재 0. 최고 스냅샷·주기별 카운터 저장 필요</v>
      </c>
    </row>
    <row r="33" spans="1:5" x14ac:dyDescent="0.3" ht="28" customHeight="1">
      <c r="A33" s="86" t="s">
        <v>72</v>
      </c>
      <c r="B33" s="112" t="s">
        <v>70</v>
      </c>
      <c r="C33" s="86" t="str">
        <v>IQuestRewardGranter 인터페이스와 미연결 시 지급 차단 존재. 실제 지급 구현 미발견</v>
      </c>
    </row>
    <row r="34" spans="1:5" x14ac:dyDescent="0.3" ht="22" customHeight="1">
      <c r="A34" s="83" t="s">
        <v>74</v>
      </c>
      <c r="B34" s="112" t="s">
        <v>70</v>
      </c>
      <c r="C34" s="83" t="s">
        <v>75</v>
      </c>
    </row>
    <row r="35" spans="1:5" x14ac:dyDescent="0.3" ht="22" customHeight="1">
      <c r="A35" s="86" t="s">
        <v>76</v>
      </c>
      <c r="B35" s="112" t="s">
        <v>70</v>
      </c>
      <c r="C35" s="86" t="str">
        <v>업적 UI와 완료 집계·수령 상태의 실제 연결 검증 필요</v>
      </c>
    </row>
    <row r="36" spans="1:5" x14ac:dyDescent="0.3" ht="22" customHeight="1">
      <c r="A36" s="83" t="s">
        <v>78</v>
      </c>
      <c r="B36" s="111" t="s">
        <v>67</v>
      </c>
      <c r="C36" s="83" t="s">
        <v>79</v>
      </c>
    </row>
    <row r="37" spans="1:5" x14ac:dyDescent="0.3" ht="28" customHeight="1">
      <c r="A37" s="86" t="s">
        <v>41</v>
      </c>
      <c r="B37" s="111" t="s">
        <v>67</v>
      </c>
      <c r="C37" s="86" t="str">
        <v>현재 3+는 1·2 템플릿 교대 배율. 베타 1 산적 / 2 고블린 / 3 신규 오크로 대체</v>
      </c>
    </row>
    <row r="38" spans="1:5" x14ac:dyDescent="0.3" ht="22" customHeight="1">
      <c r="A38" s="83" t="s">
        <v>81</v>
      </c>
      <c r="B38" s="111" t="s">
        <v>67</v>
      </c>
      <c r="C38" s="83" t="s">
        <v>82</v>
      </c>
    </row>
    <row r="39" spans="1:5" x14ac:dyDescent="0.3" ht="28" customHeight="1">
      <c r="A39" s="86" t="s">
        <v>83</v>
      </c>
      <c r="B39" s="112" t="s">
        <v>70</v>
      </c>
      <c r="C39" s="86" t="str">
        <v>명명 조합 미구현 보류. 클래스 오라와 구별; 박사 과정 신 스킬 버프는 폐기</v>
      </c>
    </row>
    <row r="40" spans="1:5" x14ac:dyDescent="0.3" ht="28" customHeight="1">
      <c r="A40" s="83" t="s">
        <v>85</v>
      </c>
      <c r="B40" s="111" t="s">
        <v>67</v>
      </c>
      <c r="C40" s="83" t="str">
        <v>enum 6종 중 실사용 4종. KingdomSupply·TrainingTome 미사용. 루비 신규 필요</v>
      </c>
    </row>
    <row r="42" spans="1:5" ht="22" customHeight="1" x14ac:dyDescent="0.3">
      <c r="A42" s="109" t="s">
        <v>87</v>
      </c>
      <c r="B42" s="88"/>
      <c r="C42" s="88"/>
      <c r="D42" s="88"/>
      <c r="E42" s="88"/>
    </row>
    <row r="43" spans="1:5" x14ac:dyDescent="0.3" ht="22" customHeight="1">
      <c r="A43" s="113" t="str">
        <v>1. 원본 7개 시트·헤더·ID를 보존하고 비고의 폐기:·보류: 행은 등록 제외</v>
      </c>
      <c r="B43" s="88"/>
      <c r="C43" s="88"/>
      <c r="D43" s="88"/>
      <c r="E43" s="88"/>
    </row>
    <row r="44" spans="1:5" x14ac:dyDescent="0.3" ht="22" customHeight="1">
      <c r="A44" s="113" t="str">
        <v>2. 보상 원장·ClaimId·다중 재화 원자 지급 및 주기별 멱등 수령 구현</v>
      </c>
      <c r="B44" s="88"/>
      <c r="C44" s="88"/>
      <c r="D44" s="88"/>
      <c r="E44" s="88"/>
    </row>
    <row r="45" spans="1:5" x14ac:dyDescent="0.3" ht="22" customHeight="1">
      <c r="A45" s="113" t="str">
        <v>3. 실제 SO ID 1~4 → 10001~ 가이드 이관. 기존 지급·완료 기록 중복 방지</v>
      </c>
      <c r="B45" s="88"/>
      <c r="C45" s="88"/>
      <c r="D45" s="88"/>
      <c r="E45" s="88"/>
    </row>
    <row r="46" spans="1:5" x14ac:dyDescent="0.3" ht="22" customHeight="1">
      <c r="A46" s="113" t="str">
        <v>4. 목표 enum 기존 0~11 보존. 새 타입은 끝에 추가; 06_목표타입에 예약 ID 명시</v>
      </c>
      <c r="B46" s="88"/>
      <c r="C46" s="88"/>
      <c r="D46" s="88"/>
      <c r="E46" s="88"/>
    </row>
    <row r="47" spans="1:5" x14ac:dyDescent="0.3" ht="22" customHeight="1">
      <c r="A47" s="113" t="str">
        <v>5. KST 리셋·5/N 집계·접속 전 달성 스냅샷과 10분 루틴 기기 검증</v>
      </c>
      <c r="B47" s="88"/>
      <c r="C47" s="88"/>
      <c r="D47" s="88"/>
      <c r="E47" s="88"/>
    </row>
    <row r="49" spans="1:5" ht="22" customHeight="1" x14ac:dyDescent="0.3">
      <c r="A49" s="109" t="str">
        <v>6. 보존 행 통계 (폐기·보류 포함; 활성 수는 위 표)</v>
      </c>
      <c r="B49" s="88"/>
      <c r="C49" s="88"/>
      <c r="D49" s="88"/>
      <c r="E49" s="88"/>
    </row>
    <row r="50" spans="1:5" x14ac:dyDescent="0.3" ht="22" customHeight="1">
      <c r="A50" s="81" t="s">
        <v>60</v>
      </c>
      <c r="B50" s="81" t="s">
        <v>6</v>
      </c>
      <c r="C50" s="81"/>
      <c r="D50" s="81"/>
      <c r="E50" s="81"/>
    </row>
    <row r="51" spans="1:5" x14ac:dyDescent="0.3" ht="22" customHeight="1">
      <c r="A51" s="120" t="s">
        <v>8</v>
      </c>
      <c r="B51" s="115">
        <f>COUNT('02_가이드'!A5:A34)</f>
        <v>30</v>
      </c>
      <c r="C51" s="121"/>
      <c r="D51" s="121"/>
      <c r="E51" s="121"/>
    </row>
    <row r="52" spans="1:5" x14ac:dyDescent="0.3" ht="22" customHeight="1">
      <c r="A52" s="122" t="s">
        <v>12</v>
      </c>
      <c r="B52" s="118">
        <f>COUNTIF('03_퀘스트'!A5:A21,"일일")</f>
        <v>10</v>
      </c>
      <c r="C52" s="123"/>
      <c r="D52" s="123"/>
      <c r="E52" s="123"/>
    </row>
    <row r="53" spans="1:5" x14ac:dyDescent="0.3" ht="22" customHeight="1">
      <c r="A53" s="120" t="s">
        <v>16</v>
      </c>
      <c r="B53" s="115">
        <f>COUNTIF('03_퀘스트'!A5:A21,"주간")</f>
        <v>7</v>
      </c>
      <c r="C53" s="121"/>
      <c r="D53" s="121"/>
      <c r="E53" s="121"/>
    </row>
    <row r="54" spans="1:5" x14ac:dyDescent="0.3" ht="22" customHeight="1">
      <c r="A54" s="122" t="s">
        <v>19</v>
      </c>
      <c r="B54" s="118">
        <f>COUNT('04_업적'!B5:B63)</f>
        <v>59</v>
      </c>
      <c r="C54" s="123"/>
      <c r="D54" s="123"/>
      <c r="E54" s="123"/>
    </row>
    <row r="55" spans="1:5" x14ac:dyDescent="0.3" ht="22" customHeight="1">
      <c r="A55" s="120" t="s">
        <v>34</v>
      </c>
      <c r="B55" s="115">
        <f>COUNT('05_보상그룹'!A5:A26)</f>
        <v>22</v>
      </c>
      <c r="C55" s="121"/>
      <c r="D55" s="121"/>
      <c r="E55" s="121"/>
    </row>
    <row r="56" spans="1:5" x14ac:dyDescent="0.3" ht="22" customHeight="1">
      <c r="A56" s="122" t="s">
        <v>94</v>
      </c>
      <c r="B56" s="118">
        <f>COUNTIF('06_목표타입'!F5:F40,"신규")</f>
        <v>14</v>
      </c>
      <c r="C56" s="123"/>
      <c r="D56" s="123"/>
      <c r="E56" s="123"/>
    </row>
  </sheetData>
  <mergeCells count="13">
    <mergeCell ref="A49:E49"/>
    <mergeCell ref="A47:E47"/>
    <mergeCell ref="A1:E1"/>
    <mergeCell ref="A45:E45"/>
    <mergeCell ref="A46:E46"/>
    <mergeCell ref="A44:E44"/>
    <mergeCell ref="A4:E4"/>
    <mergeCell ref="A43:E43"/>
    <mergeCell ref="A2:E2"/>
    <mergeCell ref="A28:E28"/>
    <mergeCell ref="A42:E42"/>
    <mergeCell ref="A19:E19"/>
    <mergeCell ref="A11:E11"/>
  </mergeCells>
  <phoneticPr fontId="1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6B8C"/>
  </sheetPr>
  <dimension ref="A1:D18"/>
  <sheetViews>
    <sheetView showGridLines="0" workbookViewId="0">
      <pane ySplit="4" topLeftCell="A5" activePane="bottomLeft" state="frozen"/>
      <selection pane="bottomLeft" activeCell="D18" sqref="D18"/>
    </sheetView>
  </sheetViews>
  <sheetFormatPr defaultRowHeight="16.5" x14ac:dyDescent="0.3"/>
  <cols>
    <col min="1" max="1" width="16" customWidth="1"/>
    <col min="2" max="2" width="40" customWidth="1"/>
    <col min="3" max="3" width="22" customWidth="1"/>
    <col min="4" max="4" width="16" customWidth="1"/>
  </cols>
  <sheetData>
    <row r="1" spans="1:4" ht="34" customHeight="1" x14ac:dyDescent="0.3">
      <c r="A1" s="78" t="s">
        <v>95</v>
      </c>
      <c r="B1" s="88"/>
      <c r="C1" s="88"/>
      <c r="D1" s="88"/>
    </row>
    <row r="2" spans="1:4" ht="62" customHeight="1" x14ac:dyDescent="0.3">
      <c r="A2" s="80" t="str">
        <v>베타: 시간·플레이 중심 루틴으로 소비 강제 제거. 폐기·보류 목표는 별도 상태로 보존하며 실등록하지 않는다.</v>
      </c>
      <c r="B2" s="88"/>
      <c r="C2" s="88"/>
      <c r="D2" s="88"/>
    </row>
    <row r="4" spans="1:4" ht="22" customHeight="1" x14ac:dyDescent="0.3">
      <c r="A4" s="81" t="s">
        <v>97</v>
      </c>
      <c r="B4" s="81" t="s">
        <v>8</v>
      </c>
      <c r="C4" s="81" t="s">
        <v>98</v>
      </c>
      <c r="D4" s="81" t="s">
        <v>99</v>
      </c>
    </row>
    <row r="5" spans="1:4" x14ac:dyDescent="0.3" ht="22" customHeight="1">
      <c r="A5" s="83" t="s">
        <v>100</v>
      </c>
      <c r="B5" s="83" t="s">
        <v>101</v>
      </c>
      <c r="C5" s="83" t="str">
        <v>D-03 W-04 W-05</v>
      </c>
      <c r="D5" s="83" t="s">
        <v>103</v>
      </c>
    </row>
    <row r="6" spans="1:4" x14ac:dyDescent="0.3" ht="22" customHeight="1">
      <c r="A6" s="86" t="s">
        <v>104</v>
      </c>
      <c r="B6" s="86" t="s">
        <v>105</v>
      </c>
      <c r="C6" s="86" t="s">
        <v>106</v>
      </c>
      <c r="D6" s="86" t="s">
        <v>107</v>
      </c>
    </row>
    <row r="7" spans="1:4" x14ac:dyDescent="0.3" ht="22" customHeight="1">
      <c r="A7" s="83" t="s">
        <v>108</v>
      </c>
      <c r="B7" s="83" t="s">
        <v>109</v>
      </c>
      <c r="C7" s="83" t="s">
        <v>110</v>
      </c>
      <c r="D7" s="83" t="s">
        <v>111</v>
      </c>
    </row>
    <row r="8" spans="1:4" x14ac:dyDescent="0.3" ht="22" customHeight="1">
      <c r="A8" s="86" t="s">
        <v>112</v>
      </c>
      <c r="B8" s="86" t="s">
        <v>113</v>
      </c>
      <c r="C8" s="86" t="str">
        <v>— (반복 소비 요구 제거)</v>
      </c>
      <c r="D8" s="86" t="s">
        <v>115</v>
      </c>
    </row>
    <row r="9" spans="1:4" x14ac:dyDescent="0.3" ht="22" customHeight="1">
      <c r="A9" s="83" t="s">
        <v>81</v>
      </c>
      <c r="B9" s="83" t="s">
        <v>116</v>
      </c>
      <c r="C9" s="83" t="s">
        <v>102</v>
      </c>
      <c r="D9" s="83" t="s">
        <v>117</v>
      </c>
    </row>
    <row r="10" spans="1:4" x14ac:dyDescent="0.3" ht="22" customHeight="1">
      <c r="A10" s="86" t="s">
        <v>118</v>
      </c>
      <c r="B10" s="86" t="s">
        <v>119</v>
      </c>
      <c r="C10" s="86" t="s">
        <v>102</v>
      </c>
      <c r="D10" s="86" t="s">
        <v>120</v>
      </c>
    </row>
    <row r="11" spans="1:4" x14ac:dyDescent="0.3" ht="22" customHeight="1">
      <c r="A11" s="83" t="s">
        <v>83</v>
      </c>
      <c r="B11" s="83" t="str">
        <v>보류</v>
      </c>
      <c r="C11" s="83" t="s">
        <v>102</v>
      </c>
      <c r="D11" s="83" t="str">
        <v>07 파티 (보류)</v>
      </c>
    </row>
    <row r="12" spans="1:4" x14ac:dyDescent="0.3" ht="22" customHeight="1">
      <c r="A12" s="86" t="s">
        <v>122</v>
      </c>
      <c r="B12" s="86" t="s">
        <v>123</v>
      </c>
      <c r="C12" s="86" t="s">
        <v>124</v>
      </c>
      <c r="D12" s="86" t="s">
        <v>125</v>
      </c>
    </row>
    <row r="13" spans="1:4" x14ac:dyDescent="0.3" ht="22" customHeight="1">
      <c r="A13" s="83" t="str">
        <v>신 스킬 (폐기)</v>
      </c>
      <c r="B13" s="83" t="str">
        <v>G26 G27 제외</v>
      </c>
      <c r="C13" s="83" t="str">
        <v>D-07 제외</v>
      </c>
      <c r="D13" s="83" t="str">
        <v>09 전부 제외</v>
      </c>
    </row>
    <row r="14" spans="1:4" x14ac:dyDescent="0.3" ht="22" customHeight="1">
      <c r="A14" s="86" t="s">
        <v>130</v>
      </c>
      <c r="B14" s="86" t="s">
        <v>131</v>
      </c>
      <c r="C14" s="86" t="s">
        <v>132</v>
      </c>
      <c r="D14" s="86" t="s">
        <v>133</v>
      </c>
    </row>
    <row r="15" spans="1:4" x14ac:dyDescent="0.3" ht="22" customHeight="1">
      <c r="A15" s="83" t="s">
        <v>134</v>
      </c>
      <c r="B15" s="83" t="s">
        <v>135</v>
      </c>
      <c r="C15" s="83" t="str">
        <v>D-06 선택</v>
      </c>
      <c r="D15" s="83" t="s">
        <v>137</v>
      </c>
    </row>
    <row r="16" spans="1:4" x14ac:dyDescent="0.3" ht="22" customHeight="1">
      <c r="A16" s="86" t="s">
        <v>138</v>
      </c>
      <c r="B16" s="86" t="s">
        <v>139</v>
      </c>
      <c r="C16" s="86" t="s">
        <v>140</v>
      </c>
      <c r="D16" s="86" t="s">
        <v>141</v>
      </c>
    </row>
    <row r="17" spans="1:4" x14ac:dyDescent="0.3" ht="22" customHeight="1">
      <c r="A17" s="83" t="s">
        <v>142</v>
      </c>
      <c r="B17" s="83" t="s">
        <v>143</v>
      </c>
      <c r="C17" s="83" t="s">
        <v>144</v>
      </c>
      <c r="D17" s="83" t="s">
        <v>145</v>
      </c>
    </row>
    <row r="18" spans="1:4" x14ac:dyDescent="0.3" ht="22" customHeight="1">
      <c r="A18" s="86" t="str">
        <v>완료 / 광고 보류</v>
      </c>
      <c r="B18" s="86" t="s">
        <v>102</v>
      </c>
      <c r="C18" s="86" t="str">
        <v>D-10 W-07 / D-08 제외</v>
      </c>
      <c r="D18" s="86" t="s">
        <v>102</v>
      </c>
    </row>
  </sheetData>
  <mergeCells count="2">
    <mergeCell ref="A1:D1"/>
    <mergeCell ref="A2:D2"/>
  </mergeCells>
  <phoneticPr fontId="1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B7DD8"/>
  </sheetPr>
  <dimension ref="A1:L34"/>
  <sheetViews>
    <sheetView showGridLines="0" workbookViewId="0">
      <pane ySplit="4" topLeftCell="A5" activePane="bottomLeft" state="frozen"/>
      <selection pane="bottomLeft" activeCell="G9" sqref="G9"/>
    </sheetView>
  </sheetViews>
  <sheetFormatPr defaultRowHeight="16.5" x14ac:dyDescent="0.3"/>
  <cols>
    <col min="1" max="1" width="9" customWidth="1"/>
    <col min="2" max="2" width="6" customWidth="1"/>
    <col min="3" max="3" width="14" customWidth="1"/>
    <col min="4" max="4" width="22" customWidth="1"/>
    <col min="5" max="5" width="20" customWidth="1"/>
    <col min="6" max="7" width="13" customWidth="1"/>
    <col min="8" max="8" width="9" customWidth="1"/>
    <col min="9" max="9" width="12" customWidth="1"/>
    <col min="10" max="10" width="14" customWidth="1"/>
    <col min="11" max="11" width="15" customWidth="1"/>
    <col min="12" max="12" width="18" customWidth="1"/>
  </cols>
  <sheetData>
    <row r="1" spans="1:12" ht="34" customHeight="1" x14ac:dyDescent="0.3">
      <c r="A1" s="78" t="s">
        <v>8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</row>
    <row r="2" spans="1:12" ht="62" customHeight="1" x14ac:dyDescent="0.3">
      <c r="A2" s="80" t="str">
        <v>베타 개정 · 30개 ID 보존 / 활성 28개. 폐기: 행은 노출·지급·체인에서 제외. 현재 런타임 ID 1~4와 이관 필요.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</row>
    <row r="4" spans="1:12" ht="22" customHeight="1" x14ac:dyDescent="0.3">
      <c r="A4" s="81" t="s">
        <v>149</v>
      </c>
      <c r="B4" s="81" t="s">
        <v>150</v>
      </c>
      <c r="C4" s="81" t="s">
        <v>151</v>
      </c>
      <c r="D4" s="81" t="s">
        <v>152</v>
      </c>
      <c r="E4" s="81" t="s">
        <v>153</v>
      </c>
      <c r="F4" s="81" t="s">
        <v>154</v>
      </c>
      <c r="G4" s="81" t="s">
        <v>155</v>
      </c>
      <c r="H4" s="81" t="s">
        <v>156</v>
      </c>
      <c r="I4" s="81" t="s">
        <v>157</v>
      </c>
      <c r="J4" s="81" t="s">
        <v>158</v>
      </c>
      <c r="K4" s="81" t="s">
        <v>159</v>
      </c>
      <c r="L4" s="81" t="s">
        <v>160</v>
      </c>
    </row>
    <row r="5" spans="1:12" x14ac:dyDescent="0.3" ht="28" customHeight="1">
      <c r="A5" s="133">
        <v>10001</v>
      </c>
      <c r="B5" s="82" t="s">
        <v>161</v>
      </c>
      <c r="C5" s="83" t="s">
        <v>162</v>
      </c>
      <c r="D5" s="83" t="s">
        <v>163</v>
      </c>
      <c r="E5" s="83" t="s">
        <v>164</v>
      </c>
      <c r="F5" s="82" t="s">
        <v>165</v>
      </c>
      <c r="G5" s="136">
        <v>8590000129</v>
      </c>
      <c r="H5" s="136">
        <v>1</v>
      </c>
      <c r="I5" s="133">
        <v>10002</v>
      </c>
      <c r="J5" s="133">
        <v>1001</v>
      </c>
      <c r="K5" s="82" t="s">
        <v>166</v>
      </c>
      <c r="L5" s="83" t="str">
        <v>베타: 스냅샷·누적 저장과 보상 연결 적용 필요</v>
      </c>
    </row>
    <row r="6" spans="1:12" x14ac:dyDescent="0.3" ht="28" customHeight="1">
      <c r="A6" s="134">
        <v>10002</v>
      </c>
      <c r="B6" s="85" t="s">
        <v>105</v>
      </c>
      <c r="C6" s="86" t="s">
        <v>167</v>
      </c>
      <c r="D6" s="86" t="s">
        <v>168</v>
      </c>
      <c r="E6" s="86" t="s">
        <v>169</v>
      </c>
      <c r="F6" s="85" t="str">
        <v>LifetimeTotal</v>
      </c>
      <c r="G6" s="137">
        <v>0</v>
      </c>
      <c r="H6" s="137">
        <v>20</v>
      </c>
      <c r="I6" s="134">
        <v>10003</v>
      </c>
      <c r="J6" s="134">
        <v>1001</v>
      </c>
      <c r="K6" s="85" t="s">
        <v>166</v>
      </c>
      <c r="L6" s="86" t="str">
        <v>베타: 스냅샷·누적 저장과 보상 연결 적용 필요</v>
      </c>
    </row>
    <row r="7" spans="1:12" x14ac:dyDescent="0.3" ht="28" customHeight="1">
      <c r="A7" s="133">
        <v>10003</v>
      </c>
      <c r="B7" s="82" t="s">
        <v>171</v>
      </c>
      <c r="C7" s="83" t="s">
        <v>172</v>
      </c>
      <c r="D7" s="83" t="str">
        <v>공격력 강화 레벨 3 달성</v>
      </c>
      <c r="E7" s="83" t="s">
        <v>174</v>
      </c>
      <c r="F7" s="82" t="str">
        <v>CurrentState</v>
      </c>
      <c r="G7" s="136">
        <v>1</v>
      </c>
      <c r="H7" s="136">
        <v>3</v>
      </c>
      <c r="I7" s="133">
        <v>10004</v>
      </c>
      <c r="J7" s="133">
        <v>1001</v>
      </c>
      <c r="K7" s="82" t="s">
        <v>175</v>
      </c>
      <c r="L7" s="83" t="str">
        <v>베타: 스냅샷·누적 저장과 보상 연결 적용 필요</v>
      </c>
    </row>
    <row r="8" spans="1:12" x14ac:dyDescent="0.3" ht="28" customHeight="1">
      <c r="A8" s="134">
        <v>10004</v>
      </c>
      <c r="B8" s="85" t="s">
        <v>177</v>
      </c>
      <c r="C8" s="86" t="s">
        <v>178</v>
      </c>
      <c r="D8" s="86" t="str">
        <v>체력 강화 레벨 3 달성</v>
      </c>
      <c r="E8" s="86" t="s">
        <v>174</v>
      </c>
      <c r="F8" s="85" t="str">
        <v>CurrentState</v>
      </c>
      <c r="G8" s="137">
        <v>2</v>
      </c>
      <c r="H8" s="137">
        <v>3</v>
      </c>
      <c r="I8" s="134">
        <v>10005</v>
      </c>
      <c r="J8" s="134">
        <v>1001</v>
      </c>
      <c r="K8" s="85" t="s">
        <v>175</v>
      </c>
      <c r="L8" s="86" t="str">
        <v>베타: 스냅샷·누적 저장과 보상 연결 적용 필요</v>
      </c>
    </row>
    <row r="9" spans="1:12" x14ac:dyDescent="0.3" ht="28" customHeight="1">
      <c r="A9" s="133">
        <v>10005</v>
      </c>
      <c r="B9" s="82" t="s">
        <v>180</v>
      </c>
      <c r="C9" s="83" t="s">
        <v>181</v>
      </c>
      <c r="D9" s="83" t="s">
        <v>182</v>
      </c>
      <c r="E9" s="83" t="s">
        <v>164</v>
      </c>
      <c r="F9" s="82" t="s">
        <v>165</v>
      </c>
      <c r="G9" s="136">
        <v>8590000131</v>
      </c>
      <c r="H9" s="136">
        <v>1</v>
      </c>
      <c r="I9" s="133">
        <v>10006</v>
      </c>
      <c r="J9" s="133">
        <v>1001</v>
      </c>
      <c r="K9" s="82" t="s">
        <v>166</v>
      </c>
      <c r="L9" s="83" t="str">
        <v>베타: 스냅샷·누적 저장과 보상 연결 적용 필요</v>
      </c>
    </row>
    <row r="10" spans="1:12" x14ac:dyDescent="0.3" ht="28" customHeight="1">
      <c r="A10" s="134">
        <v>10006</v>
      </c>
      <c r="B10" s="85" t="s">
        <v>183</v>
      </c>
      <c r="C10" s="86" t="s">
        <v>184</v>
      </c>
      <c r="D10" s="86" t="s">
        <v>185</v>
      </c>
      <c r="E10" s="86" t="s">
        <v>186</v>
      </c>
      <c r="F10" s="85" t="str">
        <v>LifetimeTotal</v>
      </c>
      <c r="G10" s="137">
        <v>1</v>
      </c>
      <c r="H10" s="137">
        <v>1</v>
      </c>
      <c r="I10" s="134">
        <v>10007</v>
      </c>
      <c r="J10" s="134">
        <v>1002</v>
      </c>
      <c r="K10" s="85" t="s">
        <v>187</v>
      </c>
      <c r="L10" s="86" t="str">
        <v>베타: 스냅샷·누적 저장과 보상 연결 적용 필요</v>
      </c>
    </row>
    <row r="11" spans="1:12" x14ac:dyDescent="0.3" ht="28" customHeight="1">
      <c r="A11" s="133">
        <v>10007</v>
      </c>
      <c r="B11" s="82" t="s">
        <v>189</v>
      </c>
      <c r="C11" s="83" t="s">
        <v>190</v>
      </c>
      <c r="D11" s="83" t="s">
        <v>191</v>
      </c>
      <c r="E11" s="83" t="s">
        <v>192</v>
      </c>
      <c r="F11" s="82" t="s">
        <v>165</v>
      </c>
      <c r="G11" s="136">
        <v>0</v>
      </c>
      <c r="H11" s="136">
        <v>1</v>
      </c>
      <c r="I11" s="133">
        <v>10008</v>
      </c>
      <c r="J11" s="133">
        <v>1002</v>
      </c>
      <c r="K11" s="82" t="s">
        <v>193</v>
      </c>
      <c r="L11" s="83" t="str">
        <v>베타: 스냅샷·누적 저장과 보상 연결 적용 필요</v>
      </c>
    </row>
    <row r="12" spans="1:12" x14ac:dyDescent="0.3" ht="28" customHeight="1">
      <c r="A12" s="134">
        <v>10008</v>
      </c>
      <c r="B12" s="85" t="s">
        <v>194</v>
      </c>
      <c r="C12" s="86" t="s">
        <v>195</v>
      </c>
      <c r="D12" s="86" t="s">
        <v>196</v>
      </c>
      <c r="E12" s="86" t="s">
        <v>164</v>
      </c>
      <c r="F12" s="85" t="s">
        <v>165</v>
      </c>
      <c r="G12" s="137">
        <v>8590000133</v>
      </c>
      <c r="H12" s="137">
        <v>1</v>
      </c>
      <c r="I12" s="134">
        <v>10009</v>
      </c>
      <c r="J12" s="134">
        <v>1001</v>
      </c>
      <c r="K12" s="85" t="s">
        <v>166</v>
      </c>
      <c r="L12" s="86" t="str">
        <v>베타: 스냅샷·누적 저장과 보상 연결 적용 필요</v>
      </c>
    </row>
    <row r="13" spans="1:12" x14ac:dyDescent="0.3" ht="28" customHeight="1">
      <c r="A13" s="133">
        <v>10009</v>
      </c>
      <c r="B13" s="82" t="s">
        <v>197</v>
      </c>
      <c r="C13" s="83" t="s">
        <v>198</v>
      </c>
      <c r="D13" s="83" t="str">
        <v>공격력 강화 레벨 10 달성</v>
      </c>
      <c r="E13" s="83" t="s">
        <v>174</v>
      </c>
      <c r="F13" s="82" t="str">
        <v>CurrentState</v>
      </c>
      <c r="G13" s="136">
        <v>1</v>
      </c>
      <c r="H13" s="136">
        <v>10</v>
      </c>
      <c r="I13" s="133">
        <v>10010</v>
      </c>
      <c r="J13" s="133">
        <v>1002</v>
      </c>
      <c r="K13" s="82" t="s">
        <v>175</v>
      </c>
      <c r="L13" s="83" t="str">
        <v>베타: 스냅샷·누적 저장과 보상 연결 적용 필요</v>
      </c>
    </row>
    <row r="14" spans="1:12" x14ac:dyDescent="0.3" ht="40" customHeight="1">
      <c r="A14" s="134">
        <v>10010</v>
      </c>
      <c r="B14" s="85" t="s">
        <v>200</v>
      </c>
      <c r="C14" s="86" t="s">
        <v>201</v>
      </c>
      <c r="D14" s="86" t="str">
        <v>스테이지 1-11 보스 클리어</v>
      </c>
      <c r="E14" s="86" t="s">
        <v>164</v>
      </c>
      <c r="F14" s="85" t="s">
        <v>165</v>
      </c>
      <c r="G14" s="137" t="n">
        <v>8590000139</v>
      </c>
      <c r="H14" s="137">
        <v>1</v>
      </c>
      <c r="I14" s="134">
        <v>10011</v>
      </c>
      <c r="J14" s="134">
        <v>1004</v>
      </c>
      <c r="K14" s="85" t="s">
        <v>166</v>
      </c>
      <c r="L14" s="86" t="str">
        <v>베타: 구 1-10 보스 오기 수정. 첫 클리어 파편 40은 별도 마일스톤 지급</v>
      </c>
    </row>
    <row r="15" spans="1:12" x14ac:dyDescent="0.3" ht="28" customHeight="1">
      <c r="A15" s="133">
        <v>10011</v>
      </c>
      <c r="B15" s="82" t="s">
        <v>203</v>
      </c>
      <c r="C15" s="83" t="s">
        <v>204</v>
      </c>
      <c r="D15" s="83" t="str">
        <v>현재 보유 장비 3개 달성</v>
      </c>
      <c r="E15" s="83" t="s">
        <v>206</v>
      </c>
      <c r="F15" s="82" t="str">
        <v>CurrentState</v>
      </c>
      <c r="G15" s="136">
        <v>0</v>
      </c>
      <c r="H15" s="136">
        <v>3</v>
      </c>
      <c r="I15" s="133">
        <v>10012</v>
      </c>
      <c r="J15" s="133">
        <v>1002</v>
      </c>
      <c r="K15" s="82" t="s">
        <v>166</v>
      </c>
      <c r="L15" s="83" t="str">
        <v>베타: 장착 포함 보유 수량. 앞서 얻은 장비도 인정</v>
      </c>
    </row>
    <row r="16" spans="1:12" x14ac:dyDescent="0.3" ht="52" customHeight="1">
      <c r="A16" s="134">
        <v>10012</v>
      </c>
      <c r="B16" s="85" t="s">
        <v>207</v>
      </c>
      <c r="C16" s="86" t="str">
        <v>두 병사의 무기</v>
      </c>
      <c r="D16" s="86" t="str">
        <v>왕국군 2명에게 무기 장착</v>
      </c>
      <c r="E16" s="86" t="str">
        <v>EquipmentEquip</v>
      </c>
      <c r="F16" s="85" t="str">
        <v>CurrentState</v>
      </c>
      <c r="G16" s="137">
        <v>0</v>
      </c>
      <c r="H16" s="137" t="n">
        <v>2</v>
      </c>
      <c r="I16" s="134">
        <v>10013</v>
      </c>
      <c r="J16" s="134">
        <v>1002</v>
      </c>
      <c r="K16" s="85" t="s">
        <v>187</v>
      </c>
      <c r="L16" s="86" t="str">
        <v>베타 대체: 폐기된 합성 목표를 장착 2명으로 변경. 기존 완료 기록·보상 중복 지급 금지</v>
      </c>
    </row>
    <row r="17" spans="1:12" x14ac:dyDescent="0.3" ht="52" customHeight="1">
      <c r="A17" s="133">
        <v>10013</v>
      </c>
      <c r="B17" s="82" t="s">
        <v>211</v>
      </c>
      <c r="C17" s="83" t="s">
        <v>212</v>
      </c>
      <c r="D17" s="83" t="s">
        <v>213</v>
      </c>
      <c r="E17" s="83" t="s">
        <v>164</v>
      </c>
      <c r="F17" s="82" t="s">
        <v>165</v>
      </c>
      <c r="G17" s="136">
        <v>8590065665</v>
      </c>
      <c r="H17" s="136">
        <v>1</v>
      </c>
      <c r="I17" s="133">
        <v>10014</v>
      </c>
      <c r="J17" s="133" t="n">
        <v>1005</v>
      </c>
      <c r="K17" s="82" t="s">
        <v>166</v>
      </c>
      <c r="L17" s="83" t="str">
        <v>베타: 파편 40 지급. 첫 보스 40 + 이 보상 40 + 첫 전직 보상 40으로 3인 전직 가능</v>
      </c>
    </row>
    <row r="18" spans="1:12" x14ac:dyDescent="0.3" ht="28" customHeight="1">
      <c r="A18" s="134">
        <v>10014</v>
      </c>
      <c r="B18" s="85" t="s">
        <v>214</v>
      </c>
      <c r="C18" s="86" t="s">
        <v>215</v>
      </c>
      <c r="D18" s="86" t="s">
        <v>216</v>
      </c>
      <c r="E18" s="86" t="s">
        <v>217</v>
      </c>
      <c r="F18" s="85" t="s">
        <v>165</v>
      </c>
      <c r="G18" s="137">
        <v>1</v>
      </c>
      <c r="H18" s="137">
        <v>1</v>
      </c>
      <c r="I18" s="134">
        <v>10015</v>
      </c>
      <c r="J18" s="134">
        <v>1005</v>
      </c>
      <c r="K18" s="85" t="s">
        <v>187</v>
      </c>
      <c r="L18" s="86" t="str">
        <v>베타: 스냅샷·누적 저장과 보상 연결 적용 필요</v>
      </c>
    </row>
    <row r="19" spans="1:12" x14ac:dyDescent="0.3" ht="40" customHeight="1">
      <c r="A19" s="133">
        <v>10015</v>
      </c>
      <c r="B19" s="82" t="s">
        <v>218</v>
      </c>
      <c r="C19" s="83" t="s">
        <v>219</v>
      </c>
      <c r="D19" s="83" t="s">
        <v>220</v>
      </c>
      <c r="E19" s="83" t="s">
        <v>217</v>
      </c>
      <c r="F19" s="82" t="s">
        <v>165</v>
      </c>
      <c r="G19" s="136">
        <v>1</v>
      </c>
      <c r="H19" s="136">
        <v>3</v>
      </c>
      <c r="I19" s="133">
        <v>10016</v>
      </c>
      <c r="J19" s="133">
        <v>1005</v>
      </c>
      <c r="K19" s="82" t="s">
        <v>166</v>
      </c>
      <c r="L19" s="83" t="str">
        <v>베타: 차수 1 이상인 출전 인원 수. 명명 파티 보너스 해금 조건 아님</v>
      </c>
    </row>
    <row r="20" spans="1:12" x14ac:dyDescent="0.3" ht="28" customHeight="1">
      <c r="A20" s="134">
        <v>10016</v>
      </c>
      <c r="B20" s="85" t="s">
        <v>222</v>
      </c>
      <c r="C20" s="86" t="s">
        <v>223</v>
      </c>
      <c r="D20" s="86" t="s">
        <v>224</v>
      </c>
      <c r="E20" s="86" t="s">
        <v>186</v>
      </c>
      <c r="F20" s="85" t="str">
        <v>LifetimeTotal</v>
      </c>
      <c r="G20" s="137">
        <v>2</v>
      </c>
      <c r="H20" s="137">
        <v>1</v>
      </c>
      <c r="I20" s="134">
        <v>10017</v>
      </c>
      <c r="J20" s="134">
        <v>1006</v>
      </c>
      <c r="K20" s="85" t="s">
        <v>187</v>
      </c>
      <c r="L20" s="86" t="str">
        <v>베타: 스냅샷·누적 저장과 보상 연결 적용 필요</v>
      </c>
    </row>
    <row r="21" spans="1:12" x14ac:dyDescent="0.3" ht="28" customHeight="1">
      <c r="A21" s="133">
        <v>10017</v>
      </c>
      <c r="B21" s="82" t="s">
        <v>225</v>
      </c>
      <c r="C21" s="83" t="s">
        <v>226</v>
      </c>
      <c r="D21" s="83" t="s">
        <v>227</v>
      </c>
      <c r="E21" s="83" t="s">
        <v>228</v>
      </c>
      <c r="F21" s="82" t="s">
        <v>165</v>
      </c>
      <c r="G21" s="136">
        <v>0</v>
      </c>
      <c r="H21" s="136">
        <v>1</v>
      </c>
      <c r="I21" s="133">
        <v>10018</v>
      </c>
      <c r="J21" s="133">
        <v>1006</v>
      </c>
      <c r="K21" s="82" t="s">
        <v>193</v>
      </c>
      <c r="L21" s="83" t="str">
        <v>베타: 스냅샷·누적 저장과 보상 연결 적용 필요</v>
      </c>
    </row>
    <row r="22" spans="1:12" x14ac:dyDescent="0.3" ht="40" customHeight="1">
      <c r="A22" s="134">
        <v>10018</v>
      </c>
      <c r="B22" s="85" t="s">
        <v>229</v>
      </c>
      <c r="C22" s="86" t="s">
        <v>230</v>
      </c>
      <c r="D22" s="86" t="str">
        <v>보유 마탑 강화 레벨 합계 3 달성</v>
      </c>
      <c r="E22" s="86" t="s">
        <v>232</v>
      </c>
      <c r="F22" s="85" t="str">
        <v>CurrentState</v>
      </c>
      <c r="G22" s="137">
        <v>0</v>
      </c>
      <c r="H22" s="137">
        <v>3</v>
      </c>
      <c r="I22" s="134">
        <v>10019</v>
      </c>
      <c r="J22" s="134">
        <v>1006</v>
      </c>
      <c r="K22" s="85" t="s">
        <v>175</v>
      </c>
      <c r="L22" s="86" t="str">
        <v>베타: 현재 합계. 초기화·재강화로 누적 반복 파밍 금지</v>
      </c>
    </row>
    <row r="23" spans="1:12" x14ac:dyDescent="0.3" ht="52" customHeight="1">
      <c r="A23" s="133">
        <v>10019</v>
      </c>
      <c r="B23" s="82" t="s">
        <v>233</v>
      </c>
      <c r="C23" s="83" t="s">
        <v>234</v>
      </c>
      <c r="D23" s="83" t="s">
        <v>235</v>
      </c>
      <c r="E23" s="83" t="s">
        <v>164</v>
      </c>
      <c r="F23" s="82" t="s">
        <v>165</v>
      </c>
      <c r="G23" s="136">
        <v>8590065667</v>
      </c>
      <c r="H23" s="136">
        <v>1</v>
      </c>
      <c r="I23" s="133">
        <v>10020</v>
      </c>
      <c r="J23" s="133">
        <v>1002</v>
      </c>
      <c r="K23" s="82" t="s">
        <v>166</v>
      </c>
      <c r="L23" s="83" t="str">
        <v>베타: 최초 2-3 클리어 시 얼음송곳 스킬 별도 지급. 뽑기 운으로 2개 장착이 막히지 않음</v>
      </c>
    </row>
    <row r="24" spans="1:12" x14ac:dyDescent="0.3" ht="40" customHeight="1">
      <c r="A24" s="134">
        <v>10020</v>
      </c>
      <c r="B24" s="85" t="s">
        <v>236</v>
      </c>
      <c r="C24" s="86" t="s">
        <v>237</v>
      </c>
      <c r="D24" s="86" t="s">
        <v>238</v>
      </c>
      <c r="E24" s="86" t="s">
        <v>228</v>
      </c>
      <c r="F24" s="85" t="s">
        <v>165</v>
      </c>
      <c r="G24" s="137">
        <v>0</v>
      </c>
      <c r="H24" s="137">
        <v>2</v>
      </c>
      <c r="I24" s="134">
        <v>10021</v>
      </c>
      <c r="J24" s="134">
        <v>1006</v>
      </c>
      <c r="K24" s="85" t="s">
        <v>166</v>
      </c>
      <c r="L24" s="86" t="str">
        <v>베타: 서로 다른 스킬 2개. 슬롯 총 5개; 활성 스킬 3종</v>
      </c>
    </row>
    <row r="25" spans="1:12" x14ac:dyDescent="0.3" ht="28" customHeight="1">
      <c r="A25" s="133">
        <v>10021</v>
      </c>
      <c r="B25" s="82" t="s">
        <v>240</v>
      </c>
      <c r="C25" s="83" t="s">
        <v>241</v>
      </c>
      <c r="D25" s="83" t="s">
        <v>242</v>
      </c>
      <c r="E25" s="83" t="s">
        <v>164</v>
      </c>
      <c r="F25" s="82" t="s">
        <v>165</v>
      </c>
      <c r="G25" s="136">
        <v>8590065669</v>
      </c>
      <c r="H25" s="136">
        <v>1</v>
      </c>
      <c r="I25" s="133">
        <v>10022</v>
      </c>
      <c r="J25" s="133">
        <v>1002</v>
      </c>
      <c r="K25" s="82" t="s">
        <v>166</v>
      </c>
      <c r="L25" s="83" t="str">
        <v>베타: 스냅샷·누적 저장과 보상 연결 적용 필요</v>
      </c>
    </row>
    <row r="26" spans="1:12" x14ac:dyDescent="0.3" ht="28" customHeight="1">
      <c r="A26" s="134">
        <v>10022</v>
      </c>
      <c r="B26" s="85" t="s">
        <v>243</v>
      </c>
      <c r="C26" s="86" t="s">
        <v>244</v>
      </c>
      <c r="D26" s="86" t="s">
        <v>245</v>
      </c>
      <c r="E26" s="86" t="s">
        <v>246</v>
      </c>
      <c r="F26" s="85" t="str">
        <v>LifetimeTotal</v>
      </c>
      <c r="G26" s="137">
        <v>8858435585</v>
      </c>
      <c r="H26" s="137">
        <v>1</v>
      </c>
      <c r="I26" s="134">
        <v>10023</v>
      </c>
      <c r="J26" s="134">
        <v>1002</v>
      </c>
      <c r="K26" s="85" t="s">
        <v>166</v>
      </c>
      <c r="L26" s="86" t="str">
        <v>베타: 스냅샷·누적 저장과 보상 연결 적용 필요</v>
      </c>
    </row>
    <row r="27" spans="1:12" x14ac:dyDescent="0.3" ht="28" customHeight="1">
      <c r="A27" s="133">
        <v>10023</v>
      </c>
      <c r="B27" s="82" t="s">
        <v>247</v>
      </c>
      <c r="C27" s="83" t="s">
        <v>248</v>
      </c>
      <c r="D27" s="83" t="s">
        <v>249</v>
      </c>
      <c r="E27" s="83" t="s">
        <v>250</v>
      </c>
      <c r="F27" s="82" t="s">
        <v>165</v>
      </c>
      <c r="G27" s="136">
        <v>8858435585</v>
      </c>
      <c r="H27" s="136">
        <v>1</v>
      </c>
      <c r="I27" s="133">
        <v>10024</v>
      </c>
      <c r="J27" s="133">
        <v>1003</v>
      </c>
      <c r="K27" s="82" t="s">
        <v>166</v>
      </c>
      <c r="L27" s="83" t="str">
        <v>베타: 스냅샷·누적 저장과 보상 연결 적용 필요</v>
      </c>
    </row>
    <row r="28" spans="1:12" x14ac:dyDescent="0.3" ht="28" customHeight="1">
      <c r="A28" s="134">
        <v>10024</v>
      </c>
      <c r="B28" s="85" t="s">
        <v>251</v>
      </c>
      <c r="C28" s="86" t="s">
        <v>252</v>
      </c>
      <c r="D28" s="86" t="s">
        <v>253</v>
      </c>
      <c r="E28" s="86" t="s">
        <v>250</v>
      </c>
      <c r="F28" s="85" t="s">
        <v>165</v>
      </c>
      <c r="G28" s="137">
        <v>9126871041</v>
      </c>
      <c r="H28" s="137">
        <v>1</v>
      </c>
      <c r="I28" s="134">
        <v>10025</v>
      </c>
      <c r="J28" s="134">
        <v>1003</v>
      </c>
      <c r="K28" s="85" t="s">
        <v>166</v>
      </c>
      <c r="L28" s="86" t="str">
        <v>베타: 스냅샷·누적 저장과 보상 연결 적용 필요</v>
      </c>
    </row>
    <row r="29" spans="1:12" x14ac:dyDescent="0.3" ht="52" customHeight="1">
      <c r="A29" s="133">
        <v>10025</v>
      </c>
      <c r="B29" s="82" t="s">
        <v>254</v>
      </c>
      <c r="C29" s="83" t="s">
        <v>255</v>
      </c>
      <c r="D29" s="83" t="str">
        <v>스테이지 2-11 보스 클리어</v>
      </c>
      <c r="E29" s="83" t="s">
        <v>164</v>
      </c>
      <c r="F29" s="82" t="s">
        <v>165</v>
      </c>
      <c r="G29" s="136" t="n">
        <v>8590065675</v>
      </c>
      <c r="H29" s="136">
        <v>1</v>
      </c>
      <c r="I29" s="133" t="n">
        <v>10028</v>
      </c>
      <c r="J29" s="133">
        <v>1004</v>
      </c>
      <c r="K29" s="82" t="s">
        <v>166</v>
      </c>
      <c r="L29" s="83" t="str">
        <v>베타: 1-10 체계 수정. 최초 클리어 라이트닝 파편 1 별도 지급. 폐기 G26·G27을 건너뜀</v>
      </c>
    </row>
    <row r="30" spans="1:12" x14ac:dyDescent="0.3" ht="52" customHeight="1">
      <c r="A30" s="135">
        <v>10026</v>
      </c>
      <c r="B30" s="89" t="s">
        <v>257</v>
      </c>
      <c r="C30" s="90" t="str">
        <v>[폐기] 신 스킬 장착</v>
      </c>
      <c r="D30" s="90" t="s">
        <v>259</v>
      </c>
      <c r="E30" s="90" t="s">
        <v>260</v>
      </c>
      <c r="F30" s="89" t="s">
        <v>165</v>
      </c>
      <c r="G30" s="138">
        <v>0</v>
      </c>
      <c r="H30" s="138">
        <v>1</v>
      </c>
      <c r="I30" s="135" t="n">
        <v>0</v>
      </c>
      <c r="J30" s="135" t="n">
        <v>0</v>
      </c>
      <c r="K30" s="89" t="str">
        <v>None</v>
      </c>
      <c r="L30" s="90" t="str">
        <v>폐기: 신 스킬 전면 삭제. ID는 이력용 예약이며 임포트·노출·완료 집계·보상에서 제외</v>
      </c>
    </row>
    <row r="31" spans="1:12" x14ac:dyDescent="0.3" ht="52" customHeight="1">
      <c r="A31" s="135">
        <v>10027</v>
      </c>
      <c r="B31" s="89" t="s">
        <v>262</v>
      </c>
      <c r="C31" s="90" t="str">
        <v>[폐기] 신 스킬 시전</v>
      </c>
      <c r="D31" s="90" t="s">
        <v>264</v>
      </c>
      <c r="E31" s="90" t="s">
        <v>265</v>
      </c>
      <c r="F31" s="89" t="s">
        <v>170</v>
      </c>
      <c r="G31" s="138">
        <v>0</v>
      </c>
      <c r="H31" s="138">
        <v>1</v>
      </c>
      <c r="I31" s="135" t="n">
        <v>0</v>
      </c>
      <c r="J31" s="135" t="n">
        <v>0</v>
      </c>
      <c r="K31" s="89" t="str">
        <v>None</v>
      </c>
      <c r="L31" s="90" t="str">
        <v>폐기: 신 스킬 전면 삭제. ID는 이력용 예약이며 임포트·노출·완료 집계·보상에서 제외</v>
      </c>
    </row>
    <row r="32" spans="1:12" x14ac:dyDescent="0.3" ht="40" customHeight="1">
      <c r="A32" s="134">
        <v>10028</v>
      </c>
      <c r="B32" s="85" t="s">
        <v>267</v>
      </c>
      <c r="C32" s="86" t="s">
        <v>268</v>
      </c>
      <c r="D32" s="86" t="s">
        <v>269</v>
      </c>
      <c r="E32" s="86" t="s">
        <v>270</v>
      </c>
      <c r="F32" s="85" t="s">
        <v>165</v>
      </c>
      <c r="G32" s="137">
        <v>0</v>
      </c>
      <c r="H32" s="137">
        <v>1</v>
      </c>
      <c r="I32" s="134">
        <v>10029</v>
      </c>
      <c r="J32" s="134">
        <v>1006</v>
      </c>
      <c r="K32" s="85" t="s">
        <v>166</v>
      </c>
      <c r="L32" s="86" t="str">
        <v>베타: 가장 높은 각성 단계. 1각 파편 1; 10각 누적 55</v>
      </c>
    </row>
    <row r="33" spans="1:12" x14ac:dyDescent="0.3" ht="40" customHeight="1">
      <c r="A33" s="133">
        <v>10029</v>
      </c>
      <c r="B33" s="82" t="s">
        <v>143</v>
      </c>
      <c r="C33" s="83" t="s">
        <v>271</v>
      </c>
      <c r="D33" s="83" t="s">
        <v>272</v>
      </c>
      <c r="E33" s="83" t="s">
        <v>273</v>
      </c>
      <c r="F33" s="82" t="s">
        <v>165</v>
      </c>
      <c r="G33" s="136">
        <v>0</v>
      </c>
      <c r="H33" s="136">
        <v>10</v>
      </c>
      <c r="I33" s="133">
        <v>10030</v>
      </c>
      <c r="J33" s="133">
        <v>1003</v>
      </c>
      <c r="K33" s="82" t="s">
        <v>166</v>
      </c>
      <c r="L33" s="83" t="str">
        <v>베타: 계정 레벨은 환생에도 보존. CurrentState 스냅샷</v>
      </c>
    </row>
    <row r="34" spans="1:12" x14ac:dyDescent="0.3" ht="40" customHeight="1">
      <c r="A34" s="134">
        <v>10030</v>
      </c>
      <c r="B34" s="85" t="s">
        <v>139</v>
      </c>
      <c r="C34" s="86" t="s">
        <v>275</v>
      </c>
      <c r="D34" s="86" t="s">
        <v>276</v>
      </c>
      <c r="E34" s="86" t="s">
        <v>277</v>
      </c>
      <c r="F34" s="85" t="str">
        <v>LifetimeTotal</v>
      </c>
      <c r="G34" s="137">
        <v>0</v>
      </c>
      <c r="H34" s="137">
        <v>1</v>
      </c>
      <c r="I34" s="134">
        <v>0</v>
      </c>
      <c r="J34" s="134">
        <v>1007</v>
      </c>
      <c r="K34" s="85" t="s">
        <v>187</v>
      </c>
      <c r="L34" s="86" t="str">
        <v>베타: 서버 환생 성공 1회. 재접속 중복 이벤트 제외; 유물 해금 없음</v>
      </c>
    </row>
  </sheetData>
  <autoFilter ref="A4:L34" xr:uid="{00000000-0009-0000-0000-000002000000}"/>
  <mergeCells count="2">
    <mergeCell ref="A2:L2"/>
    <mergeCell ref="A1:L1"/>
  </mergeCells>
  <phoneticPr fontId="1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9E7A"/>
  </sheetPr>
  <dimension ref="A1:J24"/>
  <sheetViews>
    <sheetView showGridLines="0" workbookViewId="0">
      <pane ySplit="4" topLeftCell="A5" activePane="bottomLeft" state="frozen"/>
      <selection pane="bottomLeft" activeCell="D8" sqref="D8"/>
    </sheetView>
  </sheetViews>
  <sheetFormatPr defaultRowHeight="16.5" x14ac:dyDescent="0.3"/>
  <cols>
    <col min="1" max="1" width="8" customWidth="1"/>
    <col min="2" max="2" width="10" customWidth="1"/>
    <col min="3" max="3" width="8" customWidth="1"/>
    <col min="4" max="4" width="24" customWidth="1"/>
    <col min="5" max="5" width="16" customWidth="1"/>
    <col min="6" max="6" width="13" customWidth="1"/>
    <col min="7" max="8" width="10" customWidth="1"/>
    <col min="9" max="9" width="14" customWidth="1"/>
    <col min="10" max="10" width="22" customWidth="1"/>
  </cols>
  <sheetData>
    <row r="1" spans="1:10" ht="34" customHeight="1" x14ac:dyDescent="0.3">
      <c r="A1" s="78" t="s">
        <v>279</v>
      </c>
      <c r="B1" s="88"/>
      <c r="C1" s="88"/>
      <c r="D1" s="88"/>
      <c r="E1" s="88"/>
      <c r="F1" s="88"/>
      <c r="G1" s="88"/>
      <c r="H1" s="88"/>
      <c r="I1" s="88"/>
      <c r="J1" s="88"/>
    </row>
    <row r="2" spans="1:10" ht="62" customHeight="1" x14ac:dyDescent="0.3">
      <c r="A2" s="80" t="str">
        <v>일일 10분 / 추가 20~30분 목표. 일일 5/7, 주간 5/6 완료 보상. 폐기·보류 행은 집계 제외. KST 일일 00:00·월요일 00:00 리셋.</v>
      </c>
      <c r="B2" s="88"/>
      <c r="C2" s="88"/>
      <c r="D2" s="88"/>
      <c r="E2" s="88"/>
      <c r="F2" s="88"/>
      <c r="G2" s="88"/>
      <c r="H2" s="88"/>
      <c r="I2" s="88"/>
      <c r="J2" s="88"/>
    </row>
    <row r="4" spans="1:10" ht="22" customHeight="1" x14ac:dyDescent="0.3">
      <c r="A4" s="81" t="s">
        <v>24</v>
      </c>
      <c r="B4" s="81" t="s">
        <v>149</v>
      </c>
      <c r="C4" s="81" t="s">
        <v>150</v>
      </c>
      <c r="D4" s="81" t="s">
        <v>152</v>
      </c>
      <c r="E4" s="81" t="s">
        <v>153</v>
      </c>
      <c r="F4" s="81" t="s">
        <v>154</v>
      </c>
      <c r="G4" s="81" t="s">
        <v>155</v>
      </c>
      <c r="H4" s="81" t="s">
        <v>156</v>
      </c>
      <c r="I4" s="81" t="s">
        <v>158</v>
      </c>
      <c r="J4" s="81" t="s">
        <v>160</v>
      </c>
    </row>
    <row r="5" spans="1:10" x14ac:dyDescent="0.3" ht="28" customHeight="1">
      <c r="A5" s="82" t="s">
        <v>12</v>
      </c>
      <c r="B5" s="133">
        <v>20001</v>
      </c>
      <c r="C5" s="82" t="s">
        <v>281</v>
      </c>
      <c r="D5" s="83" t="s">
        <v>282</v>
      </c>
      <c r="E5" s="83" t="s">
        <v>169</v>
      </c>
      <c r="F5" s="82" t="s">
        <v>170</v>
      </c>
      <c r="G5" s="136">
        <v>0</v>
      </c>
      <c r="H5" s="136">
        <v>200</v>
      </c>
      <c r="I5" s="133">
        <v>2001</v>
      </c>
      <c r="J5" s="83" t="str">
        <v>베타: 서버 승인 이벤트만 집계. 오프라인 가상 처치는 제외</v>
      </c>
    </row>
    <row r="6" spans="1:10" x14ac:dyDescent="0.3" ht="40" customHeight="1">
      <c r="A6" s="85" t="s">
        <v>12</v>
      </c>
      <c r="B6" s="134">
        <v>20002</v>
      </c>
      <c r="C6" s="85" t="s">
        <v>283</v>
      </c>
      <c r="D6" s="86" t="str">
        <v>보스 1회 처치</v>
      </c>
      <c r="E6" s="86" t="s">
        <v>285</v>
      </c>
      <c r="F6" s="85" t="s">
        <v>170</v>
      </c>
      <c r="G6" s="137">
        <v>0</v>
      </c>
      <c r="H6" s="137" t="n">
        <v>1</v>
      </c>
      <c r="I6" s="134">
        <v>2002</v>
      </c>
      <c r="J6" s="86" t="str">
        <v>베타: 메인 재도전 또는 루비 보스. 이미 깬 보스 무료 재도전 가능; 미믹 제외</v>
      </c>
    </row>
    <row r="7" spans="1:10" x14ac:dyDescent="0.3" ht="40" customHeight="1">
      <c r="A7" s="82" t="s">
        <v>12</v>
      </c>
      <c r="B7" s="133">
        <v>20003</v>
      </c>
      <c r="C7" s="82" t="s">
        <v>286</v>
      </c>
      <c r="D7" s="83" t="str">
        <v>온라인 전투 시간 420초</v>
      </c>
      <c r="E7" s="83" t="str">
        <v>BattleTime</v>
      </c>
      <c r="F7" s="82" t="s">
        <v>170</v>
      </c>
      <c r="G7" s="136">
        <v>0</v>
      </c>
      <c r="H7" s="136" t="n">
        <v>420</v>
      </c>
      <c r="I7" s="133">
        <v>2003</v>
      </c>
      <c r="J7" s="83" t="str">
        <v>베타 대체: 골드 강화 10회 → 전투 7분. 메뉴·로딩·오프라인 제외; 서버 누적</v>
      </c>
    </row>
    <row r="8" spans="1:10" x14ac:dyDescent="0.3" ht="28" customHeight="1">
      <c r="A8" s="85" t="s">
        <v>12</v>
      </c>
      <c r="B8" s="134">
        <v>20004</v>
      </c>
      <c r="C8" s="85" t="s">
        <v>124</v>
      </c>
      <c r="D8" s="86" t="str">
        <v>장착 마탑 자동 스킬 5회 시전</v>
      </c>
      <c r="E8" s="86" t="str">
        <v>SkillCast</v>
      </c>
      <c r="F8" s="85" t="s">
        <v>170</v>
      </c>
      <c r="G8" s="137">
        <v>0</v>
      </c>
      <c r="H8" s="137" t="n">
        <v>5</v>
      </c>
      <c r="I8" s="134">
        <v>2003</v>
      </c>
      <c r="J8" s="86" t="str">
        <v>베타 대체: 마탑 강화 소비 요구 제거. 1-5 최초 무료 스킬 제공</v>
      </c>
    </row>
    <row r="9" spans="1:10" x14ac:dyDescent="0.3" ht="28" customHeight="1">
      <c r="A9" s="82" t="s">
        <v>12</v>
      </c>
      <c r="B9" s="133">
        <v>20005</v>
      </c>
      <c r="C9" s="82" t="s">
        <v>288</v>
      </c>
      <c r="D9" s="83" t="str">
        <v>던전 1회 입장</v>
      </c>
      <c r="E9" s="83" t="str">
        <v>DungeonEnter</v>
      </c>
      <c r="F9" s="82" t="s">
        <v>170</v>
      </c>
      <c r="G9" s="136">
        <v>0</v>
      </c>
      <c r="H9" s="136">
        <v>1</v>
      </c>
      <c r="I9" s="133">
        <v>2004</v>
      </c>
      <c r="J9" s="83" t="str">
        <v>베타: 첫 적 생성 및 입장권 확정 차감 시 1회. 실패해도 인정</v>
      </c>
    </row>
    <row r="10" spans="1:10" x14ac:dyDescent="0.3" ht="40" customHeight="1">
      <c r="A10" s="85" t="s">
        <v>12</v>
      </c>
      <c r="B10" s="134">
        <v>20006</v>
      </c>
      <c r="C10" s="85" t="s">
        <v>290</v>
      </c>
      <c r="D10" s="86" t="str">
        <v>뽑기 1회 사용 (선택)</v>
      </c>
      <c r="E10" s="86" t="s">
        <v>186</v>
      </c>
      <c r="F10" s="85" t="s">
        <v>170</v>
      </c>
      <c r="G10" s="137">
        <v>0</v>
      </c>
      <c r="H10" s="137" t="n">
        <v>1</v>
      </c>
      <c r="I10" s="134">
        <v>2001</v>
      </c>
      <c r="J10" s="86" t="str">
        <v>베타: 선택 목표. 보상을 얻으려고 뽑기를 강제하지 않음; 10연차는 10회</v>
      </c>
    </row>
    <row r="11" spans="1:10" x14ac:dyDescent="0.3" ht="28" customHeight="1">
      <c r="A11" s="89" t="s">
        <v>12</v>
      </c>
      <c r="B11" s="135">
        <v>20007</v>
      </c>
      <c r="C11" s="89" t="s">
        <v>128</v>
      </c>
      <c r="D11" s="90" t="str">
        <v>[폐기] 신 스킬 3회 시전</v>
      </c>
      <c r="E11" s="90" t="s">
        <v>265</v>
      </c>
      <c r="F11" s="89" t="s">
        <v>170</v>
      </c>
      <c r="G11" s="138">
        <v>0</v>
      </c>
      <c r="H11" s="138">
        <v>3</v>
      </c>
      <c r="I11" s="135" t="n">
        <v>0</v>
      </c>
      <c r="J11" s="90" t="str">
        <v>폐기: 신 스킬 콘텐츠 삭제. ID 예약·집계 제외</v>
      </c>
    </row>
    <row r="12" spans="1:10" x14ac:dyDescent="0.3" ht="28" customHeight="1">
      <c r="A12" s="97" t="s">
        <v>12</v>
      </c>
      <c r="B12" s="139">
        <v>20008</v>
      </c>
      <c r="C12" s="97" t="s">
        <v>293</v>
      </c>
      <c r="D12" s="98" t="str">
        <v>[보류] 광고 1회 시청</v>
      </c>
      <c r="E12" s="98" t="s">
        <v>295</v>
      </c>
      <c r="F12" s="97" t="s">
        <v>170</v>
      </c>
      <c r="G12" s="141">
        <v>0</v>
      </c>
      <c r="H12" s="141">
        <v>1</v>
      </c>
      <c r="I12" s="139" t="n">
        <v>0</v>
      </c>
      <c r="J12" s="98" t="str">
        <v>보류: 광고 SDK 미연동. 일일 필수 루틴과 완료 분모에서 제외</v>
      </c>
    </row>
    <row r="13" spans="1:10" x14ac:dyDescent="0.3" ht="40" customHeight="1">
      <c r="A13" s="82" t="s">
        <v>12</v>
      </c>
      <c r="B13" s="133">
        <v>20009</v>
      </c>
      <c r="C13" s="82" t="s">
        <v>144</v>
      </c>
      <c r="D13" s="83" t="str">
        <v>오프라인 보상 수령 (선택)</v>
      </c>
      <c r="E13" s="83" t="s">
        <v>298</v>
      </c>
      <c r="F13" s="82" t="s">
        <v>170</v>
      </c>
      <c r="G13" s="136">
        <v>0</v>
      </c>
      <c r="H13" s="136">
        <v>1</v>
      </c>
      <c r="I13" s="133">
        <v>2001</v>
      </c>
      <c r="J13" s="83" t="str">
        <v>베타: 보상 원장 승인 ClaimId 1회. 수령 가능 보상 없으면 다른 목표로 완료</v>
      </c>
    </row>
    <row r="14" spans="1:10" x14ac:dyDescent="0.3" ht="40" customHeight="1">
      <c r="A14" s="85" t="s">
        <v>12</v>
      </c>
      <c r="B14" s="134">
        <v>20010</v>
      </c>
      <c r="C14" s="85" t="s">
        <v>299</v>
      </c>
      <c r="D14" s="86" t="str">
        <v>일일 기본 목표 7개 중 5개 완료</v>
      </c>
      <c r="E14" s="86" t="s">
        <v>301</v>
      </c>
      <c r="F14" s="85" t="s">
        <v>165</v>
      </c>
      <c r="G14" s="137">
        <v>1</v>
      </c>
      <c r="H14" s="137" t="n">
        <v>5</v>
      </c>
      <c r="I14" s="134">
        <v>2005</v>
      </c>
      <c r="J14" s="86" t="str">
        <v>베타: 자기 자신·폐기·보류 제외. 달성 개수이며 보상 수령 개수 아님. 일일은 1-11 이후 해금</v>
      </c>
    </row>
    <row r="15" spans="1:10" x14ac:dyDescent="0.3" ht="28" customHeight="1">
      <c r="A15" s="92" t="s">
        <v>16</v>
      </c>
      <c r="B15" s="140">
        <v>30001</v>
      </c>
      <c r="C15" s="92" t="s">
        <v>303</v>
      </c>
      <c r="D15" s="93" t="str">
        <v>온라인 몬스터 6,000마리 처치</v>
      </c>
      <c r="E15" s="93" t="s">
        <v>169</v>
      </c>
      <c r="F15" s="92" t="s">
        <v>170</v>
      </c>
      <c r="G15" s="142">
        <v>0</v>
      </c>
      <c r="H15" s="142" t="n">
        <v>6000</v>
      </c>
      <c r="I15" s="140">
        <v>3001</v>
      </c>
      <c r="J15" s="93" t="str">
        <v>베타: 서버 승인 이벤트만 집계. 오프라인 가상 처치는 제외</v>
      </c>
    </row>
    <row r="16" spans="1:10" x14ac:dyDescent="0.3" ht="28" customHeight="1">
      <c r="A16" s="85" t="s">
        <v>16</v>
      </c>
      <c r="B16" s="134">
        <v>30002</v>
      </c>
      <c r="C16" s="85" t="s">
        <v>305</v>
      </c>
      <c r="D16" s="86" t="str">
        <v>보스 14회 처치</v>
      </c>
      <c r="E16" s="86" t="s">
        <v>285</v>
      </c>
      <c r="F16" s="85" t="s">
        <v>170</v>
      </c>
      <c r="G16" s="137">
        <v>0</v>
      </c>
      <c r="H16" s="137" t="n">
        <v>14</v>
      </c>
      <c r="I16" s="134">
        <v>3002</v>
      </c>
      <c r="J16" s="86" t="str">
        <v>베타: 서버 승인 이벤트만 집계. 오프라인 가상 처치는 제외</v>
      </c>
    </row>
    <row r="17" spans="1:10" x14ac:dyDescent="0.3" ht="28" customHeight="1">
      <c r="A17" s="82" t="s">
        <v>16</v>
      </c>
      <c r="B17" s="133">
        <v>30003</v>
      </c>
      <c r="C17" s="82" t="s">
        <v>307</v>
      </c>
      <c r="D17" s="83" t="str">
        <v>던전 10회 클리어</v>
      </c>
      <c r="E17" s="83" t="s">
        <v>250</v>
      </c>
      <c r="F17" s="82" t="s">
        <v>170</v>
      </c>
      <c r="G17" s="136">
        <v>0</v>
      </c>
      <c r="H17" s="136" t="n">
        <v>10</v>
      </c>
      <c r="I17" s="133">
        <v>3003</v>
      </c>
      <c r="J17" s="83" t="str">
        <v>베타: 서버 승인 이벤트만 집계. 오프라인 가상 처치는 제외</v>
      </c>
    </row>
    <row r="18" spans="1:10" x14ac:dyDescent="0.3" ht="40" customHeight="1">
      <c r="A18" s="85" t="s">
        <v>16</v>
      </c>
      <c r="B18" s="134">
        <v>30004</v>
      </c>
      <c r="C18" s="85" t="s">
        <v>309</v>
      </c>
      <c r="D18" s="86" t="str">
        <v>온라인 전투 시간 12,600초 (210분)</v>
      </c>
      <c r="E18" s="86" t="str">
        <v>BattleTime</v>
      </c>
      <c r="F18" s="85" t="s">
        <v>170</v>
      </c>
      <c r="G18" s="137">
        <v>0</v>
      </c>
      <c r="H18" s="137" t="n">
        <v>12600</v>
      </c>
      <c r="I18" s="134">
        <v>3001</v>
      </c>
      <c r="J18" s="86" t="str">
        <v>베타 대체: 뽑기 30회 → 주간 전투 누적. 일일과 중복 집계; 추가 전투 약 23분/일</v>
      </c>
    </row>
    <row r="19" spans="1:10" x14ac:dyDescent="0.3" ht="40" customHeight="1">
      <c r="A19" s="82" t="s">
        <v>16</v>
      </c>
      <c r="B19" s="133">
        <v>30005</v>
      </c>
      <c r="C19" s="82" t="s">
        <v>311</v>
      </c>
      <c r="D19" s="83" t="str">
        <v>메인 일반 웨이브 70회 클리어</v>
      </c>
      <c r="E19" s="83" t="str">
        <v>MainWaveClear</v>
      </c>
      <c r="F19" s="82" t="s">
        <v>170</v>
      </c>
      <c r="G19" s="136">
        <v>0</v>
      </c>
      <c r="H19" s="136" t="n">
        <v>70</v>
      </c>
      <c r="I19" s="133">
        <v>3001</v>
      </c>
      <c r="J19" s="83" t="str">
        <v>베타 대체: 골드 강화 200회 제거. 반복 일반 웨이브 인정, 던전·보스 제외</v>
      </c>
    </row>
    <row r="20" spans="1:10" x14ac:dyDescent="0.3" ht="40" customHeight="1">
      <c r="A20" s="85" t="s">
        <v>16</v>
      </c>
      <c r="B20" s="134">
        <v>30006</v>
      </c>
      <c r="C20" s="85" t="s">
        <v>140</v>
      </c>
      <c r="D20" s="86" t="str">
        <v>환생 3회 (선택)</v>
      </c>
      <c r="E20" s="86" t="s">
        <v>277</v>
      </c>
      <c r="F20" s="85" t="s">
        <v>170</v>
      </c>
      <c r="G20" s="137">
        <v>0</v>
      </c>
      <c r="H20" s="137">
        <v>3</v>
      </c>
      <c r="I20" s="134">
        <v>3004</v>
      </c>
      <c r="J20" s="86" t="str">
        <v>베타: 선택 목표. 서버 완료 횟수만 인정; 완료 보상에 환생 필수 아님</v>
      </c>
    </row>
    <row r="21" spans="1:10" x14ac:dyDescent="0.3" ht="28" customHeight="1">
      <c r="A21" s="82" t="s">
        <v>16</v>
      </c>
      <c r="B21" s="133">
        <v>30007</v>
      </c>
      <c r="C21" s="82" t="s">
        <v>314</v>
      </c>
      <c r="D21" s="83" t="str">
        <v>주간 기본 목표 6개 중 5개 완료</v>
      </c>
      <c r="E21" s="83" t="s">
        <v>301</v>
      </c>
      <c r="F21" s="82" t="s">
        <v>165</v>
      </c>
      <c r="G21" s="136">
        <v>2</v>
      </c>
      <c r="H21" s="136" t="n">
        <v>5</v>
      </c>
      <c r="I21" s="133">
        <v>3005</v>
      </c>
      <c r="J21" s="83" t="str">
        <v>베타: 완료 보상 자기 자신 제외. 5/6이므로 환생 없이 달성 가능</v>
      </c>
    </row>
    <row r="23" spans="1:10" x14ac:dyDescent="0.3" ht="44" customHeight="1">
      <c r="A23" s="96" t="str">
        <v>일일 최대: 고대 주화 100 · 비전 지식 30 · 전직 파편 3 · 기준 골드 6분. 무소비 5개 루틴: 동일 고정 재화 + 골드 2분.</v>
      </c>
      <c r="B23" s="88"/>
      <c r="C23" s="88"/>
      <c r="D23" s="88"/>
      <c r="E23" s="88"/>
      <c r="F23" s="88"/>
      <c r="G23" s="88"/>
      <c r="H23" s="88"/>
      <c r="I23" s="88"/>
      <c r="J23" s="88"/>
    </row>
    <row r="24" spans="1:10" x14ac:dyDescent="0.3" ht="44" customHeight="1">
      <c r="A24" s="96" t="str">
        <v>주간 최대: 고대 주화 400 · 전직 파편 15 · 비전 지식 100. 선택 환생 제외 시 주화 300. 일일 보상과 별도 합산.</v>
      </c>
      <c r="B24" s="88"/>
      <c r="C24" s="88"/>
      <c r="D24" s="88"/>
      <c r="E24" s="88"/>
      <c r="F24" s="88"/>
      <c r="G24" s="88"/>
      <c r="H24" s="88"/>
      <c r="I24" s="88"/>
      <c r="J24" s="88"/>
    </row>
  </sheetData>
  <autoFilter ref="A4:J21" xr:uid="{00000000-0009-0000-0000-000003000000}"/>
  <mergeCells count="4">
    <mergeCell ref="A1:J1"/>
    <mergeCell ref="A23:J23"/>
    <mergeCell ref="A24:J24"/>
    <mergeCell ref="A2:J2"/>
  </mergeCells>
  <phoneticPr fontId="1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06000"/>
  </sheetPr>
  <dimension ref="A1:L63"/>
  <sheetViews>
    <sheetView showGridLines="0" workbookViewId="0">
      <pane ySplit="4" topLeftCell="A23" activePane="bottomLeft" state="frozen"/>
      <selection pane="bottomLeft" activeCell="J9" sqref="J9"/>
    </sheetView>
  </sheetViews>
  <sheetFormatPr defaultRowHeight="16.5" x14ac:dyDescent="0.3"/>
  <cols>
    <col min="1" max="1" width="11" customWidth="1"/>
    <col min="2" max="2" width="10" customWidth="1"/>
    <col min="3" max="3" width="6" customWidth="1"/>
    <col min="4" max="4" width="26" customWidth="1"/>
    <col min="5" max="5" width="20" customWidth="1"/>
    <col min="6" max="6" width="13" customWidth="1"/>
    <col min="7" max="7" width="14" customWidth="1"/>
    <col min="8" max="9" width="12" customWidth="1"/>
    <col min="10" max="10" width="14" customWidth="1"/>
    <col min="11" max="11" width="20" customWidth="1"/>
  </cols>
  <sheetData>
    <row r="1" spans="1:12" ht="34" customHeight="1" x14ac:dyDescent="0.3">
      <c r="A1" s="78" t="s">
        <v>19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</row>
    <row r="2" spans="1:12" ht="62" customHeight="1" x14ac:dyDescent="0.3">
      <c r="A2" s="80" t="str">
        <v>59개 ID 보존. 폐기 5·보류 5·활성 49. 영구 기록/최고 스냅샷. 보류·폐기 제외 후 같은 계열 활성 단계 연결; 이미 지급한 ID 중복 지급 금지.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</row>
    <row r="4" spans="1:12" ht="22" customHeight="1" x14ac:dyDescent="0.3">
      <c r="A4" s="81" t="s">
        <v>320</v>
      </c>
      <c r="B4" s="81" t="s">
        <v>149</v>
      </c>
      <c r="C4" s="81" t="s">
        <v>321</v>
      </c>
      <c r="D4" s="81" t="s">
        <v>152</v>
      </c>
      <c r="E4" s="81" t="s">
        <v>153</v>
      </c>
      <c r="F4" s="81" t="s">
        <v>154</v>
      </c>
      <c r="G4" s="81" t="s">
        <v>155</v>
      </c>
      <c r="H4" s="81" t="s">
        <v>156</v>
      </c>
      <c r="I4" s="81" t="s">
        <v>157</v>
      </c>
      <c r="J4" s="81" t="s">
        <v>158</v>
      </c>
      <c r="K4" s="81" t="s">
        <v>160</v>
      </c>
    </row>
    <row r="5" spans="1:12" x14ac:dyDescent="0.3" ht="28" customHeight="1">
      <c r="A5" s="83" t="s">
        <v>103</v>
      </c>
      <c r="B5" s="133">
        <v>40101</v>
      </c>
      <c r="C5" s="82" t="s">
        <v>322</v>
      </c>
      <c r="D5" s="83" t="str">
        <v>1-11 보스 클리어</v>
      </c>
      <c r="E5" s="83" t="s">
        <v>164</v>
      </c>
      <c r="F5" s="82" t="s">
        <v>165</v>
      </c>
      <c r="G5" s="136" t="n">
        <v>8590000139</v>
      </c>
      <c r="H5" s="136">
        <v>1</v>
      </c>
      <c r="I5" s="133">
        <v>40102</v>
      </c>
      <c r="J5" s="133">
        <v>4001</v>
      </c>
      <c r="K5" s="83" t="str">
        <v>베타: 도달이 아닌 클리어 플래그; 환생 후에도 유지</v>
      </c>
    </row>
    <row r="6" spans="1:12" x14ac:dyDescent="0.3" ht="28" customHeight="1">
      <c r="A6" s="86" t="s">
        <v>103</v>
      </c>
      <c r="B6" s="134">
        <v>40102</v>
      </c>
      <c r="C6" s="85" t="s">
        <v>324</v>
      </c>
      <c r="D6" s="86" t="str">
        <v>2-11 보스 클리어</v>
      </c>
      <c r="E6" s="86" t="s">
        <v>164</v>
      </c>
      <c r="F6" s="85" t="s">
        <v>165</v>
      </c>
      <c r="G6" s="137" t="n">
        <v>8590065675</v>
      </c>
      <c r="H6" s="137">
        <v>1</v>
      </c>
      <c r="I6" s="134">
        <v>40103</v>
      </c>
      <c r="J6" s="134">
        <v>4002</v>
      </c>
      <c r="K6" s="86" t="str">
        <v>베타: 도달이 아닌 클리어 플래그; 환생 후에도 유지</v>
      </c>
    </row>
    <row r="7" spans="1:12" x14ac:dyDescent="0.3" ht="40" customHeight="1">
      <c r="A7" s="83" t="s">
        <v>103</v>
      </c>
      <c r="B7" s="133">
        <v>40103</v>
      </c>
      <c r="C7" s="82" t="s">
        <v>326</v>
      </c>
      <c r="D7" s="83" t="str">
        <v>3-11 보스 클리어</v>
      </c>
      <c r="E7" s="83" t="s">
        <v>164</v>
      </c>
      <c r="F7" s="82" t="s">
        <v>165</v>
      </c>
      <c r="G7" s="136" t="n">
        <v>8590131211</v>
      </c>
      <c r="H7" s="136">
        <v>1</v>
      </c>
      <c r="I7" s="133" t="n">
        <v>0</v>
      </c>
      <c r="J7" s="133">
        <v>4003</v>
      </c>
      <c r="K7" s="83" t="str">
        <v>베타 대체: 구 5-10 목표를 확정 콘텐츠 3-11로 변경. 이후 10·20스테이지 행은 보류</v>
      </c>
    </row>
    <row r="8" spans="1:12" x14ac:dyDescent="0.3" ht="40" customHeight="1">
      <c r="A8" s="98" t="s">
        <v>103</v>
      </c>
      <c r="B8" s="139">
        <v>40104</v>
      </c>
      <c r="C8" s="97" t="s">
        <v>329</v>
      </c>
      <c r="D8" s="98" t="str">
        <v>10-11 보스 클리어</v>
      </c>
      <c r="E8" s="98" t="s">
        <v>164</v>
      </c>
      <c r="F8" s="97" t="s">
        <v>165</v>
      </c>
      <c r="G8" s="141" t="n">
        <v>8590589963</v>
      </c>
      <c r="H8" s="141">
        <v>1</v>
      </c>
      <c r="I8" s="139">
        <v>40105</v>
      </c>
      <c r="J8" s="139">
        <v>4004</v>
      </c>
      <c r="K8" s="98" t="str">
        <v>보류: 4스테이지 이후 콘셉트 미정. TargetId는 명시하되 베타 등록·지급 제외</v>
      </c>
    </row>
    <row r="9" spans="1:12" x14ac:dyDescent="0.3" ht="40" customHeight="1">
      <c r="A9" s="98" t="s">
        <v>103</v>
      </c>
      <c r="B9" s="139">
        <v>40105</v>
      </c>
      <c r="C9" s="97" t="s">
        <v>331</v>
      </c>
      <c r="D9" s="98" t="str">
        <v>20-11 보스 클리어</v>
      </c>
      <c r="E9" s="98" t="s">
        <v>164</v>
      </c>
      <c r="F9" s="97" t="s">
        <v>165</v>
      </c>
      <c r="G9" s="141" t="n">
        <v>8591245323</v>
      </c>
      <c r="H9" s="141">
        <v>1</v>
      </c>
      <c r="I9" s="139">
        <v>0</v>
      </c>
      <c r="J9" s="139">
        <v>4005</v>
      </c>
      <c r="K9" s="98" t="str">
        <v>보류: 4스테이지 이후 콘셉트 미정. TargetId는 명시하되 베타 등록·지급 제외</v>
      </c>
    </row>
    <row r="10" spans="1:12" x14ac:dyDescent="0.3" ht="40" customHeight="1">
      <c r="A10" s="100" t="s">
        <v>107</v>
      </c>
      <c r="B10" s="143">
        <v>40201</v>
      </c>
      <c r="C10" s="101" t="s">
        <v>322</v>
      </c>
      <c r="D10" s="100" t="str">
        <v>온라인 몬스터 1,000마리 처치</v>
      </c>
      <c r="E10" s="100" t="s">
        <v>169</v>
      </c>
      <c r="F10" s="101" t="s">
        <v>334</v>
      </c>
      <c r="G10" s="146">
        <v>0</v>
      </c>
      <c r="H10" s="146">
        <v>1000</v>
      </c>
      <c r="I10" s="143">
        <v>40202</v>
      </c>
      <c r="J10" s="143">
        <v>4001</v>
      </c>
      <c r="K10" s="100" t="str">
        <v>베타: 온라인 누적. 30킬/분·30분/일 기준 장기 기록; 오프라인 제외</v>
      </c>
    </row>
    <row r="11" spans="1:12" x14ac:dyDescent="0.3" ht="40" customHeight="1">
      <c r="A11" s="83" t="s">
        <v>107</v>
      </c>
      <c r="B11" s="133">
        <v>40202</v>
      </c>
      <c r="C11" s="82" t="s">
        <v>324</v>
      </c>
      <c r="D11" s="83" t="str">
        <v>온라인 몬스터 10,000마리 처치</v>
      </c>
      <c r="E11" s="83" t="s">
        <v>169</v>
      </c>
      <c r="F11" s="82" t="s">
        <v>334</v>
      </c>
      <c r="G11" s="136">
        <v>0</v>
      </c>
      <c r="H11" s="136">
        <v>10000</v>
      </c>
      <c r="I11" s="133">
        <v>40203</v>
      </c>
      <c r="J11" s="133">
        <v>4002</v>
      </c>
      <c r="K11" s="83" t="str">
        <v>베타: 온라인 누적. 30킬/분·30분/일 기준 장기 기록; 오프라인 제외</v>
      </c>
    </row>
    <row r="12" spans="1:12" x14ac:dyDescent="0.3" ht="40" customHeight="1">
      <c r="A12" s="86" t="s">
        <v>107</v>
      </c>
      <c r="B12" s="134">
        <v>40203</v>
      </c>
      <c r="C12" s="85" t="s">
        <v>326</v>
      </c>
      <c r="D12" s="86" t="str">
        <v>온라인 몬스터 50,000마리 처치</v>
      </c>
      <c r="E12" s="86" t="s">
        <v>169</v>
      </c>
      <c r="F12" s="85" t="s">
        <v>334</v>
      </c>
      <c r="G12" s="137">
        <v>0</v>
      </c>
      <c r="H12" s="137" t="n">
        <v>50000</v>
      </c>
      <c r="I12" s="134">
        <v>40204</v>
      </c>
      <c r="J12" s="134">
        <v>4003</v>
      </c>
      <c r="K12" s="86" t="str">
        <v>베타: 온라인 누적. 30킬/분·30분/일 기준 장기 기록; 오프라인 제외</v>
      </c>
    </row>
    <row r="13" spans="1:12" x14ac:dyDescent="0.3" ht="40" customHeight="1">
      <c r="A13" s="83" t="s">
        <v>107</v>
      </c>
      <c r="B13" s="133">
        <v>40204</v>
      </c>
      <c r="C13" s="82" t="s">
        <v>329</v>
      </c>
      <c r="D13" s="83" t="str">
        <v>온라인 몬스터 100,000마리 처치</v>
      </c>
      <c r="E13" s="83" t="s">
        <v>169</v>
      </c>
      <c r="F13" s="82" t="s">
        <v>334</v>
      </c>
      <c r="G13" s="136">
        <v>0</v>
      </c>
      <c r="H13" s="136" t="n">
        <v>100000</v>
      </c>
      <c r="I13" s="133">
        <v>40205</v>
      </c>
      <c r="J13" s="133">
        <v>4004</v>
      </c>
      <c r="K13" s="83" t="str">
        <v>베타: 온라인 누적. 30킬/분·30분/일 기준 장기 기록; 오프라인 제외</v>
      </c>
    </row>
    <row r="14" spans="1:12" x14ac:dyDescent="0.3" ht="40" customHeight="1">
      <c r="A14" s="86" t="s">
        <v>107</v>
      </c>
      <c r="B14" s="134">
        <v>40205</v>
      </c>
      <c r="C14" s="85" t="s">
        <v>331</v>
      </c>
      <c r="D14" s="86" t="str">
        <v>온라인 몬스터 250,000마리 처치</v>
      </c>
      <c r="E14" s="86" t="s">
        <v>169</v>
      </c>
      <c r="F14" s="85" t="s">
        <v>334</v>
      </c>
      <c r="G14" s="137">
        <v>0</v>
      </c>
      <c r="H14" s="137" t="n">
        <v>250000</v>
      </c>
      <c r="I14" s="134">
        <v>0</v>
      </c>
      <c r="J14" s="134">
        <v>4005</v>
      </c>
      <c r="K14" s="86" t="str">
        <v>베타: 온라인 누적. 30킬/분·30분/일 기준 장기 기록; 오프라인 제외</v>
      </c>
    </row>
    <row r="15" spans="1:12" x14ac:dyDescent="0.3" ht="40" customHeight="1">
      <c r="A15" s="93" t="s">
        <v>111</v>
      </c>
      <c r="B15" s="140">
        <v>40301</v>
      </c>
      <c r="C15" s="92" t="s">
        <v>322</v>
      </c>
      <c r="D15" s="93" t="s">
        <v>339</v>
      </c>
      <c r="E15" s="93" t="s">
        <v>285</v>
      </c>
      <c r="F15" s="92" t="s">
        <v>334</v>
      </c>
      <c r="G15" s="142">
        <v>0</v>
      </c>
      <c r="H15" s="142">
        <v>10</v>
      </c>
      <c r="I15" s="140">
        <v>40302</v>
      </c>
      <c r="J15" s="140">
        <v>4001</v>
      </c>
      <c r="K15" s="93" t="str">
        <v>베타: 보스 인스턴스 사망 1회. 던전 클리어 중복 이벤트 제외</v>
      </c>
    </row>
    <row r="16" spans="1:12" x14ac:dyDescent="0.3" ht="40" customHeight="1">
      <c r="A16" s="86" t="s">
        <v>111</v>
      </c>
      <c r="B16" s="134">
        <v>40302</v>
      </c>
      <c r="C16" s="85" t="s">
        <v>324</v>
      </c>
      <c r="D16" s="86" t="s">
        <v>340</v>
      </c>
      <c r="E16" s="86" t="s">
        <v>285</v>
      </c>
      <c r="F16" s="85" t="s">
        <v>334</v>
      </c>
      <c r="G16" s="137">
        <v>0</v>
      </c>
      <c r="H16" s="137">
        <v>100</v>
      </c>
      <c r="I16" s="134">
        <v>40303</v>
      </c>
      <c r="J16" s="134">
        <v>4002</v>
      </c>
      <c r="K16" s="86" t="str">
        <v>베타: 보스 인스턴스 사망 1회. 던전 클리어 중복 이벤트 제외</v>
      </c>
    </row>
    <row r="17" spans="1:11" x14ac:dyDescent="0.3" ht="40" customHeight="1">
      <c r="A17" s="83" t="s">
        <v>111</v>
      </c>
      <c r="B17" s="133">
        <v>40303</v>
      </c>
      <c r="C17" s="82" t="s">
        <v>326</v>
      </c>
      <c r="D17" s="83" t="str">
        <v>보스 500회 처치</v>
      </c>
      <c r="E17" s="83" t="s">
        <v>285</v>
      </c>
      <c r="F17" s="82" t="s">
        <v>334</v>
      </c>
      <c r="G17" s="136">
        <v>0</v>
      </c>
      <c r="H17" s="136" t="n">
        <v>500</v>
      </c>
      <c r="I17" s="133">
        <v>40304</v>
      </c>
      <c r="J17" s="133">
        <v>4003</v>
      </c>
      <c r="K17" s="83" t="str">
        <v>베타: 보스 인스턴스 사망 1회. 던전 클리어 중복 이벤트 제외</v>
      </c>
    </row>
    <row r="18" spans="1:11" x14ac:dyDescent="0.3" ht="40" customHeight="1">
      <c r="A18" s="86" t="s">
        <v>111</v>
      </c>
      <c r="B18" s="134">
        <v>40304</v>
      </c>
      <c r="C18" s="85" t="s">
        <v>329</v>
      </c>
      <c r="D18" s="86" t="str">
        <v>보스 2,000회 처치</v>
      </c>
      <c r="E18" s="86" t="s">
        <v>285</v>
      </c>
      <c r="F18" s="85" t="s">
        <v>334</v>
      </c>
      <c r="G18" s="137">
        <v>0</v>
      </c>
      <c r="H18" s="137" t="n">
        <v>2000</v>
      </c>
      <c r="I18" s="134">
        <v>0</v>
      </c>
      <c r="J18" s="134">
        <v>4004</v>
      </c>
      <c r="K18" s="86" t="str">
        <v>베타: 보스 인스턴스 사망 1회. 던전 클리어 중복 이벤트 제외</v>
      </c>
    </row>
    <row r="19" spans="1:11" x14ac:dyDescent="0.3" ht="52" customHeight="1">
      <c r="A19" s="93" t="s">
        <v>115</v>
      </c>
      <c r="B19" s="140">
        <v>40401</v>
      </c>
      <c r="C19" s="92" t="s">
        <v>322</v>
      </c>
      <c r="D19" s="93" t="str">
        <v>골드 강화 레벨 합계 10</v>
      </c>
      <c r="E19" s="93" t="s">
        <v>174</v>
      </c>
      <c r="F19" s="92" t="str">
        <v>CurrentState</v>
      </c>
      <c r="G19" s="142">
        <v>0</v>
      </c>
      <c r="H19" s="142" t="n">
        <v>10</v>
      </c>
      <c r="I19" s="140">
        <v>40402</v>
      </c>
      <c r="J19" s="140">
        <v>4001</v>
      </c>
      <c r="K19" s="93" t="str">
        <v>베타: ATK+HP 현재 레벨 합계. 총상한 600이지만 베타 업적은 합계300까지만 요구. 환생 보존</v>
      </c>
    </row>
    <row r="20" spans="1:11" x14ac:dyDescent="0.3" ht="52" customHeight="1">
      <c r="A20" s="86" t="s">
        <v>115</v>
      </c>
      <c r="B20" s="134">
        <v>40402</v>
      </c>
      <c r="C20" s="85" t="s">
        <v>324</v>
      </c>
      <c r="D20" s="86" t="str">
        <v>골드 강화 레벨 합계 50</v>
      </c>
      <c r="E20" s="86" t="s">
        <v>174</v>
      </c>
      <c r="F20" s="85" t="str">
        <v>CurrentState</v>
      </c>
      <c r="G20" s="137">
        <v>0</v>
      </c>
      <c r="H20" s="137" t="n">
        <v>50</v>
      </c>
      <c r="I20" s="134">
        <v>40403</v>
      </c>
      <c r="J20" s="134">
        <v>4002</v>
      </c>
      <c r="K20" s="86" t="str">
        <v>베타: ATK+HP 현재 레벨 합계. 총상한 600이지만 베타 업적은 합계300까지만 요구. 환생 보존</v>
      </c>
    </row>
    <row r="21" spans="1:11" x14ac:dyDescent="0.3" ht="52" customHeight="1">
      <c r="A21" s="83" t="s">
        <v>115</v>
      </c>
      <c r="B21" s="133">
        <v>40403</v>
      </c>
      <c r="C21" s="82" t="s">
        <v>326</v>
      </c>
      <c r="D21" s="83" t="str">
        <v>골드 강화 레벨 합계 100</v>
      </c>
      <c r="E21" s="83" t="s">
        <v>174</v>
      </c>
      <c r="F21" s="82" t="str">
        <v>CurrentState</v>
      </c>
      <c r="G21" s="136">
        <v>0</v>
      </c>
      <c r="H21" s="136" t="n">
        <v>100</v>
      </c>
      <c r="I21" s="133">
        <v>40404</v>
      </c>
      <c r="J21" s="133">
        <v>4003</v>
      </c>
      <c r="K21" s="83" t="str">
        <v>베타: ATK+HP 현재 레벨 합계. 총상한 600이지만 베타 업적은 합계300까지만 요구. 환생 보존</v>
      </c>
    </row>
    <row r="22" spans="1:11" x14ac:dyDescent="0.3" ht="52" customHeight="1">
      <c r="A22" s="86" t="s">
        <v>115</v>
      </c>
      <c r="B22" s="134">
        <v>40404</v>
      </c>
      <c r="C22" s="85" t="s">
        <v>329</v>
      </c>
      <c r="D22" s="86" t="str">
        <v>골드 강화 레벨 합계 200</v>
      </c>
      <c r="E22" s="86" t="s">
        <v>174</v>
      </c>
      <c r="F22" s="85" t="str">
        <v>CurrentState</v>
      </c>
      <c r="G22" s="137">
        <v>0</v>
      </c>
      <c r="H22" s="137" t="n">
        <v>200</v>
      </c>
      <c r="I22" s="134">
        <v>40405</v>
      </c>
      <c r="J22" s="134">
        <v>4004</v>
      </c>
      <c r="K22" s="86" t="str">
        <v>베타: ATK+HP 현재 레벨 합계. 총상한 600이지만 베타 업적은 합계300까지만 요구. 환생 보존</v>
      </c>
    </row>
    <row r="23" spans="1:11" x14ac:dyDescent="0.3" ht="52" customHeight="1">
      <c r="A23" s="83" t="s">
        <v>115</v>
      </c>
      <c r="B23" s="133">
        <v>40405</v>
      </c>
      <c r="C23" s="82" t="s">
        <v>331</v>
      </c>
      <c r="D23" s="83" t="str">
        <v>골드 강화 레벨 합계 300</v>
      </c>
      <c r="E23" s="83" t="s">
        <v>174</v>
      </c>
      <c r="F23" s="82" t="str">
        <v>CurrentState</v>
      </c>
      <c r="G23" s="136">
        <v>0</v>
      </c>
      <c r="H23" s="136" t="n">
        <v>300</v>
      </c>
      <c r="I23" s="133">
        <v>0</v>
      </c>
      <c r="J23" s="133">
        <v>4005</v>
      </c>
      <c r="K23" s="83" t="str">
        <v>베타: ATK+HP 현재 레벨 합계. 총상한 600이지만 베타 업적은 합계300까지만 요구. 환생 보존</v>
      </c>
    </row>
    <row r="24" spans="1:11" x14ac:dyDescent="0.3" ht="22" customHeight="1">
      <c r="A24" s="100" t="s">
        <v>117</v>
      </c>
      <c r="B24" s="143">
        <v>40501</v>
      </c>
      <c r="C24" s="101" t="s">
        <v>322</v>
      </c>
      <c r="D24" s="100" t="s">
        <v>348</v>
      </c>
      <c r="E24" s="100" t="s">
        <v>206</v>
      </c>
      <c r="F24" s="101" t="s">
        <v>334</v>
      </c>
      <c r="G24" s="146">
        <v>0</v>
      </c>
      <c r="H24" s="146">
        <v>10</v>
      </c>
      <c r="I24" s="143">
        <v>40502</v>
      </c>
      <c r="J24" s="143">
        <v>4001</v>
      </c>
      <c r="K24" s="100"/>
    </row>
    <row r="25" spans="1:11" x14ac:dyDescent="0.3" ht="22" customHeight="1">
      <c r="A25" s="83" t="s">
        <v>117</v>
      </c>
      <c r="B25" s="133">
        <v>40502</v>
      </c>
      <c r="C25" s="82" t="s">
        <v>324</v>
      </c>
      <c r="D25" s="83" t="s">
        <v>349</v>
      </c>
      <c r="E25" s="83" t="s">
        <v>206</v>
      </c>
      <c r="F25" s="82" t="s">
        <v>334</v>
      </c>
      <c r="G25" s="136">
        <v>0</v>
      </c>
      <c r="H25" s="136">
        <v>100</v>
      </c>
      <c r="I25" s="133">
        <v>40503</v>
      </c>
      <c r="J25" s="133">
        <v>4002</v>
      </c>
      <c r="K25" s="83"/>
    </row>
    <row r="26" spans="1:11" x14ac:dyDescent="0.3" ht="22" customHeight="1">
      <c r="A26" s="86" t="s">
        <v>117</v>
      </c>
      <c r="B26" s="134">
        <v>40503</v>
      </c>
      <c r="C26" s="85" t="s">
        <v>326</v>
      </c>
      <c r="D26" s="86" t="s">
        <v>350</v>
      </c>
      <c r="E26" s="86" t="s">
        <v>206</v>
      </c>
      <c r="F26" s="85" t="s">
        <v>334</v>
      </c>
      <c r="G26" s="137">
        <v>0</v>
      </c>
      <c r="H26" s="137">
        <v>1000</v>
      </c>
      <c r="I26" s="134">
        <v>40504</v>
      </c>
      <c r="J26" s="134">
        <v>4003</v>
      </c>
      <c r="K26" s="86"/>
    </row>
    <row r="27" spans="1:11" x14ac:dyDescent="0.3" ht="40" customHeight="1">
      <c r="A27" s="83" t="s">
        <v>117</v>
      </c>
      <c r="B27" s="133">
        <v>40504</v>
      </c>
      <c r="C27" s="82" t="s">
        <v>329</v>
      </c>
      <c r="D27" s="83" t="str">
        <v>보유 장비 강화 레벨 합계 10</v>
      </c>
      <c r="E27" s="83" t="str">
        <v>EquipmentEnhance</v>
      </c>
      <c r="F27" s="82" t="str">
        <v>CurrentState</v>
      </c>
      <c r="G27" s="136">
        <v>0</v>
      </c>
      <c r="H27" s="136">
        <v>10</v>
      </c>
      <c r="I27" s="133">
        <v>40505</v>
      </c>
      <c r="J27" s="133">
        <v>4004</v>
      </c>
      <c r="K27" s="83" t="str">
        <v>베타 대체: 폐기 합성 10회 → 강화 합계 10. 최고 달성 스냅샷 보존</v>
      </c>
    </row>
    <row r="28" spans="1:11" x14ac:dyDescent="0.3" ht="22" customHeight="1">
      <c r="A28" s="86" t="s">
        <v>117</v>
      </c>
      <c r="B28" s="134">
        <v>40505</v>
      </c>
      <c r="C28" s="85" t="s">
        <v>331</v>
      </c>
      <c r="D28" s="86" t="s">
        <v>352</v>
      </c>
      <c r="E28" s="86" t="s">
        <v>192</v>
      </c>
      <c r="F28" s="85" t="s">
        <v>165</v>
      </c>
      <c r="G28" s="137">
        <v>3</v>
      </c>
      <c r="H28" s="137">
        <v>1</v>
      </c>
      <c r="I28" s="134">
        <v>0</v>
      </c>
      <c r="J28" s="134">
        <v>4005</v>
      </c>
      <c r="K28" s="86" t="s">
        <v>353</v>
      </c>
    </row>
    <row r="29" spans="1:11" x14ac:dyDescent="0.3" ht="22" customHeight="1">
      <c r="A29" s="93" t="s">
        <v>120</v>
      </c>
      <c r="B29" s="140">
        <v>40601</v>
      </c>
      <c r="C29" s="92" t="s">
        <v>322</v>
      </c>
      <c r="D29" s="93" t="s">
        <v>354</v>
      </c>
      <c r="E29" s="93" t="s">
        <v>217</v>
      </c>
      <c r="F29" s="92" t="s">
        <v>165</v>
      </c>
      <c r="G29" s="142">
        <v>1</v>
      </c>
      <c r="H29" s="142">
        <v>1</v>
      </c>
      <c r="I29" s="140">
        <v>40602</v>
      </c>
      <c r="J29" s="140">
        <v>4001</v>
      </c>
      <c r="K29" s="93"/>
    </row>
    <row r="30" spans="1:11" x14ac:dyDescent="0.3" ht="22" customHeight="1">
      <c r="A30" s="86" t="s">
        <v>120</v>
      </c>
      <c r="B30" s="134">
        <v>40602</v>
      </c>
      <c r="C30" s="85" t="s">
        <v>324</v>
      </c>
      <c r="D30" s="86" t="s">
        <v>355</v>
      </c>
      <c r="E30" s="86" t="s">
        <v>217</v>
      </c>
      <c r="F30" s="85" t="s">
        <v>165</v>
      </c>
      <c r="G30" s="137">
        <v>1</v>
      </c>
      <c r="H30" s="137">
        <v>3</v>
      </c>
      <c r="I30" s="134">
        <v>40603</v>
      </c>
      <c r="J30" s="134">
        <v>4002</v>
      </c>
      <c r="K30" s="86"/>
    </row>
    <row r="31" spans="1:11" x14ac:dyDescent="0.3" ht="22" customHeight="1">
      <c r="A31" s="83" t="s">
        <v>120</v>
      </c>
      <c r="B31" s="133">
        <v>40603</v>
      </c>
      <c r="C31" s="82" t="s">
        <v>326</v>
      </c>
      <c r="D31" s="83" t="s">
        <v>356</v>
      </c>
      <c r="E31" s="83" t="s">
        <v>217</v>
      </c>
      <c r="F31" s="82" t="s">
        <v>165</v>
      </c>
      <c r="G31" s="136">
        <v>2</v>
      </c>
      <c r="H31" s="136">
        <v>1</v>
      </c>
      <c r="I31" s="133">
        <v>40604</v>
      </c>
      <c r="J31" s="133">
        <v>4003</v>
      </c>
      <c r="K31" s="83"/>
    </row>
    <row r="32" spans="1:11" x14ac:dyDescent="0.3" ht="22" customHeight="1">
      <c r="A32" s="86" t="s">
        <v>120</v>
      </c>
      <c r="B32" s="134">
        <v>40604</v>
      </c>
      <c r="C32" s="85" t="s">
        <v>329</v>
      </c>
      <c r="D32" s="86" t="s">
        <v>357</v>
      </c>
      <c r="E32" s="86" t="s">
        <v>217</v>
      </c>
      <c r="F32" s="85" t="s">
        <v>165</v>
      </c>
      <c r="G32" s="137">
        <v>2</v>
      </c>
      <c r="H32" s="137">
        <v>3</v>
      </c>
      <c r="I32" s="134">
        <v>0</v>
      </c>
      <c r="J32" s="134">
        <v>4004</v>
      </c>
      <c r="K32" s="86"/>
    </row>
    <row r="33" spans="1:11" x14ac:dyDescent="0.3" ht="28" customHeight="1">
      <c r="A33" s="103" t="s">
        <v>121</v>
      </c>
      <c r="B33" s="144">
        <v>40701</v>
      </c>
      <c r="C33" s="104" t="s">
        <v>322</v>
      </c>
      <c r="D33" s="103" t="s">
        <v>358</v>
      </c>
      <c r="E33" s="103" t="s">
        <v>359</v>
      </c>
      <c r="F33" s="104" t="s">
        <v>165</v>
      </c>
      <c r="G33" s="147">
        <v>0</v>
      </c>
      <c r="H33" s="147">
        <v>1</v>
      </c>
      <c r="I33" s="144">
        <v>40702</v>
      </c>
      <c r="J33" s="144">
        <v>4001</v>
      </c>
      <c r="K33" s="103" t="str">
        <v>보류: 명명 파티 시스템 미구현. 베타 지급·완료 분모 제외</v>
      </c>
    </row>
    <row r="34" spans="1:11" x14ac:dyDescent="0.3" ht="40" customHeight="1">
      <c r="A34" s="98" t="s">
        <v>121</v>
      </c>
      <c r="B34" s="139">
        <v>40702</v>
      </c>
      <c r="C34" s="97" t="s">
        <v>324</v>
      </c>
      <c r="D34" s="98" t="s">
        <v>361</v>
      </c>
      <c r="E34" s="98" t="s">
        <v>359</v>
      </c>
      <c r="F34" s="97" t="str">
        <v>LifetimeTotal</v>
      </c>
      <c r="G34" s="141">
        <v>0</v>
      </c>
      <c r="H34" s="141">
        <v>4</v>
      </c>
      <c r="I34" s="139">
        <v>40703</v>
      </c>
      <c r="J34" s="139">
        <v>4003</v>
      </c>
      <c r="K34" s="98" t="str">
        <v>보류: 조합 4종은 동시에 달성 불가. 서로 다른 조합 ID의 역대 집합 수로 판정</v>
      </c>
    </row>
    <row r="35" spans="1:11" x14ac:dyDescent="0.3" ht="28" customHeight="1">
      <c r="A35" s="98" t="s">
        <v>121</v>
      </c>
      <c r="B35" s="139">
        <v>40703</v>
      </c>
      <c r="C35" s="97" t="s">
        <v>326</v>
      </c>
      <c r="D35" s="98" t="s">
        <v>362</v>
      </c>
      <c r="E35" s="98" t="s">
        <v>359</v>
      </c>
      <c r="F35" s="97" t="s">
        <v>165</v>
      </c>
      <c r="G35" s="141">
        <v>1</v>
      </c>
      <c r="H35" s="141">
        <v>1</v>
      </c>
      <c r="I35" s="139">
        <v>0</v>
      </c>
      <c r="J35" s="139">
        <v>4004</v>
      </c>
      <c r="K35" s="98" t="str">
        <v>보류: 명명 파티 시스템 미구현. 베타 지급·완료 분모 제외</v>
      </c>
    </row>
    <row r="36" spans="1:11" x14ac:dyDescent="0.3" ht="22" customHeight="1">
      <c r="A36" s="100" t="s">
        <v>125</v>
      </c>
      <c r="B36" s="143">
        <v>40801</v>
      </c>
      <c r="C36" s="101" t="s">
        <v>322</v>
      </c>
      <c r="D36" s="100" t="s">
        <v>364</v>
      </c>
      <c r="E36" s="100" t="s">
        <v>365</v>
      </c>
      <c r="F36" s="101" t="s">
        <v>165</v>
      </c>
      <c r="G36" s="146">
        <v>0</v>
      </c>
      <c r="H36" s="146">
        <v>3</v>
      </c>
      <c r="I36" s="143">
        <v>40802</v>
      </c>
      <c r="J36" s="143">
        <v>4001</v>
      </c>
      <c r="K36" s="100" t="s">
        <v>366</v>
      </c>
    </row>
    <row r="37" spans="1:11" x14ac:dyDescent="0.3" ht="40" customHeight="1">
      <c r="A37" s="83" t="s">
        <v>125</v>
      </c>
      <c r="B37" s="133">
        <v>40802</v>
      </c>
      <c r="C37" s="82" t="s">
        <v>324</v>
      </c>
      <c r="D37" s="83" t="str">
        <v>마탑 강화 레벨 합계 50</v>
      </c>
      <c r="E37" s="83" t="s">
        <v>232</v>
      </c>
      <c r="F37" s="82" t="str">
        <v>CurrentState</v>
      </c>
      <c r="G37" s="136">
        <v>0</v>
      </c>
      <c r="H37" s="136">
        <v>50</v>
      </c>
      <c r="I37" s="133">
        <v>40803</v>
      </c>
      <c r="J37" s="133">
        <v>4002</v>
      </c>
      <c r="K37" s="83" t="str">
        <v>베타: 최고 합계 저장. 초기화 반복으로 새 기록이 늘지 않음; 3종 총상한 300</v>
      </c>
    </row>
    <row r="38" spans="1:11" x14ac:dyDescent="0.3" ht="40" customHeight="1">
      <c r="A38" s="86" t="s">
        <v>125</v>
      </c>
      <c r="B38" s="134">
        <v>40803</v>
      </c>
      <c r="C38" s="85" t="s">
        <v>326</v>
      </c>
      <c r="D38" s="86" t="str">
        <v>마탑 강화 레벨 합계 150</v>
      </c>
      <c r="E38" s="86" t="s">
        <v>232</v>
      </c>
      <c r="F38" s="85" t="str">
        <v>CurrentState</v>
      </c>
      <c r="G38" s="137">
        <v>0</v>
      </c>
      <c r="H38" s="137" t="n">
        <v>150</v>
      </c>
      <c r="I38" s="134">
        <v>40804</v>
      </c>
      <c r="J38" s="134">
        <v>4003</v>
      </c>
      <c r="K38" s="86" t="str">
        <v>베타: 최고 합계 저장. 초기화 반복으로 새 기록이 늘지 않음; 3종 총상한 300</v>
      </c>
    </row>
    <row r="39" spans="1:11" x14ac:dyDescent="0.3" ht="22" customHeight="1">
      <c r="A39" s="83" t="s">
        <v>125</v>
      </c>
      <c r="B39" s="133">
        <v>40804</v>
      </c>
      <c r="C39" s="82" t="s">
        <v>329</v>
      </c>
      <c r="D39" s="83" t="s">
        <v>369</v>
      </c>
      <c r="E39" s="83" t="s">
        <v>270</v>
      </c>
      <c r="F39" s="82" t="s">
        <v>165</v>
      </c>
      <c r="G39" s="136">
        <v>0</v>
      </c>
      <c r="H39" s="136">
        <v>5</v>
      </c>
      <c r="I39" s="133">
        <v>40805</v>
      </c>
      <c r="J39" s="133">
        <v>4004</v>
      </c>
      <c r="K39" s="83" t="s">
        <v>370</v>
      </c>
    </row>
    <row r="40" spans="1:11" x14ac:dyDescent="0.3" ht="28" customHeight="1">
      <c r="A40" s="86" t="s">
        <v>125</v>
      </c>
      <c r="B40" s="134">
        <v>40805</v>
      </c>
      <c r="C40" s="85" t="s">
        <v>331</v>
      </c>
      <c r="D40" s="86" t="s">
        <v>371</v>
      </c>
      <c r="E40" s="86" t="s">
        <v>270</v>
      </c>
      <c r="F40" s="85" t="s">
        <v>165</v>
      </c>
      <c r="G40" s="137">
        <v>0</v>
      </c>
      <c r="H40" s="137">
        <v>10</v>
      </c>
      <c r="I40" s="134">
        <v>0</v>
      </c>
      <c r="J40" s="134">
        <v>4005</v>
      </c>
      <c r="K40" s="86" t="str">
        <v>베타: 0→10각 파편 누적 55개. 기존 168개 오기 수정</v>
      </c>
    </row>
    <row r="41" spans="1:11" x14ac:dyDescent="0.3" ht="40" customHeight="1">
      <c r="A41" s="106" t="s">
        <v>129</v>
      </c>
      <c r="B41" s="145">
        <v>40901</v>
      </c>
      <c r="C41" s="107" t="s">
        <v>322</v>
      </c>
      <c r="D41" s="106" t="str">
        <v>[폐기] 신 스킬 카드 1종 수집</v>
      </c>
      <c r="E41" s="106" t="s">
        <v>374</v>
      </c>
      <c r="F41" s="107" t="s">
        <v>165</v>
      </c>
      <c r="G41" s="148">
        <v>0</v>
      </c>
      <c r="H41" s="148">
        <v>1</v>
      </c>
      <c r="I41" s="145" t="n">
        <v>0</v>
      </c>
      <c r="J41" s="145" t="n">
        <v>0</v>
      </c>
      <c r="K41" s="106" t="str">
        <v>폐기: 신 스킬 관련 업적. ID 예약·노출·지급·전체 완료 집계 제외</v>
      </c>
    </row>
    <row r="42" spans="1:11" x14ac:dyDescent="0.3" ht="40" customHeight="1">
      <c r="A42" s="90" t="s">
        <v>129</v>
      </c>
      <c r="B42" s="135">
        <v>40902</v>
      </c>
      <c r="C42" s="89" t="s">
        <v>324</v>
      </c>
      <c r="D42" s="90" t="str">
        <v>[폐기] 신 스킬 카드 4종 수집</v>
      </c>
      <c r="E42" s="90" t="s">
        <v>374</v>
      </c>
      <c r="F42" s="89" t="s">
        <v>165</v>
      </c>
      <c r="G42" s="138">
        <v>0</v>
      </c>
      <c r="H42" s="138">
        <v>4</v>
      </c>
      <c r="I42" s="135" t="n">
        <v>0</v>
      </c>
      <c r="J42" s="135" t="n">
        <v>0</v>
      </c>
      <c r="K42" s="90" t="str">
        <v>폐기: 신 스킬 관련 업적. ID 예약·노출·지급·전체 완료 집계 제외</v>
      </c>
    </row>
    <row r="43" spans="1:11" x14ac:dyDescent="0.3" ht="40" customHeight="1">
      <c r="A43" s="90" t="s">
        <v>129</v>
      </c>
      <c r="B43" s="135">
        <v>40903</v>
      </c>
      <c r="C43" s="89" t="s">
        <v>326</v>
      </c>
      <c r="D43" s="90" t="str">
        <v>[폐기] 신화 등급 카드 1종 보유</v>
      </c>
      <c r="E43" s="90" t="s">
        <v>374</v>
      </c>
      <c r="F43" s="89" t="s">
        <v>165</v>
      </c>
      <c r="G43" s="138">
        <v>3</v>
      </c>
      <c r="H43" s="138">
        <v>1</v>
      </c>
      <c r="I43" s="135" t="n">
        <v>0</v>
      </c>
      <c r="J43" s="135" t="n">
        <v>0</v>
      </c>
      <c r="K43" s="90" t="str">
        <v>폐기: 신 스킬 관련 업적. ID 예약·노출·지급·전체 완료 집계 제외</v>
      </c>
    </row>
    <row r="44" spans="1:11" x14ac:dyDescent="0.3" ht="40" customHeight="1">
      <c r="A44" s="90" t="s">
        <v>129</v>
      </c>
      <c r="B44" s="135">
        <v>40904</v>
      </c>
      <c r="C44" s="89" t="s">
        <v>329</v>
      </c>
      <c r="D44" s="90" t="str">
        <v>[폐기] 신 스킬 카드 8종 수집</v>
      </c>
      <c r="E44" s="90" t="s">
        <v>374</v>
      </c>
      <c r="F44" s="89" t="s">
        <v>165</v>
      </c>
      <c r="G44" s="138">
        <v>0</v>
      </c>
      <c r="H44" s="138">
        <v>8</v>
      </c>
      <c r="I44" s="135" t="n">
        <v>0</v>
      </c>
      <c r="J44" s="135" t="n">
        <v>0</v>
      </c>
      <c r="K44" s="90" t="str">
        <v>폐기: 신 스킬 관련 업적. ID 예약·노출·지급·전체 완료 집계 제외</v>
      </c>
    </row>
    <row r="45" spans="1:11" x14ac:dyDescent="0.3" ht="40" customHeight="1">
      <c r="A45" s="90" t="s">
        <v>129</v>
      </c>
      <c r="B45" s="135">
        <v>40905</v>
      </c>
      <c r="C45" s="89" t="s">
        <v>331</v>
      </c>
      <c r="D45" s="90" t="str">
        <v>[폐기] 신 스킬 카드 레벨 10</v>
      </c>
      <c r="E45" s="90" t="s">
        <v>381</v>
      </c>
      <c r="F45" s="89" t="s">
        <v>165</v>
      </c>
      <c r="G45" s="138">
        <v>0</v>
      </c>
      <c r="H45" s="138">
        <v>10</v>
      </c>
      <c r="I45" s="135">
        <v>0</v>
      </c>
      <c r="J45" s="135" t="n">
        <v>0</v>
      </c>
      <c r="K45" s="90" t="str">
        <v>폐기: 신 스킬 관련 업적. ID 예약·노출·지급·전체 완료 집계 제외</v>
      </c>
    </row>
    <row r="46" spans="1:11" x14ac:dyDescent="0.3" ht="22" customHeight="1">
      <c r="A46" s="100" t="s">
        <v>133</v>
      </c>
      <c r="B46" s="143">
        <v>41001</v>
      </c>
      <c r="C46" s="101" t="s">
        <v>322</v>
      </c>
      <c r="D46" s="100" t="s">
        <v>289</v>
      </c>
      <c r="E46" s="100" t="s">
        <v>250</v>
      </c>
      <c r="F46" s="101" t="s">
        <v>334</v>
      </c>
      <c r="G46" s="146">
        <v>0</v>
      </c>
      <c r="H46" s="146">
        <v>1</v>
      </c>
      <c r="I46" s="143">
        <v>41002</v>
      </c>
      <c r="J46" s="143">
        <v>4001</v>
      </c>
      <c r="K46" s="100"/>
    </row>
    <row r="47" spans="1:11" x14ac:dyDescent="0.3" ht="22" customHeight="1">
      <c r="A47" s="83" t="s">
        <v>133</v>
      </c>
      <c r="B47" s="133">
        <v>41002</v>
      </c>
      <c r="C47" s="82" t="s">
        <v>324</v>
      </c>
      <c r="D47" s="83" t="s">
        <v>383</v>
      </c>
      <c r="E47" s="83" t="s">
        <v>250</v>
      </c>
      <c r="F47" s="82" t="s">
        <v>334</v>
      </c>
      <c r="G47" s="136">
        <v>0</v>
      </c>
      <c r="H47" s="136">
        <v>50</v>
      </c>
      <c r="I47" s="133">
        <v>41003</v>
      </c>
      <c r="J47" s="133">
        <v>4002</v>
      </c>
      <c r="K47" s="83"/>
    </row>
    <row r="48" spans="1:11" x14ac:dyDescent="0.3" ht="22" customHeight="1">
      <c r="A48" s="86" t="s">
        <v>133</v>
      </c>
      <c r="B48" s="134">
        <v>41003</v>
      </c>
      <c r="C48" s="85" t="s">
        <v>326</v>
      </c>
      <c r="D48" s="86" t="s">
        <v>384</v>
      </c>
      <c r="E48" s="86" t="s">
        <v>250</v>
      </c>
      <c r="F48" s="85" t="s">
        <v>334</v>
      </c>
      <c r="G48" s="137">
        <v>0</v>
      </c>
      <c r="H48" s="137">
        <v>300</v>
      </c>
      <c r="I48" s="134">
        <v>41004</v>
      </c>
      <c r="J48" s="134">
        <v>4003</v>
      </c>
      <c r="K48" s="86"/>
    </row>
    <row r="49" spans="1:11" x14ac:dyDescent="0.3" ht="22" customHeight="1">
      <c r="A49" s="83" t="s">
        <v>133</v>
      </c>
      <c r="B49" s="133">
        <v>41004</v>
      </c>
      <c r="C49" s="82" t="s">
        <v>329</v>
      </c>
      <c r="D49" s="83" t="s">
        <v>385</v>
      </c>
      <c r="E49" s="83" t="s">
        <v>250</v>
      </c>
      <c r="F49" s="82" t="s">
        <v>165</v>
      </c>
      <c r="G49" s="136">
        <v>8858697729</v>
      </c>
      <c r="H49" s="136">
        <v>1</v>
      </c>
      <c r="I49" s="133">
        <v>41005</v>
      </c>
      <c r="J49" s="133">
        <v>4004</v>
      </c>
      <c r="K49" s="83"/>
    </row>
    <row r="50" spans="1:11" x14ac:dyDescent="0.3" ht="22" customHeight="1">
      <c r="A50" s="86" t="s">
        <v>133</v>
      </c>
      <c r="B50" s="134">
        <v>41005</v>
      </c>
      <c r="C50" s="85" t="s">
        <v>331</v>
      </c>
      <c r="D50" s="86" t="s">
        <v>386</v>
      </c>
      <c r="E50" s="86" t="s">
        <v>250</v>
      </c>
      <c r="F50" s="85" t="s">
        <v>165</v>
      </c>
      <c r="G50" s="137">
        <v>9127133185</v>
      </c>
      <c r="H50" s="137">
        <v>1</v>
      </c>
      <c r="I50" s="134">
        <v>0</v>
      </c>
      <c r="J50" s="134">
        <v>4004</v>
      </c>
      <c r="K50" s="86"/>
    </row>
    <row r="51" spans="1:11" x14ac:dyDescent="0.3" ht="64" customHeight="1">
      <c r="A51" s="93" t="s">
        <v>137</v>
      </c>
      <c r="B51" s="140">
        <v>41101</v>
      </c>
      <c r="C51" s="92" t="s">
        <v>322</v>
      </c>
      <c r="D51" s="93" t="s">
        <v>387</v>
      </c>
      <c r="E51" s="93" t="s">
        <v>186</v>
      </c>
      <c r="F51" s="92" t="s">
        <v>334</v>
      </c>
      <c r="G51" s="142">
        <v>0</v>
      </c>
      <c r="H51" s="142">
        <v>50</v>
      </c>
      <c r="I51" s="140">
        <v>41102</v>
      </c>
      <c r="J51" s="140">
        <v>4001</v>
      </c>
      <c r="K51" s="93" t="str">
        <v>베타: 서버 성공 뽑기 누적. 최고1000회는 무료 주20~22회 기준 약45~50주; 구10000회 장기 과다 목표 축소</v>
      </c>
    </row>
    <row r="52" spans="1:11" x14ac:dyDescent="0.3" ht="64" customHeight="1">
      <c r="A52" s="86" t="s">
        <v>137</v>
      </c>
      <c r="B52" s="134">
        <v>41102</v>
      </c>
      <c r="C52" s="85" t="s">
        <v>324</v>
      </c>
      <c r="D52" s="86" t="str">
        <v>뽑기 200회</v>
      </c>
      <c r="E52" s="86" t="s">
        <v>186</v>
      </c>
      <c r="F52" s="85" t="s">
        <v>334</v>
      </c>
      <c r="G52" s="137">
        <v>0</v>
      </c>
      <c r="H52" s="137" t="n">
        <v>200</v>
      </c>
      <c r="I52" s="134">
        <v>41103</v>
      </c>
      <c r="J52" s="134">
        <v>4002</v>
      </c>
      <c r="K52" s="86" t="str">
        <v>베타: 서버 성공 뽑기 누적. 최고1000회는 무료 주20~22회 기준 약45~50주; 구10000회 장기 과다 목표 축소</v>
      </c>
    </row>
    <row r="53" spans="1:11" x14ac:dyDescent="0.3" ht="64" customHeight="1">
      <c r="A53" s="83" t="s">
        <v>137</v>
      </c>
      <c r="B53" s="133">
        <v>41103</v>
      </c>
      <c r="C53" s="82" t="s">
        <v>326</v>
      </c>
      <c r="D53" s="83" t="str">
        <v>뽑기 500회</v>
      </c>
      <c r="E53" s="83" t="s">
        <v>186</v>
      </c>
      <c r="F53" s="82" t="s">
        <v>334</v>
      </c>
      <c r="G53" s="136">
        <v>0</v>
      </c>
      <c r="H53" s="136" t="n">
        <v>500</v>
      </c>
      <c r="I53" s="133">
        <v>41104</v>
      </c>
      <c r="J53" s="133">
        <v>4003</v>
      </c>
      <c r="K53" s="83" t="str">
        <v>베타: 서버 성공 뽑기 누적. 최고1000회는 무료 주20~22회 기준 약45~50주; 구10000회 장기 과다 목표 축소</v>
      </c>
    </row>
    <row r="54" spans="1:11" x14ac:dyDescent="0.3" ht="64" customHeight="1">
      <c r="A54" s="86" t="s">
        <v>137</v>
      </c>
      <c r="B54" s="134">
        <v>41104</v>
      </c>
      <c r="C54" s="85" t="s">
        <v>329</v>
      </c>
      <c r="D54" s="86" t="str">
        <v>뽑기 1,000회</v>
      </c>
      <c r="E54" s="86" t="s">
        <v>186</v>
      </c>
      <c r="F54" s="85" t="s">
        <v>334</v>
      </c>
      <c r="G54" s="137">
        <v>0</v>
      </c>
      <c r="H54" s="137" t="n">
        <v>1000</v>
      </c>
      <c r="I54" s="134">
        <v>0</v>
      </c>
      <c r="J54" s="134">
        <v>4004</v>
      </c>
      <c r="K54" s="86" t="str">
        <v>베타: 서버 성공 뽑기 누적. 최고1000회는 무료 주20~22회 기준 약45~50주; 구10000회 장기 과다 목표 축소</v>
      </c>
    </row>
    <row r="55" spans="1:11" x14ac:dyDescent="0.3" ht="52" customHeight="1">
      <c r="A55" s="93" t="s">
        <v>141</v>
      </c>
      <c r="B55" s="140">
        <v>41201</v>
      </c>
      <c r="C55" s="92" t="s">
        <v>322</v>
      </c>
      <c r="D55" s="93" t="s">
        <v>391</v>
      </c>
      <c r="E55" s="93" t="s">
        <v>277</v>
      </c>
      <c r="F55" s="92" t="s">
        <v>334</v>
      </c>
      <c r="G55" s="142">
        <v>0</v>
      </c>
      <c r="H55" s="142">
        <v>1</v>
      </c>
      <c r="I55" s="140">
        <v>41202</v>
      </c>
      <c r="J55" s="140">
        <v>4001</v>
      </c>
      <c r="K55" s="93" t="str">
        <v>베타: 서버 환생 성공 누적. Lv300 상한에서도 최대 요구20회는 달성 가능; 유물 해금 없음</v>
      </c>
    </row>
    <row r="56" spans="1:11" x14ac:dyDescent="0.3" ht="52" customHeight="1">
      <c r="A56" s="86" t="s">
        <v>141</v>
      </c>
      <c r="B56" s="134">
        <v>41202</v>
      </c>
      <c r="C56" s="85" t="s">
        <v>324</v>
      </c>
      <c r="D56" s="86" t="str">
        <v>환생 5회</v>
      </c>
      <c r="E56" s="86" t="s">
        <v>277</v>
      </c>
      <c r="F56" s="85" t="s">
        <v>334</v>
      </c>
      <c r="G56" s="137">
        <v>0</v>
      </c>
      <c r="H56" s="137" t="n">
        <v>5</v>
      </c>
      <c r="I56" s="134">
        <v>41203</v>
      </c>
      <c r="J56" s="134">
        <v>4002</v>
      </c>
      <c r="K56" s="86" t="str">
        <v>베타: 서버 환생 성공 누적. Lv300 상한에서도 최대 요구20회는 달성 가능; 유물 해금 없음</v>
      </c>
    </row>
    <row r="57" spans="1:11" x14ac:dyDescent="0.3" ht="52" customHeight="1">
      <c r="A57" s="83" t="s">
        <v>141</v>
      </c>
      <c r="B57" s="133">
        <v>41203</v>
      </c>
      <c r="C57" s="82" t="s">
        <v>326</v>
      </c>
      <c r="D57" s="83" t="str">
        <v>환생 10회</v>
      </c>
      <c r="E57" s="83" t="s">
        <v>277</v>
      </c>
      <c r="F57" s="82" t="s">
        <v>334</v>
      </c>
      <c r="G57" s="136">
        <v>0</v>
      </c>
      <c r="H57" s="136" t="n">
        <v>10</v>
      </c>
      <c r="I57" s="133">
        <v>41204</v>
      </c>
      <c r="J57" s="133">
        <v>4003</v>
      </c>
      <c r="K57" s="83" t="str">
        <v>베타: 서버 환생 성공 누적. Lv300 상한에서도 최대 요구20회는 달성 가능; 유물 해금 없음</v>
      </c>
    </row>
    <row r="58" spans="1:11" x14ac:dyDescent="0.3" ht="52" customHeight="1">
      <c r="A58" s="86" t="s">
        <v>141</v>
      </c>
      <c r="B58" s="134">
        <v>41204</v>
      </c>
      <c r="C58" s="85" t="s">
        <v>329</v>
      </c>
      <c r="D58" s="86" t="str">
        <v>환생 20회</v>
      </c>
      <c r="E58" s="86" t="s">
        <v>277</v>
      </c>
      <c r="F58" s="85" t="s">
        <v>334</v>
      </c>
      <c r="G58" s="137">
        <v>0</v>
      </c>
      <c r="H58" s="137" t="n">
        <v>20</v>
      </c>
      <c r="I58" s="134">
        <v>41205</v>
      </c>
      <c r="J58" s="134">
        <v>4004</v>
      </c>
      <c r="K58" s="86" t="str">
        <v>베타: 서버 환생 성공 누적. Lv300 상한에서도 최대 요구20회는 달성 가능; 유물 해금 없음</v>
      </c>
    </row>
    <row r="59" spans="1:11" x14ac:dyDescent="0.3" ht="52" customHeight="1">
      <c r="A59" s="83" t="s">
        <v>141</v>
      </c>
      <c r="B59" s="133">
        <v>41205</v>
      </c>
      <c r="C59" s="82" t="s">
        <v>331</v>
      </c>
      <c r="D59" s="83" t="str">
        <v>환생 레벨 300 달성</v>
      </c>
      <c r="E59" s="83" t="s">
        <v>397</v>
      </c>
      <c r="F59" s="82" t="s">
        <v>165</v>
      </c>
      <c r="G59" s="136">
        <v>0</v>
      </c>
      <c r="H59" s="136" t="n">
        <v>300</v>
      </c>
      <c r="I59" s="133">
        <v>0</v>
      </c>
      <c r="J59" s="133">
        <v>4005</v>
      </c>
      <c r="K59" s="83" t="str">
        <v>베타: 환생 레벨 상한300. 구200회 목표는 상한 내 불가능하여 앞 단계20회로 변경. 시작점 상향 없음</v>
      </c>
    </row>
    <row r="60" spans="1:11" x14ac:dyDescent="0.3" ht="22" customHeight="1">
      <c r="A60" s="100" t="s">
        <v>145</v>
      </c>
      <c r="B60" s="143">
        <v>41301</v>
      </c>
      <c r="C60" s="101" t="s">
        <v>322</v>
      </c>
      <c r="D60" s="100" t="s">
        <v>399</v>
      </c>
      <c r="E60" s="100" t="s">
        <v>273</v>
      </c>
      <c r="F60" s="101" t="s">
        <v>165</v>
      </c>
      <c r="G60" s="146">
        <v>0</v>
      </c>
      <c r="H60" s="146">
        <v>10</v>
      </c>
      <c r="I60" s="143">
        <v>41302</v>
      </c>
      <c r="J60" s="143">
        <v>4001</v>
      </c>
      <c r="K60" s="100" t="s">
        <v>400</v>
      </c>
    </row>
    <row r="61" spans="1:11" x14ac:dyDescent="0.3" ht="22" customHeight="1">
      <c r="A61" s="83" t="s">
        <v>145</v>
      </c>
      <c r="B61" s="133">
        <v>41302</v>
      </c>
      <c r="C61" s="82" t="s">
        <v>324</v>
      </c>
      <c r="D61" s="83" t="s">
        <v>401</v>
      </c>
      <c r="E61" s="83" t="s">
        <v>273</v>
      </c>
      <c r="F61" s="82" t="s">
        <v>165</v>
      </c>
      <c r="G61" s="136">
        <v>0</v>
      </c>
      <c r="H61" s="136">
        <v>50</v>
      </c>
      <c r="I61" s="133">
        <v>41303</v>
      </c>
      <c r="J61" s="133">
        <v>4002</v>
      </c>
      <c r="K61" s="83"/>
    </row>
    <row r="62" spans="1:11" x14ac:dyDescent="0.3" ht="22" customHeight="1">
      <c r="A62" s="86" t="s">
        <v>145</v>
      </c>
      <c r="B62" s="134">
        <v>41303</v>
      </c>
      <c r="C62" s="85" t="s">
        <v>326</v>
      </c>
      <c r="D62" s="86" t="s">
        <v>402</v>
      </c>
      <c r="E62" s="86" t="s">
        <v>273</v>
      </c>
      <c r="F62" s="85" t="s">
        <v>165</v>
      </c>
      <c r="G62" s="137">
        <v>0</v>
      </c>
      <c r="H62" s="137">
        <v>100</v>
      </c>
      <c r="I62" s="134">
        <v>41304</v>
      </c>
      <c r="J62" s="134">
        <v>4003</v>
      </c>
      <c r="K62" s="86"/>
    </row>
    <row r="63" spans="1:11" x14ac:dyDescent="0.3" ht="22" customHeight="1">
      <c r="A63" s="83" t="s">
        <v>145</v>
      </c>
      <c r="B63" s="133">
        <v>41304</v>
      </c>
      <c r="C63" s="82" t="s">
        <v>329</v>
      </c>
      <c r="D63" s="83" t="s">
        <v>403</v>
      </c>
      <c r="E63" s="83" t="s">
        <v>273</v>
      </c>
      <c r="F63" s="82" t="s">
        <v>165</v>
      </c>
      <c r="G63" s="136">
        <v>0</v>
      </c>
      <c r="H63" s="136">
        <v>200</v>
      </c>
      <c r="I63" s="133">
        <v>0</v>
      </c>
      <c r="J63" s="133">
        <v>4004</v>
      </c>
      <c r="K63" s="83"/>
    </row>
  </sheetData>
  <autoFilter ref="A4:K63" xr:uid="{00000000-0009-0000-0000-000004000000}"/>
  <mergeCells count="2">
    <mergeCell ref="A2:L2"/>
    <mergeCell ref="A1:L1"/>
  </mergeCells>
  <phoneticPr fontId="1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E44AD"/>
  </sheetPr>
  <dimension ref="A1:G29"/>
  <sheetViews>
    <sheetView showGridLines="0" workbookViewId="0">
      <pane ySplit="4" topLeftCell="A5" activePane="bottomLeft" state="frozen"/>
      <selection pane="bottomLeft" activeCell="I25" sqref="I25"/>
    </sheetView>
  </sheetViews>
  <sheetFormatPr defaultRowHeight="16.5" x14ac:dyDescent="0.3"/>
  <cols>
    <col min="1" max="1" width="15" customWidth="1"/>
    <col min="2" max="2" width="16" customWidth="1"/>
    <col min="3" max="3" width="18" customWidth="1"/>
    <col min="4" max="4" width="12" customWidth="1"/>
    <col min="5" max="5" width="18" customWidth="1"/>
    <col min="6" max="6" width="12" customWidth="1"/>
    <col min="7" max="7" width="26" customWidth="1"/>
  </cols>
  <sheetData>
    <row r="1" spans="1:7" ht="34" customHeight="1" x14ac:dyDescent="0.3">
      <c r="A1" s="78" t="s">
        <v>34</v>
      </c>
      <c r="B1" s="88"/>
      <c r="C1" s="88"/>
      <c r="D1" s="88"/>
      <c r="E1" s="88"/>
      <c r="F1" s="88"/>
      <c r="G1" s="88"/>
    </row>
    <row r="2" spans="1:7" ht="62" customHeight="1" x14ac:dyDescent="0.3">
      <c r="A2" s="80" t="str">
        <v>카탈로그 보상은 Gold / AncientCoin / ClassFragment / ArcaneKnowledge 4종. 루비는 던전 전용 별도 표; 마석·뽑기권은 보류.</v>
      </c>
      <c r="B2" s="88"/>
      <c r="C2" s="88"/>
      <c r="D2" s="88"/>
      <c r="E2" s="88"/>
      <c r="F2" s="88"/>
      <c r="G2" s="88"/>
    </row>
    <row r="4" spans="1:7" ht="22" customHeight="1" x14ac:dyDescent="0.3">
      <c r="A4" s="81" t="s">
        <v>158</v>
      </c>
      <c r="B4" s="81" t="s">
        <v>405</v>
      </c>
      <c r="C4" s="81" t="s">
        <v>406</v>
      </c>
      <c r="D4" s="81" t="s">
        <v>407</v>
      </c>
      <c r="E4" s="81" t="s">
        <v>408</v>
      </c>
      <c r="F4" s="81" t="s">
        <v>409</v>
      </c>
      <c r="G4" s="81" t="s">
        <v>160</v>
      </c>
    </row>
    <row r="5" spans="1:7" x14ac:dyDescent="0.3" ht="22" customHeight="1">
      <c r="A5" s="133">
        <v>1001</v>
      </c>
      <c r="B5" s="83" t="s">
        <v>410</v>
      </c>
      <c r="C5" s="83" t="s">
        <v>415</v>
      </c>
      <c r="D5" s="87" t="n">
        <v>50</v>
      </c>
      <c r="E5" s="83"/>
      <c r="F5" s="84"/>
      <c r="G5" s="83"/>
    </row>
    <row r="6" spans="1:7" x14ac:dyDescent="0.3" ht="22" customHeight="1">
      <c r="A6" s="134">
        <v>1002</v>
      </c>
      <c r="B6" s="86" t="s">
        <v>412</v>
      </c>
      <c r="C6" s="83" t="s">
        <v>415</v>
      </c>
      <c r="D6" s="87" t="n">
        <v>100</v>
      </c>
      <c r="E6" s="86"/>
      <c r="F6" s="87"/>
      <c r="G6" s="86"/>
    </row>
    <row r="7" spans="1:7" x14ac:dyDescent="0.3" ht="22" customHeight="1">
      <c r="A7" s="133">
        <v>1003</v>
      </c>
      <c r="B7" s="83" t="s">
        <v>413</v>
      </c>
      <c r="C7" s="83" t="s">
        <v>415</v>
      </c>
      <c r="D7" s="84" t="n">
        <v>150</v>
      </c>
      <c r="E7" s="83"/>
      <c r="F7" s="84"/>
      <c r="G7" s="83"/>
    </row>
    <row r="8" spans="1:7" x14ac:dyDescent="0.3" ht="22" customHeight="1">
      <c r="A8" s="134">
        <v>1004</v>
      </c>
      <c r="B8" s="86" t="s">
        <v>414</v>
      </c>
      <c r="C8" s="86" t="s">
        <v>415</v>
      </c>
      <c r="D8" s="87" t="n">
        <v>100</v>
      </c>
      <c r="E8" s="86"/>
      <c r="F8" s="87"/>
      <c r="G8" s="86"/>
    </row>
    <row r="9" spans="1:7" x14ac:dyDescent="0.3" ht="22" customHeight="1">
      <c r="A9" s="133">
        <v>1005</v>
      </c>
      <c r="B9" s="83" t="s">
        <v>416</v>
      </c>
      <c r="C9" s="86" t="str">
        <v>ClassFragment</v>
      </c>
      <c r="D9" s="84" t="n">
        <v>40</v>
      </c>
      <c r="E9" s="83"/>
      <c r="F9" s="84"/>
      <c r="G9" s="83"/>
    </row>
    <row r="10" spans="1:7" x14ac:dyDescent="0.3" ht="22" customHeight="1">
      <c r="A10" s="134">
        <v>1006</v>
      </c>
      <c r="B10" s="86" t="s">
        <v>417</v>
      </c>
      <c r="C10" s="86" t="s">
        <v>418</v>
      </c>
      <c r="D10" s="87" t="n">
        <v>20</v>
      </c>
      <c r="E10" s="86"/>
      <c r="F10" s="87"/>
      <c r="G10" s="86"/>
    </row>
    <row r="11" spans="1:7" x14ac:dyDescent="0.3" ht="22" customHeight="1">
      <c r="A11" s="133">
        <v>1007</v>
      </c>
      <c r="B11" s="83" t="s">
        <v>419</v>
      </c>
      <c r="C11" s="83" t="s">
        <v>415</v>
      </c>
      <c r="D11" s="84" t="n">
        <v>500</v>
      </c>
      <c r="E11" s="83"/>
      <c r="F11" s="84"/>
      <c r="G11" s="83"/>
    </row>
    <row r="12" spans="1:7" x14ac:dyDescent="0.3" ht="52" customHeight="1">
      <c r="A12" s="134">
        <v>2001</v>
      </c>
      <c r="B12" s="86" t="s">
        <v>420</v>
      </c>
      <c r="C12" s="86" t="s">
        <v>411</v>
      </c>
      <c r="D12" s="87">
        <v>0</v>
      </c>
      <c r="E12" s="86"/>
      <c r="F12" s="87"/>
      <c r="G12" s="86" t="str">
        <v>동적: 분당 기준 골드 × 2분. 0은 동적 지급 표식이며 실제 0 지급 금지. 기준은 최고 클리어 일반 웨이브·검증 KPM≤30; 지급 시 1회 확정</v>
      </c>
    </row>
    <row r="13" spans="1:7" x14ac:dyDescent="0.3" ht="22" customHeight="1">
      <c r="A13" s="133">
        <v>2002</v>
      </c>
      <c r="B13" s="83" t="s">
        <v>422</v>
      </c>
      <c r="C13" s="86" t="str">
        <v>ClassFragment</v>
      </c>
      <c r="D13" s="84" t="n">
        <v>3</v>
      </c>
      <c r="E13" s="83"/>
      <c r="F13" s="84"/>
      <c r="G13" s="83"/>
    </row>
    <row r="14" spans="1:7" x14ac:dyDescent="0.3" ht="22" customHeight="1">
      <c r="A14" s="134">
        <v>2003</v>
      </c>
      <c r="B14" s="86" t="s">
        <v>423</v>
      </c>
      <c r="C14" s="86" t="s">
        <v>418</v>
      </c>
      <c r="D14" s="87">
        <v>5</v>
      </c>
      <c r="E14" s="86"/>
      <c r="F14" s="87"/>
      <c r="G14" s="86"/>
    </row>
    <row r="15" spans="1:7" x14ac:dyDescent="0.3" ht="22" customHeight="1">
      <c r="A15" s="133">
        <v>2004</v>
      </c>
      <c r="B15" s="83" t="s">
        <v>424</v>
      </c>
      <c r="C15" s="83" t="s">
        <v>415</v>
      </c>
      <c r="D15" s="84" t="n">
        <v>20</v>
      </c>
      <c r="E15" s="83"/>
      <c r="F15" s="84"/>
      <c r="G15" s="83"/>
    </row>
    <row r="16" spans="1:7" x14ac:dyDescent="0.3" ht="22" customHeight="1">
      <c r="A16" s="134">
        <v>2005</v>
      </c>
      <c r="B16" s="86" t="s">
        <v>425</v>
      </c>
      <c r="C16" s="86" t="s">
        <v>415</v>
      </c>
      <c r="D16" s="87" t="n">
        <v>80</v>
      </c>
      <c r="E16" s="86" t="s">
        <v>418</v>
      </c>
      <c r="F16" s="87" t="n">
        <v>20</v>
      </c>
      <c r="G16" s="86"/>
    </row>
    <row r="17" spans="1:7" x14ac:dyDescent="0.3" ht="22" customHeight="1">
      <c r="A17" s="133">
        <v>3001</v>
      </c>
      <c r="B17" s="83" t="s">
        <v>426</v>
      </c>
      <c r="C17" s="83" t="s">
        <v>415</v>
      </c>
      <c r="D17" s="84">
        <v>50</v>
      </c>
      <c r="E17" s="83"/>
      <c r="F17" s="84"/>
      <c r="G17" s="83"/>
    </row>
    <row r="18" spans="1:7" x14ac:dyDescent="0.3" ht="22" customHeight="1">
      <c r="A18" s="134">
        <v>3002</v>
      </c>
      <c r="B18" s="86" t="s">
        <v>427</v>
      </c>
      <c r="C18" s="83" t="str">
        <v>ClassFragment</v>
      </c>
      <c r="D18" s="87" t="n">
        <v>15</v>
      </c>
      <c r="E18" s="86"/>
      <c r="F18" s="87"/>
      <c r="G18" s="86"/>
    </row>
    <row r="19" spans="1:7" x14ac:dyDescent="0.3" ht="22" customHeight="1">
      <c r="A19" s="133">
        <v>3003</v>
      </c>
      <c r="B19" s="83" t="s">
        <v>428</v>
      </c>
      <c r="C19" s="83" t="s">
        <v>418</v>
      </c>
      <c r="D19" s="84" t="n">
        <v>50</v>
      </c>
      <c r="E19" s="83"/>
      <c r="F19" s="84"/>
      <c r="G19" s="83"/>
    </row>
    <row r="20" spans="1:7" x14ac:dyDescent="0.3" ht="22" customHeight="1">
      <c r="A20" s="134">
        <v>3004</v>
      </c>
      <c r="B20" s="86" t="s">
        <v>429</v>
      </c>
      <c r="C20" s="86" t="s">
        <v>415</v>
      </c>
      <c r="D20" s="87">
        <v>100</v>
      </c>
      <c r="E20" s="86"/>
      <c r="F20" s="87"/>
      <c r="G20" s="86"/>
    </row>
    <row r="21" spans="1:7" x14ac:dyDescent="0.3" ht="22" customHeight="1">
      <c r="A21" s="133">
        <v>3005</v>
      </c>
      <c r="B21" s="83" t="s">
        <v>430</v>
      </c>
      <c r="C21" s="83" t="s">
        <v>415</v>
      </c>
      <c r="D21" s="84">
        <v>150</v>
      </c>
      <c r="E21" s="83" t="s">
        <v>418</v>
      </c>
      <c r="F21" s="84" t="n">
        <v>50</v>
      </c>
      <c r="G21" s="83"/>
    </row>
    <row r="22" spans="1:7" x14ac:dyDescent="0.3" ht="22" customHeight="1">
      <c r="A22" s="134">
        <v>4001</v>
      </c>
      <c r="B22" s="86" t="s">
        <v>431</v>
      </c>
      <c r="C22" s="86" t="s">
        <v>415</v>
      </c>
      <c r="D22" s="87">
        <v>50</v>
      </c>
      <c r="E22" s="86"/>
      <c r="F22" s="87"/>
      <c r="G22" s="86"/>
    </row>
    <row r="23" spans="1:7" x14ac:dyDescent="0.3" ht="22" customHeight="1">
      <c r="A23" s="133">
        <v>4002</v>
      </c>
      <c r="B23" s="83" t="s">
        <v>432</v>
      </c>
      <c r="C23" s="83" t="s">
        <v>415</v>
      </c>
      <c r="D23" s="84">
        <v>150</v>
      </c>
      <c r="E23" s="83"/>
      <c r="F23" s="84"/>
      <c r="G23" s="83"/>
    </row>
    <row r="24" spans="1:7" x14ac:dyDescent="0.3" ht="22" customHeight="1">
      <c r="A24" s="134">
        <v>4003</v>
      </c>
      <c r="B24" s="86" t="s">
        <v>433</v>
      </c>
      <c r="C24" s="86" t="s">
        <v>415</v>
      </c>
      <c r="D24" s="87">
        <v>300</v>
      </c>
      <c r="E24" s="86" t="s">
        <v>418</v>
      </c>
      <c r="F24" s="87">
        <v>30</v>
      </c>
      <c r="G24" s="86"/>
    </row>
    <row r="25" spans="1:7" x14ac:dyDescent="0.3" ht="28" customHeight="1">
      <c r="A25" s="133">
        <v>4004</v>
      </c>
      <c r="B25" s="83" t="s">
        <v>434</v>
      </c>
      <c r="C25" s="83" t="s">
        <v>415</v>
      </c>
      <c r="D25" s="84">
        <v>600</v>
      </c>
      <c r="E25" s="83" t="str">
        <v>ArcaneKnowledge</v>
      </c>
      <c r="F25" s="84">
        <v>50</v>
      </c>
      <c r="G25" s="83" t="str">
        <v>베타 정정: 수량 2=50의 재화명이 비어 있던 오류 보완</v>
      </c>
    </row>
    <row r="26" spans="1:7" x14ac:dyDescent="0.3" ht="22" customHeight="1">
      <c r="A26" s="134">
        <v>4005</v>
      </c>
      <c r="B26" s="86" t="s">
        <v>435</v>
      </c>
      <c r="C26" s="86" t="s">
        <v>415</v>
      </c>
      <c r="D26" s="87">
        <v>1500</v>
      </c>
      <c r="E26" s="86" t="s">
        <v>418</v>
      </c>
      <c r="F26" s="87">
        <v>150</v>
      </c>
      <c r="G26" s="86" t="s">
        <v>436</v>
      </c>
    </row>
    <row r="28" spans="1:7" x14ac:dyDescent="0.3" ht="44" customHeight="1">
      <c r="A28" s="96" t="str">
        <v>루비: 베타 신규 지갑 enum 6 예약, 던전 보상으로 지급. 마석·뽑기권: 미구현 보류, 베타 필수 수급·소모에 사용하지 않음.</v>
      </c>
      <c r="B28" s="88"/>
      <c r="C28" s="88"/>
      <c r="D28" s="88"/>
      <c r="E28" s="88"/>
      <c r="F28" s="88"/>
      <c r="G28" s="88"/>
    </row>
    <row r="29" spans="1:7" x14ac:dyDescent="0.3" ht="44" customHeight="1">
      <c r="A29" s="96" t="str">
        <v>무료 마탑 해금·각성 파편: Stage 베타개정의 최초 클리어 보상에서 skillId 지정. 본 표에 임의 통화명으로 넣지 않음.</v>
      </c>
      <c r="B29" s="88"/>
      <c r="C29" s="88"/>
      <c r="D29" s="88"/>
      <c r="E29" s="88"/>
      <c r="F29" s="88"/>
      <c r="G29" s="88"/>
    </row>
  </sheetData>
  <autoFilter ref="A4:G26" xr:uid="{00000000-0009-0000-0000-000005000000}"/>
  <mergeCells count="4">
    <mergeCell ref="A2:G2"/>
    <mergeCell ref="A1:G1"/>
    <mergeCell ref="A28:G28"/>
    <mergeCell ref="A29:G29"/>
  </mergeCells>
  <phoneticPr fontId="1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5221F"/>
  </sheetPr>
  <dimension ref="A1:G40"/>
  <sheetViews>
    <sheetView showGridLines="0" workbookViewId="0">
      <pane ySplit="4" topLeftCell="A5" activePane="bottomLeft" state="frozen"/>
      <selection pane="bottomLeft" sqref="A1:G1"/>
    </sheetView>
  </sheetViews>
  <sheetFormatPr defaultRowHeight="16.5" x14ac:dyDescent="0.3"/>
  <cols>
    <col min="1" max="1" width="22" customWidth="1"/>
    <col min="2" max="2" width="20" customWidth="1"/>
    <col min="3" max="3" width="16" customWidth="1"/>
    <col min="4" max="4" width="30" customWidth="1"/>
    <col min="5" max="5" width="34" customWidth="1"/>
    <col min="6" max="6" width="10" customWidth="1"/>
    <col min="7" max="7" width="40" customWidth="1"/>
  </cols>
  <sheetData>
    <row r="1" spans="1:7" ht="34" customHeight="1" x14ac:dyDescent="0.3">
      <c r="A1" s="78" t="s">
        <v>439</v>
      </c>
      <c r="B1" s="88"/>
      <c r="C1" s="88"/>
      <c r="D1" s="88"/>
      <c r="E1" s="88"/>
      <c r="F1" s="88"/>
      <c r="G1" s="88"/>
    </row>
    <row r="2" spans="1:7" ht="62" customHeight="1" x14ac:dyDescent="0.3">
      <c r="A2" s="80" t="str">
        <v>현재 코드 12개 enum(0~11) 보존. 신규는 예약 ID로 명시, 아직 코드에 미반영. 폐기·보류 목표는 임포트 제외.</v>
      </c>
      <c r="B2" s="88"/>
      <c r="C2" s="88"/>
      <c r="D2" s="88"/>
      <c r="E2" s="88"/>
      <c r="F2" s="88"/>
      <c r="G2" s="88"/>
    </row>
    <row r="4" spans="1:7" ht="22" customHeight="1" x14ac:dyDescent="0.3">
      <c r="A4" s="81" t="s">
        <v>153</v>
      </c>
      <c r="B4" s="81" t="s">
        <v>441</v>
      </c>
      <c r="C4" s="81" t="s">
        <v>442</v>
      </c>
      <c r="D4" s="81" t="s">
        <v>443</v>
      </c>
      <c r="E4" s="81" t="s">
        <v>444</v>
      </c>
      <c r="F4" s="81" t="s">
        <v>61</v>
      </c>
      <c r="G4" s="81" t="s">
        <v>445</v>
      </c>
    </row>
    <row r="5" spans="1:7" x14ac:dyDescent="0.3" ht="28" customHeight="1">
      <c r="A5" s="83" t="s">
        <v>164</v>
      </c>
      <c r="B5" s="83" t="s">
        <v>446</v>
      </c>
      <c r="C5" s="83" t="s">
        <v>447</v>
      </c>
      <c r="D5" s="83" t="s">
        <v>165</v>
      </c>
      <c r="E5" s="83" t="s">
        <v>448</v>
      </c>
      <c r="F5" s="151" t="str">
        <v>부분</v>
      </c>
      <c r="G5" s="83" t="str">
        <v>현재 maxStage 정수 비교는 콘텐츠 혼동 위험. (타입,단계,웨이브) 클리어 플래그로 교체</v>
      </c>
    </row>
    <row r="6" spans="1:7" x14ac:dyDescent="0.3" ht="22" customHeight="1">
      <c r="A6" s="86" t="s">
        <v>169</v>
      </c>
      <c r="B6" s="86" t="s">
        <v>449</v>
      </c>
      <c r="C6" s="86" t="s">
        <v>450</v>
      </c>
      <c r="D6" s="86" t="s">
        <v>451</v>
      </c>
      <c r="E6" s="86" t="s">
        <v>452</v>
      </c>
      <c r="F6" s="151" t="s">
        <v>67</v>
      </c>
      <c r="G6" s="86" t="s">
        <v>453</v>
      </c>
    </row>
    <row r="7" spans="1:7" x14ac:dyDescent="0.3" ht="28" customHeight="1">
      <c r="A7" s="83" t="s">
        <v>206</v>
      </c>
      <c r="B7" s="83" t="s">
        <v>454</v>
      </c>
      <c r="C7" s="83" t="s">
        <v>447</v>
      </c>
      <c r="D7" s="83" t="str">
        <v>CurrentState / LifetimeTotal</v>
      </c>
      <c r="E7" s="83" t="s">
        <v>455</v>
      </c>
      <c r="F7" s="154" t="s">
        <v>70</v>
      </c>
      <c r="G7" s="83" t="str">
        <v>보유 수량·서버 승인 신규 획득 각각 분리. 장착 포함; 중복 네트워크 응답 제외</v>
      </c>
    </row>
    <row r="8" spans="1:7" x14ac:dyDescent="0.3" ht="22" customHeight="1">
      <c r="A8" s="86" t="s">
        <v>192</v>
      </c>
      <c r="B8" s="86" t="s">
        <v>190</v>
      </c>
      <c r="C8" s="86" t="s">
        <v>447</v>
      </c>
      <c r="D8" s="86" t="s">
        <v>165</v>
      </c>
      <c r="E8" s="86" t="s">
        <v>457</v>
      </c>
      <c r="F8" s="154" t="s">
        <v>70</v>
      </c>
      <c r="G8" s="86" t="s">
        <v>458</v>
      </c>
    </row>
    <row r="9" spans="1:7" x14ac:dyDescent="0.3" ht="22" customHeight="1">
      <c r="A9" s="83" t="s">
        <v>186</v>
      </c>
      <c r="B9" s="83" t="s">
        <v>459</v>
      </c>
      <c r="C9" s="83" t="s">
        <v>450</v>
      </c>
      <c r="D9" s="83" t="s">
        <v>451</v>
      </c>
      <c r="E9" s="83" t="s">
        <v>460</v>
      </c>
      <c r="F9" s="154" t="s">
        <v>70</v>
      </c>
      <c r="G9" s="83" t="s">
        <v>456</v>
      </c>
    </row>
    <row r="10" spans="1:7" x14ac:dyDescent="0.3" ht="28" customHeight="1">
      <c r="A10" s="86" t="s">
        <v>246</v>
      </c>
      <c r="B10" s="86" t="s">
        <v>244</v>
      </c>
      <c r="C10" s="86" t="str">
        <v>가이드 일일</v>
      </c>
      <c r="D10" s="86" t="str">
        <v>LifetimeTotal / EventCount</v>
      </c>
      <c r="E10" s="86" t="s">
        <v>461</v>
      </c>
      <c r="F10" s="154" t="s">
        <v>70</v>
      </c>
      <c r="G10" s="86" t="str">
        <v>서버 입장 승인·첫 스폰 후 1회. TargetId=0 전체; 아니면 던전 StageId</v>
      </c>
    </row>
    <row r="11" spans="1:7" x14ac:dyDescent="0.3" ht="22" customHeight="1">
      <c r="A11" s="83" t="s">
        <v>250</v>
      </c>
      <c r="B11" s="83" t="s">
        <v>463</v>
      </c>
      <c r="C11" s="83" t="s">
        <v>450</v>
      </c>
      <c r="D11" s="83" t="s">
        <v>464</v>
      </c>
      <c r="E11" s="83" t="s">
        <v>465</v>
      </c>
      <c r="F11" s="154" t="s">
        <v>70</v>
      </c>
      <c r="G11" s="83" t="s">
        <v>466</v>
      </c>
    </row>
    <row r="12" spans="1:7" x14ac:dyDescent="0.3" ht="22" customHeight="1">
      <c r="A12" s="86" t="s">
        <v>217</v>
      </c>
      <c r="B12" s="86" t="s">
        <v>118</v>
      </c>
      <c r="C12" s="86" t="s">
        <v>447</v>
      </c>
      <c r="D12" s="86" t="s">
        <v>165</v>
      </c>
      <c r="E12" s="86" t="s">
        <v>467</v>
      </c>
      <c r="F12" s="154" t="s">
        <v>70</v>
      </c>
      <c r="G12" s="86" t="s">
        <v>468</v>
      </c>
    </row>
    <row r="13" spans="1:7" x14ac:dyDescent="0.3" ht="22" customHeight="1">
      <c r="A13" s="83" t="s">
        <v>228</v>
      </c>
      <c r="B13" s="83" t="s">
        <v>469</v>
      </c>
      <c r="C13" s="83" t="s">
        <v>8</v>
      </c>
      <c r="D13" s="83" t="s">
        <v>165</v>
      </c>
      <c r="E13" s="83" t="s">
        <v>470</v>
      </c>
      <c r="F13" s="154" t="s">
        <v>70</v>
      </c>
      <c r="G13" s="83" t="s">
        <v>471</v>
      </c>
    </row>
    <row r="14" spans="1:7" x14ac:dyDescent="0.3" ht="28" customHeight="1">
      <c r="A14" s="86" t="s">
        <v>472</v>
      </c>
      <c r="B14" s="86" t="s">
        <v>473</v>
      </c>
      <c r="C14" s="86" t="s">
        <v>447</v>
      </c>
      <c r="D14" s="86" t="s">
        <v>165</v>
      </c>
      <c r="E14" s="86" t="s">
        <v>474</v>
      </c>
      <c r="F14" s="156" t="str">
        <v>신규</v>
      </c>
      <c r="G14" s="86" t="str">
        <v>LevelUp 기존 2 보존; PlayerLevel 신규 12. 계정 레벨은 환생 보존</v>
      </c>
    </row>
    <row r="15" spans="1:7" x14ac:dyDescent="0.3" ht="22" customHeight="1">
      <c r="A15" s="83" t="s">
        <v>476</v>
      </c>
      <c r="B15" s="83" t="s">
        <v>477</v>
      </c>
      <c r="C15" s="83" t="s">
        <v>102</v>
      </c>
      <c r="D15" s="83" t="s">
        <v>102</v>
      </c>
      <c r="E15" s="83" t="s">
        <v>102</v>
      </c>
      <c r="F15" s="158" t="s">
        <v>478</v>
      </c>
      <c r="G15" s="83" t="s">
        <v>479</v>
      </c>
    </row>
    <row r="16" spans="1:7" x14ac:dyDescent="0.3" ht="22" customHeight="1">
      <c r="A16" s="86" t="s">
        <v>480</v>
      </c>
      <c r="B16" s="86" t="s">
        <v>481</v>
      </c>
      <c r="C16" s="86" t="s">
        <v>102</v>
      </c>
      <c r="D16" s="86" t="s">
        <v>102</v>
      </c>
      <c r="E16" s="86" t="s">
        <v>102</v>
      </c>
      <c r="F16" s="158" t="s">
        <v>478</v>
      </c>
      <c r="G16" s="86" t="s">
        <v>482</v>
      </c>
    </row>
    <row r="17" spans="1:7" x14ac:dyDescent="0.3" ht="28" customHeight="1">
      <c r="A17" s="83" t="s">
        <v>285</v>
      </c>
      <c r="B17" s="83" t="s">
        <v>483</v>
      </c>
      <c r="C17" s="83" t="s">
        <v>484</v>
      </c>
      <c r="D17" s="83" t="s">
        <v>451</v>
      </c>
      <c r="E17" s="83" t="s">
        <v>485</v>
      </c>
      <c r="F17" s="156" t="s">
        <v>176</v>
      </c>
      <c r="G17" s="83" t="str">
        <v>신규 13. 몬스터의 보스 메타를 사용; W11만 검사하면 루비 보스를 놓침</v>
      </c>
    </row>
    <row r="18" spans="1:7" x14ac:dyDescent="0.3" ht="28" customHeight="1">
      <c r="A18" s="86" t="s">
        <v>174</v>
      </c>
      <c r="B18" s="86" t="s">
        <v>487</v>
      </c>
      <c r="C18" s="86" t="s">
        <v>450</v>
      </c>
      <c r="D18" s="86" t="str">
        <v>CurrentState</v>
      </c>
      <c r="E18" s="86" t="str">
        <v>StatEnhanceManager.OnEnhanceCompleted</v>
      </c>
      <c r="F18" s="156" t="s">
        <v>176</v>
      </c>
      <c r="G18" s="86" t="str">
        <v>신규 14. 성공 확인 및 레벨 차분. OnEnhanced는 실패·예약·로드에도 발생하므로 집계 금지</v>
      </c>
    </row>
    <row r="19" spans="1:7" x14ac:dyDescent="0.3" ht="28" customHeight="1">
      <c r="A19" s="83" t="s">
        <v>210</v>
      </c>
      <c r="B19" s="83" t="s">
        <v>208</v>
      </c>
      <c r="C19" s="83" t="s">
        <v>447</v>
      </c>
      <c r="D19" s="83" t="s">
        <v>451</v>
      </c>
      <c r="E19" s="83" t="s">
        <v>490</v>
      </c>
      <c r="F19" s="161" t="str">
        <v>폐기</v>
      </c>
      <c r="G19" s="83" t="str">
        <v>합성은 코드에서 기획 제외 명시. 새 enum을 할당하지 않고 역사 행만 보존</v>
      </c>
    </row>
    <row r="20" spans="1:7" x14ac:dyDescent="0.3" ht="22" customHeight="1">
      <c r="A20" s="86" t="s">
        <v>365</v>
      </c>
      <c r="B20" s="86" t="s">
        <v>492</v>
      </c>
      <c r="C20" s="86" t="s">
        <v>19</v>
      </c>
      <c r="D20" s="86" t="s">
        <v>165</v>
      </c>
      <c r="E20" s="86" t="s">
        <v>493</v>
      </c>
      <c r="F20" s="156" t="s">
        <v>176</v>
      </c>
      <c r="G20" s="86" t="str">
        <v>신규 15. 보유 skillId 종류 수; 베타 풀 3종</v>
      </c>
    </row>
    <row r="21" spans="1:7" x14ac:dyDescent="0.3" ht="22" customHeight="1">
      <c r="A21" s="83" t="s">
        <v>232</v>
      </c>
      <c r="B21" s="83" t="s">
        <v>495</v>
      </c>
      <c r="C21" s="83" t="s">
        <v>450</v>
      </c>
      <c r="D21" s="83" t="str">
        <v>CurrentState</v>
      </c>
      <c r="E21" s="83" t="s">
        <v>496</v>
      </c>
      <c r="F21" s="156" t="s">
        <v>176</v>
      </c>
      <c r="G21" s="83" t="str">
        <v>신규 16. 현재 합계·역대 최고 합계. 초기화 반복 누적 제외</v>
      </c>
    </row>
    <row r="22" spans="1:7" x14ac:dyDescent="0.3" ht="22" customHeight="1">
      <c r="A22" s="86" t="s">
        <v>270</v>
      </c>
      <c r="B22" s="86" t="s">
        <v>497</v>
      </c>
      <c r="C22" s="86" t="s">
        <v>447</v>
      </c>
      <c r="D22" s="86" t="s">
        <v>165</v>
      </c>
      <c r="E22" s="86" t="s">
        <v>498</v>
      </c>
      <c r="F22" s="156" t="s">
        <v>176</v>
      </c>
      <c r="G22" s="86" t="str">
        <v>신규 17. 보유 스킬 중 가장 높은 각성 단계; 최대 10</v>
      </c>
    </row>
    <row r="23" spans="1:7" x14ac:dyDescent="0.3" ht="22" customHeight="1">
      <c r="A23" s="83" t="s">
        <v>260</v>
      </c>
      <c r="B23" s="83" t="s">
        <v>258</v>
      </c>
      <c r="C23" s="83" t="s">
        <v>8</v>
      </c>
      <c r="D23" s="83" t="s">
        <v>165</v>
      </c>
      <c r="E23" s="83" t="s">
        <v>500</v>
      </c>
      <c r="F23" s="161" t="str">
        <v>폐기</v>
      </c>
      <c r="G23" s="83" t="str">
        <v>신 스킬 삭제. 신규 enum 등록·발행·보상 연결 금지</v>
      </c>
    </row>
    <row r="24" spans="1:7" x14ac:dyDescent="0.3" ht="22" customHeight="1">
      <c r="A24" s="86" t="s">
        <v>265</v>
      </c>
      <c r="B24" s="86" t="s">
        <v>263</v>
      </c>
      <c r="C24" s="86" t="s">
        <v>501</v>
      </c>
      <c r="D24" s="86" t="s">
        <v>170</v>
      </c>
      <c r="E24" s="86" t="s">
        <v>502</v>
      </c>
      <c r="F24" s="161" t="str">
        <v>폐기</v>
      </c>
      <c r="G24" s="86" t="str">
        <v>신 스킬 삭제. 신규 enum 등록·발행·보상 연결 금지</v>
      </c>
    </row>
    <row r="25" spans="1:7" x14ac:dyDescent="0.3" ht="22" customHeight="1">
      <c r="A25" s="83" t="s">
        <v>374</v>
      </c>
      <c r="B25" s="83" t="s">
        <v>503</v>
      </c>
      <c r="C25" s="83" t="s">
        <v>19</v>
      </c>
      <c r="D25" s="83" t="s">
        <v>165</v>
      </c>
      <c r="E25" s="83" t="s">
        <v>504</v>
      </c>
      <c r="F25" s="161" t="str">
        <v>폐기</v>
      </c>
      <c r="G25" s="83" t="str">
        <v>신 스킬 삭제. 신규 enum 등록·발행·보상 연결 금지</v>
      </c>
    </row>
    <row r="26" spans="1:7" x14ac:dyDescent="0.3" ht="22" customHeight="1">
      <c r="A26" s="86" t="s">
        <v>381</v>
      </c>
      <c r="B26" s="86" t="s">
        <v>506</v>
      </c>
      <c r="C26" s="86" t="s">
        <v>19</v>
      </c>
      <c r="D26" s="86" t="s">
        <v>165</v>
      </c>
      <c r="E26" s="86" t="s">
        <v>507</v>
      </c>
      <c r="F26" s="161" t="str">
        <v>폐기</v>
      </c>
      <c r="G26" s="86" t="str">
        <v>신 스킬 삭제. 신규 enum 등록·발행·보상 연결 금지</v>
      </c>
    </row>
    <row r="27" spans="1:7" x14ac:dyDescent="0.3" ht="22" customHeight="1">
      <c r="A27" s="83" t="s">
        <v>277</v>
      </c>
      <c r="B27" s="83" t="s">
        <v>508</v>
      </c>
      <c r="C27" s="83" t="s">
        <v>509</v>
      </c>
      <c r="D27" s="83" t="s">
        <v>451</v>
      </c>
      <c r="E27" s="83" t="s">
        <v>510</v>
      </c>
      <c r="F27" s="156" t="s">
        <v>176</v>
      </c>
      <c r="G27" s="83" t="str">
        <v>신규 18. 서버 완료 원장 transactionId별 1회</v>
      </c>
    </row>
    <row r="28" spans="1:7" x14ac:dyDescent="0.3" ht="22" customHeight="1">
      <c r="A28" s="86" t="s">
        <v>397</v>
      </c>
      <c r="B28" s="86" t="s">
        <v>511</v>
      </c>
      <c r="C28" s="86" t="s">
        <v>19</v>
      </c>
      <c r="D28" s="86" t="s">
        <v>165</v>
      </c>
      <c r="E28" s="86" t="s">
        <v>512</v>
      </c>
      <c r="F28" s="156" t="s">
        <v>176</v>
      </c>
      <c r="G28" s="86" t="str">
        <v>신규 19. 환생 레벨 현재값, 상한 300</v>
      </c>
    </row>
    <row r="29" spans="1:7" x14ac:dyDescent="0.3" ht="28" customHeight="1">
      <c r="A29" s="83" t="s">
        <v>359</v>
      </c>
      <c r="B29" s="83" t="s">
        <v>513</v>
      </c>
      <c r="C29" s="83" t="s">
        <v>19</v>
      </c>
      <c r="D29" s="83" t="str">
        <v>LifetimeTotal / CurrentState</v>
      </c>
      <c r="E29" s="83" t="s">
        <v>514</v>
      </c>
      <c r="F29" s="158" t="str">
        <v>보류</v>
      </c>
      <c r="G29" s="83" t="str">
        <v>현재 enum 없음. 조합 4종은 역대 distinct ID 집합; 베타에는 미등록</v>
      </c>
    </row>
    <row r="30" spans="1:7" x14ac:dyDescent="0.3" ht="22" customHeight="1">
      <c r="A30" s="86" t="s">
        <v>295</v>
      </c>
      <c r="B30" s="86" t="s">
        <v>516</v>
      </c>
      <c r="C30" s="86" t="str">
        <v>보류</v>
      </c>
      <c r="D30" s="86" t="s">
        <v>170</v>
      </c>
      <c r="E30" s="86" t="s">
        <v>517</v>
      </c>
      <c r="F30" s="158" t="str">
        <v>보류</v>
      </c>
      <c r="G30" s="86" t="str">
        <v>광고 SDK 및 정책 확정 후 별도. 일일 완료 조건 아님</v>
      </c>
    </row>
    <row r="31" spans="1:7" x14ac:dyDescent="0.3" ht="22" customHeight="1">
      <c r="A31" s="83" t="s">
        <v>298</v>
      </c>
      <c r="B31" s="83" t="s">
        <v>297</v>
      </c>
      <c r="C31" s="83" t="s">
        <v>12</v>
      </c>
      <c r="D31" s="83" t="s">
        <v>170</v>
      </c>
      <c r="E31" s="83" t="s">
        <v>519</v>
      </c>
      <c r="F31" s="156" t="s">
        <v>176</v>
      </c>
      <c r="G31" s="83" t="str">
        <v>신규 20. 승인된 보상 ClaimId 1회, 단순 버튼 클릭 제외</v>
      </c>
    </row>
    <row r="32" spans="1:7" x14ac:dyDescent="0.3" ht="28" customHeight="1">
      <c r="A32" s="86" t="s">
        <v>301</v>
      </c>
      <c r="B32" s="86" t="str">
        <v>기본 목표 N개 중 K개 달성</v>
      </c>
      <c r="C32" s="86" t="s">
        <v>521</v>
      </c>
      <c r="D32" s="86" t="s">
        <v>165</v>
      </c>
      <c r="E32" s="86" t="s">
        <v>522</v>
      </c>
      <c r="F32" s="156" t="s">
        <v>176</v>
      </c>
      <c r="G32" s="86" t="str">
        <v>신규 21. 일일 5/7·주간 5/6. 자신·폐기·보류 제외; 수령 전 달성도 인정</v>
      </c>
    </row>
    <row r="34" spans="1:5" x14ac:dyDescent="0.3" ht="22" customHeight="1">
      <c r="A34" s="132" t="s">
        <v>524</v>
      </c>
    </row>
    <row r="35" spans="1:5" x14ac:dyDescent="0.3" ht="22" customHeight="1">
      <c r="A35" s="127" t="s">
        <v>64</v>
      </c>
      <c r="B35" s="128" t="s">
        <v>67</v>
      </c>
      <c r="C35" s="129" t="s">
        <v>70</v>
      </c>
      <c r="D35" s="130" t="s">
        <v>176</v>
      </c>
      <c r="E35" s="131" t="s">
        <v>478</v>
      </c>
    </row>
    <row r="37" ht="37" customHeight="1">
      <c r="A37" s="149" t="str">
        <v>EquipmentEnhance</v>
      </c>
      <c r="B37" s="149" t="str">
        <v>장비 강화 레벨 합계</v>
      </c>
      <c r="C37" s="149" t="str">
        <v>업적</v>
      </c>
      <c r="D37" s="149" t="str">
        <v>CurrentState</v>
      </c>
      <c r="E37" s="149" t="str">
        <v>EquipmentManager 성공 강화 / 보유 스냅샷</v>
      </c>
      <c r="F37" s="164" t="str">
        <v>신규</v>
      </c>
      <c r="G37" s="149" t="str">
        <v>신규 22. 최고 합계 저장; 장착·가방 중복 참조 제외</v>
      </c>
    </row>
    <row r="38" ht="37" customHeight="1">
      <c r="A38" s="149" t="str">
        <v>BattleTime</v>
      </c>
      <c r="B38" s="149" t="str">
        <v>온라인 실제 전투 초</v>
      </c>
      <c r="C38" s="149" t="str">
        <v>일일 주간</v>
      </c>
      <c r="D38" s="149" t="str">
        <v>EventCount</v>
      </c>
      <c r="E38" s="149" t="str">
        <v>서버 검증 battle session 누적</v>
      </c>
      <c r="F38" s="164" t="str">
        <v>신규</v>
      </c>
      <c r="G38" s="149" t="str">
        <v>신규 23. 메뉴·로딩·백그라운드·오프라인 제외. 동시 세션 중복 금지</v>
      </c>
    </row>
    <row r="39" ht="37" customHeight="1">
      <c r="A39" s="149" t="str">
        <v>MainWaveClear</v>
      </c>
      <c r="B39" s="149" t="str">
        <v>메인 일반 웨이브 클리어</v>
      </c>
      <c r="C39" s="149" t="str">
        <v>주간</v>
      </c>
      <c r="D39" s="149" t="str">
        <v>EventCount</v>
      </c>
      <c r="E39" s="149" t="str">
        <v>StageManager 완료 승인</v>
      </c>
      <c r="F39" s="164" t="str">
        <v>신규</v>
      </c>
      <c r="G39" s="149" t="str">
        <v>신규 24. 반복 일반 허용; 보스·던전 제외</v>
      </c>
    </row>
    <row r="40" ht="37" customHeight="1">
      <c r="A40" s="149" t="str">
        <v>SkillCast</v>
      </c>
      <c r="B40" s="149" t="str">
        <v>마탑 자동 스킬 시전</v>
      </c>
      <c r="C40" s="149" t="str">
        <v>일일</v>
      </c>
      <c r="D40" s="149" t="str">
        <v>EventCount</v>
      </c>
      <c r="E40" s="149" t="str">
        <v>MageTower 실제 시전 시작</v>
      </c>
      <c r="F40" s="164" t="str">
        <v>신규</v>
      </c>
      <c r="G40" s="149" t="str">
        <v>신규 25. 유효 타깃이 있어 시전 시작한 횟수. 캐스트 다중 히트는 1회</v>
      </c>
    </row>
  </sheetData>
  <autoFilter ref="A4:G32" xr:uid="{00000000-0009-0000-0000-000006000000}"/>
  <mergeCells count="2">
    <mergeCell ref="A2:G2"/>
    <mergeCell ref="A1:G1"/>
  </mergeCells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00_개요</vt:lpstr>
      <vt:lpstr>01_연계맵</vt:lpstr>
      <vt:lpstr>02_가이드</vt:lpstr>
      <vt:lpstr>03_퀘스트</vt:lpstr>
      <vt:lpstr>04_업적</vt:lpstr>
      <vt:lpstr>05_보상그룹</vt:lpstr>
      <vt:lpstr>06_목표타입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의찬 이</cp:lastModifiedBy>
  <dcterms:created xsi:type="dcterms:W3CDTF">2026-08-28T04:19:41Z</dcterms:created>
  <dcterms:modified xsi:type="dcterms:W3CDTF">2026-09-08T07:35:36Z</dcterms:modified>
</cp:coreProperties>
</file>