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24d1cbbd8c46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개요" sheetId="1" r:id="Rd32916dcf1ad49e1"/>
    <x:sheet xmlns:r="http://schemas.openxmlformats.org/officeDocument/2006/relationships" name="01_연계맵" sheetId="2" r:id="R98423e7e48e543a2"/>
    <x:sheet xmlns:r="http://schemas.openxmlformats.org/officeDocument/2006/relationships" name="02_가이드" sheetId="3" r:id="Rf545263501d94be4"/>
    <x:sheet xmlns:r="http://schemas.openxmlformats.org/officeDocument/2006/relationships" name="03_퀘스트" sheetId="4" r:id="R141f7bd9c31e4ab1"/>
    <x:sheet xmlns:r="http://schemas.openxmlformats.org/officeDocument/2006/relationships" name="04_업적" sheetId="5" r:id="R2237fddba03c4873"/>
    <x:sheet xmlns:r="http://schemas.openxmlformats.org/officeDocument/2006/relationships" name="05_보상그룹" sheetId="6" r:id="R887c6d081a8c4dc8"/>
    <x:sheet xmlns:r="http://schemas.openxmlformats.org/officeDocument/2006/relationships" name="06_목표타입" sheetId="7" r:id="Rbd98d71f1c484544"/>
  </x:sheets>
</x:workbook>
</file>

<file path=xl/sharedStrings.xml><?xml version="1.0" encoding="utf-8"?>
<x:sst xmlns:x="http://schemas.openxmlformats.org/spreadsheetml/2006/main">
  <x:si>
    <x:t xml:space="preserve">1. 3계층</x:t>
  </x:si>
  <x:si>
    <x:t xml:space="preserve">계층</x:t>
  </x:si>
  <x:si>
    <x:t xml:space="preserve">Category</x:t>
  </x:si>
  <x:si>
    <x:t xml:space="preserve">주기</x:t>
  </x:si>
  <x:si>
    <x:t xml:space="preserve">건수</x:t>
  </x:si>
  <x:si>
    <x:t xml:space="preserve">노출</x:t>
  </x:si>
  <x:si>
    <x:t xml:space="preserve">가이드</x:t>
  </x:si>
  <x:si>
    <x:t xml:space="preserve">Guide (0)</x:t>
  </x:si>
  <x:si>
    <x:t xml:space="preserve">1회 · 순차</x:t>
  </x:si>
  <x:si>
    <x:t xml:space="preserve">일일</x:t>
  </x:si>
  <x:si>
    <x:t xml:space="preserve">Daily (1)</x:t>
  </x:si>
  <x:si>
    <x:t xml:space="preserve">KST 00:00</x:t>
  </x:si>
  <x:si>
    <x:t xml:space="preserve">주간</x:t>
  </x:si>
  <x:si>
    <x:t xml:space="preserve">Weekly (2)</x:t>
  </x:si>
  <x:si>
    <x:t xml:space="preserve">월 00:00</x:t>
  </x:si>
  <x:si>
    <x:t xml:space="preserve">퀘스트 패널</x:t>
  </x:si>
  <x:si>
    <x:t xml:space="preserve">업적</x:t>
  </x:si>
  <x:si>
    <x:t xml:space="preserve">Achievement (3)</x:t>
  </x:si>
  <x:si>
    <x:t xml:space="preserve">영구 누적</x:t>
  </x:si>
  <x:si>
    <x:t xml:space="preserve">2. ID 대역</x:t>
  </x:si>
  <x:si>
    <x:t xml:space="preserve">구분</x:t>
  </x:si>
  <x:si>
    <x:t xml:space="preserve">대역</x:t>
  </x:si>
  <x:si>
    <x:t xml:space="preserve">규칙</x:t>
  </x:si>
  <x:si>
    <x:t xml:space="preserve">10001~10030</x:t>
  </x:si>
  <x:si>
    <x:t xml:space="preserve">20001~20010</x:t>
  </x:si>
  <x:si>
    <x:t xml:space="preserve">순번 +1</x:t>
  </x:si>
  <x:si>
    <x:t xml:space="preserve">30001~30007</x:t>
  </x:si>
  <x:si>
    <x:t xml:space="preserve">4 CC TT</x:t>
  </x:si>
  <x:si>
    <x:t xml:space="preserve">CC=계열(01~13), TT=단계</x:t>
  </x:si>
  <x:si>
    <x:t xml:space="preserve">보상 그룹</x:t>
  </x:si>
  <x:si>
    <x:t xml:space="preserve">1xxx/2xxx/3xxx/4xxx</x:t>
  </x:si>
  <x:si>
    <x:t xml:space="preserve">가이드/일일/주간/업적</x:t>
  </x:si>
  <x:si>
    <x:t xml:space="preserve">3. TargetId 규칙  ※ 0 = 대상 무제한 (QuestObjectMatcher)</x:t>
  </x:si>
  <x:si>
    <x:t xml:space="preserve">대상</x:t>
  </x:si>
  <x:si>
    <x:t xml:space="preserve">값</x:t>
  </x:si>
  <x:si>
    <x:t xml:space="preserve">근거 enum</x:t>
  </x:si>
  <x:si>
    <x:t xml:space="preserve">스테이지</x:t>
  </x:si>
  <x:si>
    <x:t xml:space="preserve">eStage long 값 그대로</x:t>
  </x:si>
  <x:si>
    <x:t xml:space="preserve">StageEnum.cs</x:t>
  </x:si>
  <x:si>
    <x:t xml:space="preserve">뽑기 종류</x:t>
  </x:si>
  <x:si>
    <x:t xml:space="preserve">eGachaType + 1</x:t>
  </x:si>
  <x:si>
    <x:t xml:space="preserve">강화 트랙</x:t>
  </x:si>
  <x:si>
    <x:t xml:space="preserve">EnhanceType + 1</x:t>
  </x:si>
  <x:si>
    <x:t xml:space="preserve">장비 레어도</x:t>
  </x:si>
  <x:si>
    <x:t xml:space="preserve">1=노말 2=레어 3=에픽</x:t>
  </x:si>
  <x:si>
    <x:t xml:space="preserve">eEquipmentRarity + 1</x:t>
  </x:si>
  <x:si>
    <x:t xml:space="preserve">전직 차수</x:t>
  </x:si>
  <x:si>
    <x:t xml:space="preserve">1=1차 2=2차</x:t>
  </x:si>
  <x:si>
    <x:t xml:space="preserve">직접 정의</x:t>
  </x:si>
  <x:si>
    <x:t xml:space="preserve">신 스킬 등급</x:t>
  </x:si>
  <x:si>
    <x:t xml:space="preserve">eDivineGrade + 1</x:t>
  </x:si>
  <x:si>
    <x:t xml:space="preserve">4. 구현 상태</x:t>
  </x:si>
  <x:si>
    <x:t xml:space="preserve">항목</x:t>
  </x:si>
  <x:si>
    <x:t xml:space="preserve">상태</x:t>
  </x:si>
  <x:si>
    <x:t xml:space="preserve">메모</x:t>
  </x:si>
  <x:si>
    <x:t xml:space="preserve">파티 조합</x:t>
  </x:si>
  <x:si>
    <x:t xml:space="preserve">미배선</x:t>
  </x:si>
  <x:si>
    <x:t xml:space="preserve">5. 작업 순서</x:t>
  </x:si>
  <x:si>
    <x:t xml:space="preserve">신규 목표 타입</x:t>
  </x:si>
  <x:si>
    <x:t xml:space="preserve">연계 맵</x:t>
  </x:si>
  <x:si>
    <x:t xml:space="preserve">시스템</x:t>
  </x:si>
  <x:si>
    <x:t xml:space="preserve">퀘스트</x:t>
  </x:si>
  <x:si>
    <x:t xml:space="preserve">업적 계열</x:t>
  </x:si>
  <x:si>
    <x:t xml:space="preserve">진행</x:t>
  </x:si>
  <x:si>
    <x:t xml:space="preserve">G01 G05 G08 G10 G13 G19 G21 G25</x:t>
  </x:si>
  <x:si>
    <x:t xml:space="preserve">01 진행</x:t>
  </x:si>
  <x:si>
    <x:t xml:space="preserve">토벌</x:t>
  </x:si>
  <x:si>
    <x:t xml:space="preserve">G02</x:t>
  </x:si>
  <x:si>
    <x:t xml:space="preserve">D-01 W-01</x:t>
  </x:si>
  <x:si>
    <x:t xml:space="preserve">02 토벌</x:t>
  </x:si>
  <x:si>
    <x:t xml:space="preserve">보스</x:t>
  </x:si>
  <x:si>
    <x:t xml:space="preserve">G10 G25</x:t>
  </x:si>
  <x:si>
    <x:t xml:space="preserve">D-02 W-02</x:t>
  </x:si>
  <x:si>
    <x:t xml:space="preserve">03 보스</x:t>
  </x:si>
  <x:si>
    <x:t xml:space="preserve">강화</x:t>
  </x:si>
  <x:si>
    <x:t xml:space="preserve">G03 G04 G09</x:t>
  </x:si>
  <x:si>
    <x:t xml:space="preserve">04 강화</x:t>
  </x:si>
  <x:si>
    <x:t xml:space="preserve">장비</x:t>
  </x:si>
  <x:si>
    <x:t xml:space="preserve">G06 G07 G11 G12</x:t>
  </x:si>
  <x:si>
    <x:t xml:space="preserve">—</x:t>
  </x:si>
  <x:si>
    <x:t xml:space="preserve">05 장비</x:t>
  </x:si>
  <x:si>
    <x:t xml:space="preserve">전직</x:t>
  </x:si>
  <x:si>
    <x:t xml:space="preserve">G14 G15</x:t>
  </x:si>
  <x:si>
    <x:t xml:space="preserve">06 전직</x:t>
  </x:si>
  <x:si>
    <x:t xml:space="preserve">마탑</x:t>
  </x:si>
  <x:si>
    <x:t xml:space="preserve">G16 G17 G18 G20 G28</x:t>
  </x:si>
  <x:si>
    <x:t xml:space="preserve">D-04</x:t>
  </x:si>
  <x:si>
    <x:t xml:space="preserve">08 마탑</x:t>
  </x:si>
  <x:si>
    <x:t xml:space="preserve">던전</x:t>
  </x:si>
  <x:si>
    <x:t xml:space="preserve">G22 G23 G24</x:t>
  </x:si>
  <x:si>
    <x:t xml:space="preserve">D-05 W-03</x:t>
  </x:si>
  <x:si>
    <x:t xml:space="preserve">10 던전</x:t>
  </x:si>
  <x:si>
    <x:t xml:space="preserve">뽑기</x:t>
  </x:si>
  <x:si>
    <x:t xml:space="preserve">G06 G16</x:t>
  </x:si>
  <x:si>
    <x:t xml:space="preserve">11 뽑기</x:t>
  </x:si>
  <x:si>
    <x:t xml:space="preserve">환생</x:t>
  </x:si>
  <x:si>
    <x:t xml:space="preserve">G30</x:t>
  </x:si>
  <x:si>
    <x:t xml:space="preserve">W-06</x:t>
  </x:si>
  <x:si>
    <x:t xml:space="preserve">12 환생</x:t>
  </x:si>
  <x:si>
    <x:t xml:space="preserve">레벨/오프라인</x:t>
  </x:si>
  <x:si>
    <x:t xml:space="preserve">G29</x:t>
  </x:si>
  <x:si>
    <x:t xml:space="preserve">D-09</x:t>
  </x:si>
  <x:si>
    <x:t xml:space="preserve">13 레벨</x:t>
  </x:si>
  <x:si>
    <x:t xml:space="preserve">QuestId</x:t>
  </x:si>
  <x:si>
    <x:t xml:space="preserve">코드</x:t>
  </x:si>
  <x:si>
    <x:t xml:space="preserve">제목</x:t>
  </x:si>
  <x:si>
    <x:t xml:space="preserve">목표</x:t>
  </x:si>
  <x:si>
    <x:t xml:space="preserve">ObjectiveType</x:t>
  </x:si>
  <x:si>
    <x:t xml:space="preserve">ProgressMode</x:t>
  </x:si>
  <x:si>
    <x:t xml:space="preserve">TargetId</x:t>
  </x:si>
  <x:si>
    <x:t xml:space="preserve">Required</x:t>
  </x:si>
  <x:si>
    <x:t xml:space="preserve">NextQuestId</x:t>
  </x:si>
  <x:si>
    <x:t xml:space="preserve">RewardGroupId</x:t>
  </x:si>
  <x:si>
    <x:t xml:space="preserve">Presentation</x:t>
  </x:si>
  <x:si>
    <x:t xml:space="preserve">비고</x:t>
  </x:si>
  <x:si>
    <x:t xml:space="preserve">G01</x:t>
  </x:si>
  <x:si>
    <x:t xml:space="preserve">첫 전투</x:t>
  </x:si>
  <x:si>
    <x:t xml:space="preserve">스테이지 1-1 클리어</x:t>
  </x:si>
  <x:si>
    <x:t xml:space="preserve">StageClear</x:t>
  </x:si>
  <x:si>
    <x:t xml:space="preserve">CurrentState</x:t>
  </x:si>
  <x:si>
    <x:t xml:space="preserve">None</x:t>
  </x:si>
  <x:si>
    <x:t xml:space="preserve">첫 사냥</x:t>
  </x:si>
  <x:si>
    <x:t xml:space="preserve">몬스터 20마리 처치</x:t>
  </x:si>
  <x:si>
    <x:t xml:space="preserve">MonsterKill</x:t>
  </x:si>
  <x:si>
    <x:t xml:space="preserve">G03</x:t>
  </x:si>
  <x:si>
    <x:t xml:space="preserve">공격력 강화</x:t>
  </x:si>
  <x:si>
    <x:t xml:space="preserve">StatEnhance</x:t>
  </x:si>
  <x:si>
    <x:t xml:space="preserve">HighlightButton</x:t>
  </x:si>
  <x:si>
    <x:t xml:space="preserve">G04</x:t>
  </x:si>
  <x:si>
    <x:t xml:space="preserve">체력 강화</x:t>
  </x:si>
  <x:si>
    <x:t xml:space="preserve">G05</x:t>
  </x:si>
  <x:si>
    <x:t xml:space="preserve">1-3 클리어</x:t>
  </x:si>
  <x:si>
    <x:t xml:space="preserve">스테이지 1-3 클리어</x:t>
  </x:si>
  <x:si>
    <x:t xml:space="preserve">G06</x:t>
  </x:si>
  <x:si>
    <x:t xml:space="preserve">장비 뽑기</x:t>
  </x:si>
  <x:si>
    <x:t xml:space="preserve">장비 뽑기 1회</x:t>
  </x:si>
  <x:si>
    <x:t xml:space="preserve">GachaUse</x:t>
  </x:si>
  <x:si>
    <x:t xml:space="preserve">OpenPopup</x:t>
  </x:si>
  <x:si>
    <x:t xml:space="preserve">G07</x:t>
  </x:si>
  <x:si>
    <x:t xml:space="preserve">장비 장착</x:t>
  </x:si>
  <x:si>
    <x:t xml:space="preserve">장비 1개 장착</x:t>
  </x:si>
  <x:si>
    <x:t xml:space="preserve">EquipmentEquip</x:t>
  </x:si>
  <x:si>
    <x:t xml:space="preserve">FocusContent</x:t>
  </x:si>
  <x:si>
    <x:t xml:space="preserve">G08</x:t>
  </x:si>
  <x:si>
    <x:t xml:space="preserve">1-5 클리어</x:t>
  </x:si>
  <x:si>
    <x:t xml:space="preserve">스테이지 1-5 클리어</x:t>
  </x:si>
  <x:si>
    <x:t xml:space="preserve">G09</x:t>
  </x:si>
  <x:si>
    <x:t xml:space="preserve">강화 반복</x:t>
  </x:si>
  <x:si>
    <x:t xml:space="preserve">G10</x:t>
  </x:si>
  <x:si>
    <x:t xml:space="preserve">첫 보스</x:t>
  </x:si>
  <x:si>
    <x:t xml:space="preserve">G11</x:t>
  </x:si>
  <x:si>
    <x:t xml:space="preserve">장비 수집</x:t>
  </x:si>
  <x:si>
    <x:t xml:space="preserve">EquipmentObtain</x:t>
  </x:si>
  <x:si>
    <x:t xml:space="preserve">G12</x:t>
  </x:si>
  <x:si>
    <x:t xml:space="preserve">G13</x:t>
  </x:si>
  <x:si>
    <x:t xml:space="preserve">2-1 클리어</x:t>
  </x:si>
  <x:si>
    <x:t xml:space="preserve">스테이지 2-1 클리어</x:t>
  </x:si>
  <x:si>
    <x:t xml:space="preserve">G14</x:t>
  </x:si>
  <x:si>
    <x:t xml:space="preserve">첫 전직</x:t>
  </x:si>
  <x:si>
    <x:t xml:space="preserve">왕국군 1인 1차 전직</x:t>
  </x:si>
  <x:si>
    <x:t xml:space="preserve">JobChange</x:t>
  </x:si>
  <x:si>
    <x:t xml:space="preserve">G15</x:t>
  </x:si>
  <x:si>
    <x:t xml:space="preserve">진영 완성</x:t>
  </x:si>
  <x:si>
    <x:t xml:space="preserve">왕국군 3인 1차 전직</x:t>
  </x:si>
  <x:si>
    <x:t xml:space="preserve">G16</x:t>
  </x:si>
  <x:si>
    <x:t xml:space="preserve">마탑 뽑기</x:t>
  </x:si>
  <x:si>
    <x:t xml:space="preserve">마탑 스킬 뽑기 1회</x:t>
  </x:si>
  <x:si>
    <x:t xml:space="preserve">G17</x:t>
  </x:si>
  <x:si>
    <x:t xml:space="preserve">마탑 장착</x:t>
  </x:si>
  <x:si>
    <x:t xml:space="preserve">마탑 스킬 1개 장착</x:t>
  </x:si>
  <x:si>
    <x:t xml:space="preserve">SkillEquip</x:t>
  </x:si>
  <x:si>
    <x:t xml:space="preserve">G18</x:t>
  </x:si>
  <x:si>
    <x:t xml:space="preserve">마탑 강화</x:t>
  </x:si>
  <x:si>
    <x:t xml:space="preserve">SkillEnhance</x:t>
  </x:si>
  <x:si>
    <x:t xml:space="preserve">G19</x:t>
  </x:si>
  <x:si>
    <x:t xml:space="preserve">2-3 클리어</x:t>
  </x:si>
  <x:si>
    <x:t xml:space="preserve">스테이지 2-3 클리어</x:t>
  </x:si>
  <x:si>
    <x:t xml:space="preserve">G20</x:t>
  </x:si>
  <x:si>
    <x:t xml:space="preserve">마탑 확장</x:t>
  </x:si>
  <x:si>
    <x:t xml:space="preserve">마탑 스킬 2개 장착</x:t>
  </x:si>
  <x:si>
    <x:t xml:space="preserve">G21</x:t>
  </x:si>
  <x:si>
    <x:t xml:space="preserve">2-5 클리어</x:t>
  </x:si>
  <x:si>
    <x:t xml:space="preserve">스테이지 2-5 클리어</x:t>
  </x:si>
  <x:si>
    <x:t xml:space="preserve">G22</x:t>
  </x:si>
  <x:si>
    <x:t xml:space="preserve">던전 입장</x:t>
  </x:si>
  <x:si>
    <x:t xml:space="preserve">골드 던전 입장</x:t>
  </x:si>
  <x:si>
    <x:t xml:space="preserve">DungeonEnter</x:t>
  </x:si>
  <x:si>
    <x:t xml:space="preserve">G23</x:t>
  </x:si>
  <x:si>
    <x:t xml:space="preserve">골드 던전</x:t>
  </x:si>
  <x:si>
    <x:t xml:space="preserve">골드 던전 1단계 클리어</x:t>
  </x:si>
  <x:si>
    <x:t xml:space="preserve">DungeonClear</x:t>
  </x:si>
  <x:si>
    <x:t xml:space="preserve">G24</x:t>
  </x:si>
  <x:si>
    <x:t xml:space="preserve">루비 던전</x:t>
  </x:si>
  <x:si>
    <x:t xml:space="preserve">루비 던전 1단계 클리어</x:t>
  </x:si>
  <x:si>
    <x:t xml:space="preserve">G25</x:t>
  </x:si>
  <x:si>
    <x:t xml:space="preserve">2장 클리어</x:t>
  </x:si>
  <x:si>
    <x:t xml:space="preserve">G26</x:t>
  </x:si>
  <x:si>
    <x:t xml:space="preserve">신 스킬 카드 1장 장착</x:t>
  </x:si>
  <x:si>
    <x:t xml:space="preserve">DivineEquip</x:t>
  </x:si>
  <x:si>
    <x:t xml:space="preserve">G27</x:t>
  </x:si>
  <x:si>
    <x:t xml:space="preserve">신 스킬 1회 시전</x:t>
  </x:si>
  <x:si>
    <x:t xml:space="preserve">DivineCast</x:t>
  </x:si>
  <x:si>
    <x:t xml:space="preserve">EventCount</x:t>
  </x:si>
  <x:si>
    <x:t xml:space="preserve">G28</x:t>
  </x:si>
  <x:si>
    <x:t xml:space="preserve">마탑 각성</x:t>
  </x:si>
  <x:si>
    <x:t xml:space="preserve">마탑 스킬 1각 달성</x:t>
  </x:si>
  <x:si>
    <x:t xml:space="preserve">SkillAwaken</x:t>
  </x:si>
  <x:si>
    <x:t xml:space="preserve">레벨 10</x:t>
  </x:si>
  <x:si>
    <x:t xml:space="preserve">플레이어 레벨 10 달성</x:t>
  </x:si>
  <x:si>
    <x:t xml:space="preserve">PlayerLevel</x:t>
  </x:si>
  <x:si>
    <x:t xml:space="preserve">첫 환생</x:t>
  </x:si>
  <x:si>
    <x:t xml:space="preserve">환생 1회 완료</x:t>
  </x:si>
  <x:si>
    <x:t xml:space="preserve">Reincarnate</x:t>
  </x:si>
  <x:si>
    <x:t xml:space="preserve">퀘스트 (일일 / 주간)</x:t>
  </x:si>
  <x:si>
    <x:t xml:space="preserve">D-01</x:t>
  </x:si>
  <x:si>
    <x:t xml:space="preserve">몬스터 200마리 처치</x:t>
  </x:si>
  <x:si>
    <x:t xml:space="preserve">D-02</x:t>
  </x:si>
  <x:si>
    <x:t xml:space="preserve">BossKill</x:t>
  </x:si>
  <x:si>
    <x:t xml:space="preserve">D-03</x:t>
  </x:si>
  <x:si>
    <x:t xml:space="preserve">D-05</x:t>
  </x:si>
  <x:si>
    <x:t xml:space="preserve">D-06</x:t>
  </x:si>
  <x:si>
    <x:t xml:space="preserve">D-07</x:t>
  </x:si>
  <x:si>
    <x:t xml:space="preserve">D-08</x:t>
  </x:si>
  <x:si>
    <x:t xml:space="preserve">AdWatch</x:t>
  </x:si>
  <x:si>
    <x:t xml:space="preserve">OfflineClaim</x:t>
  </x:si>
  <x:si>
    <x:t xml:space="preserve">D-10</x:t>
  </x:si>
  <x:si>
    <x:t xml:space="preserve">QuestAllClear</x:t>
  </x:si>
  <x:si>
    <x:t xml:space="preserve">W-01</x:t>
  </x:si>
  <x:si>
    <x:t xml:space="preserve">W-02</x:t>
  </x:si>
  <x:si>
    <x:t xml:space="preserve">W-03</x:t>
  </x:si>
  <x:si>
    <x:t xml:space="preserve">W-04</x:t>
  </x:si>
  <x:si>
    <x:t xml:space="preserve">W-05</x:t>
  </x:si>
  <x:si>
    <x:t xml:space="preserve">W-07</x:t>
  </x:si>
  <x:si>
    <x:t xml:space="preserve">계열</x:t>
  </x:si>
  <x:si>
    <x:t xml:space="preserve">단계</x:t>
  </x:si>
  <x:si>
    <x:t xml:space="preserve">I</x:t>
  </x:si>
  <x:si>
    <x:t xml:space="preserve">II</x:t>
  </x:si>
  <x:si>
    <x:t xml:space="preserve">III</x:t>
  </x:si>
  <x:si>
    <x:t xml:space="preserve">IV</x:t>
  </x:si>
  <x:si>
    <x:t xml:space="preserve">V</x:t>
  </x:si>
  <x:si>
    <x:t xml:space="preserve">LifetimeTotal</x:t>
  </x:si>
  <x:si>
    <x:t xml:space="preserve">보스 10회 처치</x:t>
  </x:si>
  <x:si>
    <x:t xml:space="preserve">보스 100회 처치</x:t>
  </x:si>
  <x:si>
    <x:t xml:space="preserve">장비 10개 획득</x:t>
  </x:si>
  <x:si>
    <x:t xml:space="preserve">장비 100개 획득</x:t>
  </x:si>
  <x:si>
    <x:t xml:space="preserve">장비 1,000개 획득</x:t>
  </x:si>
  <x:si>
    <x:t xml:space="preserve">에픽 장비 장착</x:t>
  </x:si>
  <x:si>
    <x:t xml:space="preserve">TargetId 3=에픽</x:t>
  </x:si>
  <x:si>
    <x:t xml:space="preserve">1차 전직 1인</x:t>
  </x:si>
  <x:si>
    <x:t xml:space="preserve">1차 전직 3인</x:t>
  </x:si>
  <x:si>
    <x:t xml:space="preserve">2차 전직 1인</x:t>
  </x:si>
  <x:si>
    <x:t xml:space="preserve">2차 전직 3인</x:t>
  </x:si>
  <x:si>
    <x:t xml:space="preserve">07 파티</x:t>
  </x:si>
  <x:si>
    <x:t xml:space="preserve">명명 파티 조합 1종 달성</x:t>
  </x:si>
  <x:si>
    <x:t xml:space="preserve">PartyCombo</x:t>
  </x:si>
  <x:si>
    <x:t xml:space="preserve">명명 파티 조합 4종 달성</x:t>
  </x:si>
  <x:si>
    <x:t xml:space="preserve">엘리트 3인 조합 달성</x:t>
  </x:si>
  <x:si>
    <x:t xml:space="preserve">마탑 스킬 3종 보유</x:t>
  </x:si>
  <x:si>
    <x:t xml:space="preserve">SkillObtain</x:t>
  </x:si>
  <x:si>
    <x:t xml:space="preserve">신규 · 현 풀 전종</x:t>
  </x:si>
  <x:si>
    <x:t xml:space="preserve">마탑 스킬 5각 달성</x:t>
  </x:si>
  <x:si>
    <x:t xml:space="preserve">신규 · 최고 각성치</x:t>
  </x:si>
  <x:si>
    <x:t xml:space="preserve">마탑 스킬 10각 달성</x:t>
  </x:si>
  <x:si>
    <x:t xml:space="preserve">09 신스킬</x:t>
  </x:si>
  <x:si>
    <x:t xml:space="preserve">DivineCollect</x:t>
  </x:si>
  <x:si>
    <x:t xml:space="preserve">DivineLevel</x:t>
  </x:si>
  <x:si>
    <x:t xml:space="preserve">던전 1회 클리어</x:t>
  </x:si>
  <x:si>
    <x:t xml:space="preserve">던전 50회 클리어</x:t>
  </x:si>
  <x:si>
    <x:t xml:space="preserve">던전 300회 클리어</x:t>
  </x:si>
  <x:si>
    <x:t xml:space="preserve">골드 던전 5단계 클리어</x:t>
  </x:si>
  <x:si>
    <x:t xml:space="preserve">루비 던전 5단계 클리어</x:t>
  </x:si>
  <x:si>
    <x:t xml:space="preserve">뽑기 50회</x:t>
  </x:si>
  <x:si>
    <x:t xml:space="preserve">환생 1회</x:t>
  </x:si>
  <x:si>
    <x:t xml:space="preserve">ReincarnationLevel</x:t>
  </x:si>
  <x:si>
    <x:t xml:space="preserve">플레이어 레벨 10</x:t>
  </x:si>
  <x:si>
    <x:t xml:space="preserve">최고 기록 판정</x:t>
  </x:si>
  <x:si>
    <x:t xml:space="preserve">플레이어 레벨 50</x:t>
  </x:si>
  <x:si>
    <x:t xml:space="preserve">플레이어 레벨 100</x:t>
  </x:si>
  <x:si>
    <x:t xml:space="preserve">플레이어 레벨 200</x:t>
  </x:si>
  <x:si>
    <x:t xml:space="preserve">용도</x:t>
  </x:si>
  <x:si>
    <x:t xml:space="preserve">재화 1</x:t>
  </x:si>
  <x:si>
    <x:t xml:space="preserve">수량 1</x:t>
  </x:si>
  <x:si>
    <x:t xml:space="preserve">재화 2</x:t>
  </x:si>
  <x:si>
    <x:t xml:space="preserve">수량 2</x:t>
  </x:si>
  <x:si>
    <x:t xml:space="preserve">가이드 소</x:t>
  </x:si>
  <x:si>
    <x:t xml:space="preserve">AncientCoin</x:t>
  </x:si>
  <x:si>
    <x:t xml:space="preserve">가이드 중</x:t>
  </x:si>
  <x:si>
    <x:t xml:space="preserve">가이드 대</x:t>
  </x:si>
  <x:si>
    <x:t xml:space="preserve">가이드 보스</x:t>
  </x:si>
  <x:si>
    <x:t xml:space="preserve">가이드 전직</x:t>
  </x:si>
  <x:si>
    <x:t xml:space="preserve">가이드 마탑</x:t>
  </x:si>
  <x:si>
    <x:t xml:space="preserve">ArcaneKnowledge</x:t>
  </x:si>
  <x:si>
    <x:t xml:space="preserve">가이드 완주</x:t>
  </x:si>
  <x:si>
    <x:t xml:space="preserve">일일 골드</x:t>
  </x:si>
  <x:si>
    <x:t xml:space="preserve">Gold</x:t>
  </x:si>
  <x:si>
    <x:t xml:space="preserve">일일 보스</x:t>
  </x:si>
  <x:si>
    <x:t xml:space="preserve">일일 마탑</x:t>
  </x:si>
  <x:si>
    <x:t xml:space="preserve">일일 던전</x:t>
  </x:si>
  <x:si>
    <x:t xml:space="preserve">일일 완료</x:t>
  </x:si>
  <x:si>
    <x:t xml:space="preserve">주간 소</x:t>
  </x:si>
  <x:si>
    <x:t xml:space="preserve">주간 전직</x:t>
  </x:si>
  <x:si>
    <x:t xml:space="preserve">주간 마탑</x:t>
  </x:si>
  <x:si>
    <x:t xml:space="preserve">주간 환생</x:t>
  </x:si>
  <x:si>
    <x:t xml:space="preserve">주간 완료</x:t>
  </x:si>
  <x:si>
    <x:t xml:space="preserve">업적 I</x:t>
  </x:si>
  <x:si>
    <x:t xml:space="preserve">업적 II</x:t>
  </x:si>
  <x:si>
    <x:t xml:space="preserve">업적 III</x:t>
  </x:si>
  <x:si>
    <x:t xml:space="preserve">업적 IV</x:t>
  </x:si>
  <x:si>
    <x:t xml:space="preserve">업적 V</x:t>
  </x:si>
  <x:si>
    <x:t xml:space="preserve">칭호 동반 예정 (미구현)</x:t>
  </x:si>
  <x:si>
    <x:t xml:space="preserve">목표 타입 구현 맵</x:t>
  </x:si>
  <x:si>
    <x:t xml:space="preserve">의미</x:t>
  </x:si>
  <x:si>
    <x:t xml:space="preserve">사용 계층</x:t>
  </x:si>
  <x:si>
    <x:t xml:space="preserve">권장 ProgressMode</x:t>
  </x:si>
  <x:si>
    <x:t xml:space="preserve">데이터 소스</x:t>
  </x:si>
  <x:si>
    <x:t xml:space="preserve">필요 작업</x:t>
  </x:si>
  <x:si>
    <x:t xml:space="preserve">스테이지 클리어</x:t>
  </x:si>
  <x:si>
    <x:t xml:space="preserve">가이드 업적</x:t>
  </x:si>
  <x:si>
    <x:t xml:space="preserve">StageManager.OnStageCleared</x:t>
  </x:si>
  <x:si>
    <x:t xml:space="preserve">몬스터 처치</x:t>
  </x:si>
  <x:si>
    <x:t xml:space="preserve">전 계층</x:t>
  </x:si>
  <x:si>
    <x:t xml:space="preserve">EventCount / LifetimeTotal</x:t>
  </x:si>
  <x:si>
    <x:t xml:space="preserve">StageManager.OnMonsterKilled</x:t>
  </x:si>
  <x:si>
    <x:t xml:space="preserve">부분</x:t>
  </x:si>
  <x:si>
    <x:t xml:space="preserve">누적 카운터</x:t>
  </x:si>
  <x:si>
    <x:t xml:space="preserve">장비 획득</x:t>
  </x:si>
  <x:si>
    <x:t xml:space="preserve">EquipmentManager.OnItemDropped</x:t>
  </x:si>
  <x:si>
    <x:t xml:space="preserve">EquipmentManager.OnEquipped</x:t>
  </x:si>
  <x:si>
    <x:t xml:space="preserve">발행 + 스냅샷 (TargetId=레어도 이상 장착 수)</x:t>
  </x:si>
  <x:si>
    <x:t xml:space="preserve">뽑기 사용</x:t>
  </x:si>
  <x:si>
    <x:t xml:space="preserve">GachaManager 풀 성공</x:t>
  </x:si>
  <x:si>
    <x:t xml:space="preserve">발행 + 누적</x:t>
  </x:si>
  <x:si>
    <x:t xml:space="preserve">StageManager.TryEnterDungeon</x:t>
  </x:si>
  <x:si>
    <x:t xml:space="preserve">던전 클리어</x:t>
  </x:si>
  <x:si>
    <x:t xml:space="preserve">EventCount / CurrentState / LifetimeTotal</x:t>
  </x:si>
  <x:si>
    <x:t xml:space="preserve">StageManager 던전 클리어</x:t>
  </x:si>
  <x:si>
    <x:t xml:space="preserve">발행 + 난이도별 플래그</x:t>
  </x:si>
  <x:si>
    <x:t xml:space="preserve">ChangeJob.OnJobChanged</x:t>
  </x:si>
  <x:si>
    <x:t xml:space="preserve">발행 + 스냅샷 (TargetId=차수 이상 인원 수)</x:t>
  </x:si>
  <x:si>
    <x:t xml:space="preserve">마탑 스킬 장착</x:t>
  </x:si>
  <x:si>
    <x:t xml:space="preserve">MageTowerManager.Equip</x:t>
  </x:si>
  <x:si>
    <x:t xml:space="preserve">발행 + 스냅샷 (장착 슬롯 수)</x:t>
  </x:si>
  <x:si>
    <x:t xml:space="preserve">LevelUp / PlayerLevel</x:t>
  </x:si>
  <x:si>
    <x:t xml:space="preserve">플레이어 레벨</x:t>
  </x:si>
  <x:si>
    <x:t xml:space="preserve">UserManager.GetUserLevel()</x:t>
  </x:si>
  <x:si>
    <x:t xml:space="preserve">Enhance</x:t>
  </x:si>
  <x:si>
    <x:t xml:space="preserve">강화 (의미 중복)</x:t>
  </x:si>
  <x:si>
    <x:t xml:space="preserve">보류</x:t>
  </x:si>
  <x:si>
    <x:t xml:space="preserve">StatEnhance / EquipmentEnhance 분리</x:t>
  </x:si>
  <x:si>
    <x:t xml:space="preserve">ItemUse</x:t>
  </x:si>
  <x:si>
    <x:t xml:space="preserve">아이템 사용</x:t>
  </x:si>
  <x:si>
    <x:t xml:space="preserve">소모품 시스템 확정 후</x:t>
  </x:si>
  <x:si>
    <x:t xml:space="preserve">보스 처치</x:t>
  </x:si>
  <x:si>
    <x:t xml:space="preserve">퀘스트 업적</x:t>
  </x:si>
  <x:si>
    <x:t xml:space="preserve">StageParser.IsBossWave 클리어</x:t>
  </x:si>
  <x:si>
    <x:t xml:space="preserve">신규</x:t>
  </x:si>
  <x:si>
    <x:t xml:space="preserve">골드 강화</x:t>
  </x:si>
  <x:si>
    <x:t xml:space="preserve">EquipmentSynthesize</x:t>
  </x:si>
  <x:si>
    <x:t xml:space="preserve">장비 합성</x:t>
  </x:si>
  <x:si>
    <x:t xml:space="preserve">EquipmentManager.OnSynthesized</x:t>
  </x:si>
  <x:si>
    <x:t xml:space="preserve">마탑 스킬 보유 종수</x:t>
  </x:si>
  <x:si>
    <x:t xml:space="preserve">MageTowerManager.IsOwned</x:t>
  </x:si>
  <x:si>
    <x:t xml:space="preserve">마탑 스킬 강화</x:t>
  </x:si>
  <x:si>
    <x:t xml:space="preserve">MageTowerManager.Enhance</x:t>
  </x:si>
  <x:si>
    <x:t xml:space="preserve">마탑 각성 단계</x:t>
  </x:si>
  <x:si>
    <x:t xml:space="preserve">MageTowerManager.GetAwakeningLevel</x:t>
  </x:si>
  <x:si>
    <x:t xml:space="preserve">신 스킬 장착</x:t>
  </x:si>
  <x:si>
    <x:t xml:space="preserve">DivineSkillManager.EquippedCardId</x:t>
  </x:si>
  <x:si>
    <x:t xml:space="preserve">신 스킬 시전</x:t>
  </x:si>
  <x:si>
    <x:t xml:space="preserve">가이드 일일</x:t>
  </x:si>
  <x:si>
    <x:t xml:space="preserve">DivineSkillManager.Cast</x:t>
  </x:si>
  <x:si>
    <x:t xml:space="preserve">신 스킬 수집 종수</x:t>
  </x:si>
  <x:si>
    <x:t xml:space="preserve">DivineSkillManager.OwnedCount</x:t>
  </x:si>
  <x:si>
    <x:t xml:space="preserve">신 스킬 카드 레벨</x:t>
  </x:si>
  <x:si>
    <x:t xml:space="preserve">DivineSkillManager.GetLevel</x:t>
  </x:si>
  <x:si>
    <x:t xml:space="preserve">환생 실행</x:t>
  </x:si>
  <x:si>
    <x:t xml:space="preserve">가이드 주간 업적</x:t>
  </x:si>
  <x:si>
    <x:t xml:space="preserve">ReincarnationService 성공</x:t>
  </x:si>
  <x:si>
    <x:t xml:space="preserve">환생 레벨</x:t>
  </x:si>
  <x:si>
    <x:t xml:space="preserve">ReincarnationState.Level</x:t>
  </x:si>
  <x:si>
    <x:t xml:space="preserve">파티 조합 달성</x:t>
  </x:si>
  <x:si>
    <x:t xml:space="preserve">미구현 (기획서 4.5)</x:t>
  </x:si>
  <x:si>
    <x:t xml:space="preserve">광고 시청</x:t>
  </x:si>
  <x:si>
    <x:t xml:space="preserve">광고 SDK 콜백</x:t>
  </x:si>
  <x:si>
    <x:t xml:space="preserve">오프라인 보상 수령</x:t>
  </x:si>
  <x:si>
    <x:t xml:space="preserve">OfflineRewardManager</x:t>
  </x:si>
  <x:si>
    <x:t xml:space="preserve">일일 주간</x:t>
  </x:si>
  <x:si>
    <x:t xml:space="preserve">QuestManager 완료 수 집계</x:t>
  </x:si>
  <x:si>
    <x:t xml:space="preserve">상태 범례</x:t>
  </x:si>
  <x:si>
    <x:t xml:space="preserve">완료</x:t>
  </x:si>
</x:sst>
</file>

<file path=xl/styles.xml><?xml version="1.0" encoding="utf-8"?>
<x:styleSheet xmlns:x="http://schemas.openxmlformats.org/spreadsheetml/2006/main">
  <x:numFmts count="1">
    <x:numFmt numFmtId="164" formatCode="0"/>
  </x:numFmts>
  <x:fonts count="33">
    <x:font>
      <x:sz val="11"/>
      <x:color theme="1"/>
      <x:name val="맑은 고딕"/>
    </x:font>
    <x:font>
      <x:b/>
      <x:sz val="14"/>
      <x:color rgb="FF1F2430"/>
      <x:name val="맑은 고딕"/>
    </x:font>
    <x:font>
      <x:sz val="9"/>
      <x:color rgb="FF7A828C"/>
      <x:name val="맑은 고딕"/>
    </x:font>
    <x:font>
      <x:b/>
      <x:sz val="10"/>
      <x:color rgb="FF3B5BA5"/>
      <x:name val="맑은 고딕"/>
    </x:font>
    <x:font>
      <x:b/>
      <x:sz val="9"/>
      <x:color rgb="FFFFFFFF"/>
      <x:name val="맑은 고딕"/>
    </x:font>
    <x:font>
      <x:sz val="9"/>
      <x:color rgb="FF1F2430"/>
      <x:name val="맑은 고딕"/>
    </x:font>
    <x:font>
      <x:b/>
      <x:sz val="9"/>
      <x:color rgb="FF137333"/>
      <x:name val="맑은 고딕"/>
    </x:font>
    <x:font>
      <x:b/>
      <x:sz val="9"/>
      <x:color rgb="FFB06000"/>
      <x:name val="맑은 고딕"/>
    </x:font>
    <x:font>
      <x:b/>
      <x:sz val="9"/>
      <x:color rgb="FFC5221F"/>
      <x:name val="맑은 고딕"/>
    </x:font>
    <x:font>
      <x:b/>
      <x:sz val="9"/>
      <x:color rgb="FF1F2430"/>
      <x:name val="맑은 고딕"/>
    </x:font>
    <x:font>
      <x:b/>
      <x:sz val="9"/>
      <x:color rgb="FF5F6368"/>
      <x:name val="맑은 고딕"/>
    </x:font>
    <x:font>
      <x:b/>
      <x:sz val="9"/>
      <x:color rgb="FF1A4FA0"/>
      <x:name val="맑은 고딕"/>
    </x:font>
    <x:font>
      <x:sz val="8"/>
      <x:name val="맑은 고딕"/>
    </x:font>
    <x:font>
      <x:sz val="11"/>
      <x:color theme="1"/>
      <x:name val="맑은 고딕"/>
    </x:font>
    <x:font>
      <x:b/>
      <x:sz val="14"/>
      <x:color rgb="FF1F2430"/>
      <x:name val="맑은 고딕"/>
    </x:font>
    <x:font>
      <x:sz val="9"/>
      <x:color rgb="FF7A828C"/>
      <x:name val="맑은 고딕"/>
    </x:font>
    <x:font>
      <x:b/>
      <x:sz val="10"/>
      <x:color rgb="FF3B5BA5"/>
      <x:name val="맑은 고딕"/>
    </x:font>
    <x:font>
      <x:b/>
      <x:sz val="9"/>
      <x:color rgb="FFFFFFFF"/>
      <x:name val="맑은 고딕"/>
    </x:font>
    <x:font>
      <x:sz val="9"/>
      <x:color rgb="FF1F2430"/>
      <x:name val="맑은 고딕"/>
    </x:font>
    <x:font>
      <x:b/>
      <x:sz val="9"/>
      <x:color rgb="FF137333"/>
      <x:name val="맑은 고딕"/>
    </x:font>
    <x:font>
      <x:b/>
      <x:sz val="9"/>
      <x:color rgb="FFB06000"/>
      <x:name val="맑은 고딕"/>
    </x:font>
    <x:font>
      <x:b/>
      <x:sz val="9"/>
      <x:color rgb="FFC5221F"/>
      <x:name val="맑은 고딕"/>
    </x:font>
    <x:font>
      <x:b/>
      <x:sz val="9"/>
      <x:color rgb="FF1F2430"/>
      <x:name val="맑은 고딕"/>
    </x:font>
    <x:font>
      <x:b/>
      <x:sz val="9"/>
      <x:color rgb="FF5F6368"/>
      <x:name val="맑은 고딕"/>
    </x:font>
    <x:font>
      <x:b/>
      <x:sz val="9"/>
      <x:color rgb="FF1A4FA0"/>
      <x:name val="맑은 고딕"/>
    </x:font>
    <x:font>
      <x:sz val="8"/>
      <x:name val="맑은 고딕"/>
    </x:font>
    <x:font>
      <x:b/>
      <x:sz val="9"/>
      <x:color rgb="FFA56A00"/>
      <x:name val="맑은 고딕"/>
    </x:font>
    <x:font>
      <x:b/>
      <x:sz val="9"/>
      <x:color rgb="FFBD3333"/>
      <x:name val="맑은 고딕"/>
    </x:font>
    <x:font>
      <x:b/>
      <x:sz val="9"/>
      <x:color rgb="FF2459AB"/>
      <x:name val="맑은 고딕"/>
    </x:font>
    <x:font>
      <x:b/>
      <x:sz val="9"/>
      <x:color rgb="FF6B7280"/>
      <x:name val="맑은 고딕"/>
    </x:font>
    <x:font>
      <x:b/>
      <x:sz val="9"/>
      <x:color rgb="FF59616D"/>
      <x:name val="맑은 고딕"/>
    </x:font>
    <x:font>
      <x:b/>
      <x:sz val="11"/>
      <x:color rgb="FF2459AB"/>
      <x:name val="맑은 고딕"/>
    </x:font>
    <x:font>
      <x:sz val="11"/>
      <x:color rgb="FF48566A"/>
      <x:name val="맑은 고딕"/>
    </x:font>
  </x:fonts>
  <x:fills count="28">
    <x:fill>
      <x:patternFill patternType="none"/>
    </x:fill>
    <x:fill>
      <x:patternFill patternType="gray125"/>
    </x:fill>
    <x:fill>
      <x:patternFill patternType="solid">
        <x:fgColor rgb="FFEDF1F8"/>
      </x:patternFill>
    </x:fill>
    <x:fill>
      <x:patternFill patternType="solid">
        <x:fgColor rgb="FF2F3B52"/>
      </x:patternFill>
    </x:fill>
    <x:fill>
      <x:patternFill patternType="solid">
        <x:fgColor rgb="FFF7F8FA"/>
      </x:patternFill>
    </x:fill>
    <x:fill>
      <x:patternFill patternType="solid">
        <x:fgColor rgb="FFE6F4EA"/>
      </x:patternFill>
    </x:fill>
    <x:fill>
      <x:patternFill patternType="solid">
        <x:fgColor rgb="FFFEF7E0"/>
      </x:patternFill>
    </x:fill>
    <x:fill>
      <x:patternFill patternType="solid">
        <x:fgColor rgb="FFFCE8E6"/>
      </x:patternFill>
    </x:fill>
    <x:fill>
      <x:patternFill patternType="solid">
        <x:fgColor rgb="FFF1F3F4"/>
      </x:patternFill>
    </x:fill>
    <x:fill>
      <x:patternFill patternType="solid">
        <x:fgColor rgb="FFE8F0FE"/>
      </x:patternFill>
    </x:fill>
    <x:fill>
      <x:patternFill patternType="none"/>
    </x:fill>
    <x:fill>
      <x:patternFill patternType="gray125"/>
    </x:fill>
    <x:fill>
      <x:patternFill patternType="solid">
        <x:fgColor rgb="FFEDF1F8"/>
      </x:patternFill>
    </x:fill>
    <x:fill>
      <x:patternFill patternType="solid">
        <x:fgColor rgb="FF2F3B52"/>
      </x:patternFill>
    </x:fill>
    <x:fill>
      <x:patternFill patternType="solid">
        <x:fgColor rgb="FFF7F8FA"/>
      </x:patternFill>
    </x:fill>
    <x:fill>
      <x:patternFill patternType="solid">
        <x:fgColor rgb="FFE6F4EA"/>
      </x:patternFill>
    </x:fill>
    <x:fill>
      <x:patternFill patternType="solid">
        <x:fgColor rgb="FFFEF7E0"/>
      </x:patternFill>
    </x:fill>
    <x:fill>
      <x:patternFill patternType="solid">
        <x:fgColor rgb="FFFCE8E6"/>
      </x:patternFill>
    </x:fill>
    <x:fill>
      <x:patternFill patternType="solid">
        <x:fgColor rgb="FFF1F3F4"/>
      </x:patternFill>
    </x:fill>
    <x:fill>
      <x:patternFill patternType="solid">
        <x:fgColor rgb="FFE8F0FE"/>
      </x:patternFill>
    </x:fill>
    <x:fill>
      <x:patternFill patternType="solid">
        <x:fgColor rgb="FFE5E7EB"/>
      </x:patternFill>
    </x:fill>
    <x:fill>
      <x:patternFill patternType="solid">
        <x:fgColor rgb="FFFFF3D9"/>
      </x:patternFill>
    </x:fill>
    <x:fill>
      <x:patternFill patternType="solid">
        <x:fgColor rgb="FFEEF4F8"/>
      </x:patternFill>
    </x:fill>
    <x:fill>
      <x:patternFill patternType="solid">
        <x:fgColor rgb="FFFFF6DE"/>
      </x:patternFill>
    </x:fill>
    <x:fill>
      <x:patternFill patternType="solid">
        <x:fgColor rgb="FFFFECEC"/>
      </x:patternFill>
    </x:fill>
    <x:fill>
      <x:patternFill patternType="solid">
        <x:fgColor rgb="FFEAF1FF"/>
      </x:patternFill>
    </x:fill>
    <x:fill>
      <x:patternFill patternType="solid">
        <x:fgColor rgb="FFF0F1F3"/>
      </x:patternFill>
    </x:fill>
    <x:fill>
      <x:patternFill patternType="solid">
        <x:fgColor rgb="FFE3E5E8"/>
      </x:patternFill>
    </x:fill>
  </x:fills>
  <x:borders count="6">
    <x:border/>
    <x:border>
      <x:bottom style="thin">
        <x:color rgb="FFDDE1E6"/>
      </x:bottom>
    </x:border>
    <x:border>
      <x:top style="thin">
        <x:color rgb="FFB9C0CB"/>
      </x:top>
    </x:border>
    <x:border/>
    <x:border>
      <x:bottom style="thin">
        <x:color rgb="FFDDE1E6"/>
      </x:bottom>
    </x:border>
    <x:border>
      <x:top style="thin">
        <x:color rgb="FFB9C0CB"/>
      </x:top>
    </x:border>
  </x:borders>
  <x:cellStyleXfs count="2">
    <x:xf numFmtId="0" fontId="0" fillId="0" borderId="0"/>
    <x:xf numFmtId="0" fontId="13" fillId="10" borderId="3"/>
  </x:cellStyleXfs>
  <x:cellXfs count="167">
    <x:xf numFmtId="0" fontId="0" fillId="0" borderId="0" xfId="0"/>
    <x:xf numFmtId="0" fontId="4" fillId="3" borderId="0" xfId="0" applyFont="1" applyFill="1" applyAlignment="1">
      <x:alignment horizontal="center" vertical="center"/>
    </x:xf>
    <x:xf numFmtId="0" fontId="5" fillId="0" borderId="1" xfId="0" applyFont="1" applyBorder="1" applyAlignment="1">
      <x:alignment horizontal="left" vertical="center"/>
    </x:xf>
    <x:xf numFmtId="0" fontId="5" fillId="4" borderId="1" xfId="0" applyFont="1" applyFill="1" applyBorder="1" applyAlignment="1">
      <x:alignment horizontal="left" vertical="center"/>
    </x:xf>
    <x:xf numFmtId="0" fontId="5" fillId="0" borderId="1" xfId="0" applyFont="1" applyBorder="1" applyAlignment="1">
      <x:alignment horizontal="left" vertical="center" wrapText="1"/>
    </x:xf>
    <x:xf numFmtId="0" fontId="5" fillId="4" borderId="1" xfId="0" applyFont="1" applyFill="1" applyBorder="1" applyAlignment="1">
      <x:alignment horizontal="left" vertical="center" wrapText="1"/>
    </x:xf>
    <x:xf numFmtId="0" fontId="6" fillId="5" borderId="1" xfId="0" applyFont="1" applyFill="1" applyBorder="1" applyAlignment="1">
      <x:alignment horizontal="center" vertical="center"/>
    </x:xf>
    <x:xf numFmtId="0" fontId="7" fillId="6" borderId="1" xfId="0" applyFont="1" applyFill="1" applyBorder="1" applyAlignment="1">
      <x:alignment horizontal="center" vertical="center"/>
    </x:xf>
    <x:xf numFmtId="0" fontId="8" fillId="7" borderId="1" xfId="0" applyFont="1" applyFill="1" applyBorder="1" applyAlignment="1">
      <x:alignment horizontal="center" vertical="center"/>
    </x:xf>
    <x:xf numFmtId="0" fontId="5" fillId="0" borderId="1" xfId="0" applyFont="1" applyBorder="1"/>
    <x:xf numFmtId="3" fontId="9" fillId="0" borderId="1" xfId="0" applyNumberFormat="1" applyFont="1" applyBorder="1" applyAlignment="1">
      <x:alignment horizontal="center" vertical="center"/>
    </x:xf>
    <x:xf numFmtId="0" fontId="0" fillId="0" borderId="1" xfId="0" applyBorder="1"/>
    <x:xf numFmtId="0" fontId="5" fillId="4" borderId="1" xfId="0" applyFont="1" applyFill="1" applyBorder="1"/>
    <x:xf numFmtId="3" fontId="9" fillId="4" borderId="1" xfId="0" applyNumberFormat="1" applyFont="1" applyFill="1" applyBorder="1" applyAlignment="1">
      <x:alignment horizontal="center" vertical="center"/>
    </x:xf>
    <x:xf numFmtId="0" fontId="0" fillId="4" borderId="1" xfId="0" applyFill="1" applyBorder="1"/>
    <x:xf numFmtId="0" fontId="5" fillId="0" borderId="1" xfId="0" applyFont="1" applyBorder="1" applyAlignment="1">
      <x:alignment horizontal="center" vertical="center"/>
    </x:xf>
    <x:xf numFmtId="3" fontId="5" fillId="0" borderId="1" xfId="0" applyNumberFormat="1" applyFont="1" applyBorder="1" applyAlignment="1">
      <x:alignment horizontal="right" vertical="center"/>
    </x:xf>
    <x:xf numFmtId="0" fontId="5" fillId="4" borderId="1" xfId="0" applyFont="1" applyFill="1" applyBorder="1" applyAlignment="1">
      <x:alignment horizontal="center" vertical="center"/>
    </x:xf>
    <x:xf numFmtId="3" fontId="5" fillId="4" borderId="1" xfId="0" applyNumberFormat="1" applyFont="1" applyFill="1" applyBorder="1" applyAlignment="1">
      <x:alignment horizontal="right" vertical="center"/>
    </x:xf>
    <x:xf numFmtId="0" fontId="5" fillId="0" borderId="2" xfId="0" applyFont="1" applyBorder="1" applyAlignment="1">
      <x:alignment horizontal="center" vertical="center"/>
    </x:xf>
    <x:xf numFmtId="0" fontId="5" fillId="0" borderId="2" xfId="0" applyFont="1" applyBorder="1" applyAlignment="1">
      <x:alignment horizontal="left" vertical="center"/>
    </x:xf>
    <x:xf numFmtId="3" fontId="5" fillId="0" borderId="2" xfId="0" applyNumberFormat="1" applyFont="1" applyBorder="1" applyAlignment="1">
      <x:alignment horizontal="right" vertical="center"/>
    </x:xf>
    <x:xf numFmtId="0" fontId="5" fillId="4" borderId="2" xfId="0" applyFont="1" applyFill="1" applyBorder="1" applyAlignment="1">
      <x:alignment horizontal="left" vertical="center"/>
    </x:xf>
    <x:xf numFmtId="0" fontId="5" fillId="4" borderId="2" xfId="0" applyFont="1" applyFill="1" applyBorder="1" applyAlignment="1">
      <x:alignment horizontal="center" vertical="center"/>
    </x:xf>
    <x:xf numFmtId="3" fontId="5" fillId="4" borderId="2" xfId="0" applyNumberFormat="1" applyFont="1" applyFill="1" applyBorder="1" applyAlignment="1">
      <x:alignment horizontal="right" vertical="center"/>
    </x:xf>
    <x:xf numFmtId="0" fontId="10" fillId="8" borderId="1" xfId="0" applyFont="1" applyFill="1" applyBorder="1" applyAlignment="1">
      <x:alignment horizontal="center" vertical="center"/>
    </x:xf>
    <x:xf numFmtId="0" fontId="11" fillId="9" borderId="1" xfId="0" applyFont="1" applyFill="1" applyBorder="1" applyAlignment="1">
      <x:alignment horizontal="center" vertical="center"/>
    </x:xf>
    <x:xf numFmtId="0" fontId="9" fillId="0" borderId="0" xfId="0" applyFont="1"/>
    <x:xf numFmtId="0" fontId="6" fillId="5" borderId="0" xfId="0" applyFont="1" applyFill="1" applyAlignment="1">
      <x:alignment horizontal="center" vertical="center"/>
    </x:xf>
    <x:xf numFmtId="0" fontId="7" fillId="6" borderId="0" xfId="0" applyFont="1" applyFill="1" applyAlignment="1">
      <x:alignment horizontal="center" vertical="center"/>
    </x:xf>
    <x:xf numFmtId="0" fontId="8" fillId="7" borderId="0" xfId="0" applyFont="1" applyFill="1" applyAlignment="1">
      <x:alignment horizontal="center" vertical="center"/>
    </x:xf>
    <x:xf numFmtId="0" fontId="11" fillId="9" borderId="0" xfId="0" applyFont="1" applyFill="1" applyAlignment="1">
      <x:alignment horizontal="center" vertical="center"/>
    </x:xf>
    <x:xf numFmtId="0" fontId="10" fillId="8" borderId="0" xfId="0" applyFont="1" applyFill="1" applyAlignment="1">
      <x:alignment horizontal="center" vertical="center"/>
    </x:xf>
    <x:xf numFmtId="0" fontId="3" fillId="2" borderId="0" xfId="0" applyFont="1" applyFill="1" applyAlignment="1">
      <x:alignment horizontal="left" vertical="center"/>
    </x:xf>
    <x:xf numFmtId="0" fontId="0" fillId="0" borderId="0" xfId="0"/>
    <x:xf numFmtId="0" fontId="5" fillId="0" borderId="0" xfId="0" applyFont="1" applyAlignment="1">
      <x:alignment horizontal="left" vertical="center"/>
    </x:xf>
    <x:xf numFmtId="0" fontId="2" fillId="0" borderId="0" xfId="0" applyFont="1" applyAlignment="1">
      <x:alignment horizontal="left" vertical="center"/>
    </x:xf>
    <x:xf numFmtId="0" fontId="1" fillId="0" borderId="0" xfId="0" applyFont="1" applyAlignment="1">
      <x:alignment horizontal="left" vertical="center"/>
    </x:xf>
    <x:xf numFmtId="0" fontId="2" fillId="0" borderId="0" xfId="0" applyFont="1"/>
    <x:xf numFmtId="0" fontId="13" fillId="10" borderId="3" xfId="1"/>
    <x:xf numFmtId="0" fontId="17" fillId="13" borderId="3" xfId="1" applyFont="1" applyFill="1" applyAlignment="1">
      <x:alignment horizontal="center" vertical="center"/>
    </x:xf>
    <x:xf numFmtId="0" fontId="18" fillId="10" borderId="4" xfId="1" applyFont="1" applyBorder="1" applyAlignment="1">
      <x:alignment horizontal="left" vertical="center"/>
    </x:xf>
    <x:xf numFmtId="0" fontId="18" fillId="14" borderId="4" xfId="1" applyFont="1" applyFill="1" applyBorder="1" applyAlignment="1">
      <x:alignment horizontal="left" vertical="center"/>
    </x:xf>
    <x:xf numFmtId="0" fontId="18" fillId="10" borderId="4" xfId="1" applyFont="1" applyBorder="1" applyAlignment="1">
      <x:alignment horizontal="left" vertical="center" wrapText="1"/>
    </x:xf>
    <x:xf numFmtId="0" fontId="18" fillId="14" borderId="4" xfId="1" applyFont="1" applyFill="1" applyBorder="1" applyAlignment="1">
      <x:alignment horizontal="left" vertical="center" wrapText="1"/>
    </x:xf>
    <x:xf numFmtId="0" fontId="19" fillId="15" borderId="4" xfId="1" applyFont="1" applyFill="1" applyBorder="1" applyAlignment="1">
      <x:alignment horizontal="center" vertical="center"/>
    </x:xf>
    <x:xf numFmtId="0" fontId="20" fillId="16" borderId="4" xfId="1" applyFont="1" applyFill="1" applyBorder="1" applyAlignment="1">
      <x:alignment horizontal="center" vertical="center"/>
    </x:xf>
    <x:xf numFmtId="0" fontId="21" fillId="17" borderId="4" xfId="1" applyFont="1" applyFill="1" applyBorder="1" applyAlignment="1">
      <x:alignment horizontal="center" vertical="center"/>
    </x:xf>
    <x:xf numFmtId="0" fontId="18" fillId="10" borderId="4" xfId="1" applyFont="1" applyBorder="1"/>
    <x:xf numFmtId="3" fontId="22" fillId="10" borderId="4" xfId="1" applyNumberFormat="1" applyFont="1" applyBorder="1" applyAlignment="1">
      <x:alignment horizontal="center" vertical="center"/>
    </x:xf>
    <x:xf numFmtId="0" fontId="13" fillId="10" borderId="4" xfId="1" applyBorder="1"/>
    <x:xf numFmtId="0" fontId="18" fillId="14" borderId="4" xfId="1" applyFont="1" applyFill="1" applyBorder="1"/>
    <x:xf numFmtId="3" fontId="22" fillId="14" borderId="4" xfId="1" applyNumberFormat="1" applyFont="1" applyFill="1" applyBorder="1" applyAlignment="1">
      <x:alignment horizontal="center" vertical="center"/>
    </x:xf>
    <x:xf numFmtId="0" fontId="13" fillId="14" borderId="4" xfId="1" applyFill="1" applyBorder="1"/>
    <x:xf numFmtId="0" fontId="18" fillId="10" borderId="4" xfId="1" applyFont="1" applyBorder="1" applyAlignment="1">
      <x:alignment horizontal="center" vertical="center"/>
    </x:xf>
    <x:xf numFmtId="3" fontId="18" fillId="10" borderId="4" xfId="1" applyNumberFormat="1" applyFont="1" applyBorder="1" applyAlignment="1">
      <x:alignment horizontal="right" vertical="center"/>
    </x:xf>
    <x:xf numFmtId="0" fontId="18" fillId="14" borderId="4" xfId="1" applyFont="1" applyFill="1" applyBorder="1" applyAlignment="1">
      <x:alignment horizontal="center" vertical="center"/>
    </x:xf>
    <x:xf numFmtId="3" fontId="18" fillId="14" borderId="4" xfId="1" applyNumberFormat="1" applyFont="1" applyFill="1" applyBorder="1" applyAlignment="1">
      <x:alignment horizontal="right" vertical="center"/>
    </x:xf>
    <x:xf numFmtId="0" fontId="18" fillId="10" borderId="5" xfId="1" applyFont="1" applyBorder="1" applyAlignment="1">
      <x:alignment horizontal="center" vertical="center"/>
    </x:xf>
    <x:xf numFmtId="0" fontId="18" fillId="10" borderId="5" xfId="1" applyFont="1" applyBorder="1" applyAlignment="1">
      <x:alignment horizontal="left" vertical="center"/>
    </x:xf>
    <x:xf numFmtId="3" fontId="18" fillId="10" borderId="5" xfId="1" applyNumberFormat="1" applyFont="1" applyBorder="1" applyAlignment="1">
      <x:alignment horizontal="right" vertical="center"/>
    </x:xf>
    <x:xf numFmtId="0" fontId="18" fillId="14" borderId="5" xfId="1" applyFont="1" applyFill="1" applyBorder="1" applyAlignment="1">
      <x:alignment horizontal="left" vertical="center"/>
    </x:xf>
    <x:xf numFmtId="0" fontId="18" fillId="14" borderId="5" xfId="1" applyFont="1" applyFill="1" applyBorder="1" applyAlignment="1">
      <x:alignment horizontal="center" vertical="center"/>
    </x:xf>
    <x:xf numFmtId="3" fontId="18" fillId="14" borderId="5" xfId="1" applyNumberFormat="1" applyFont="1" applyFill="1" applyBorder="1" applyAlignment="1">
      <x:alignment horizontal="right" vertical="center"/>
    </x:xf>
    <x:xf numFmtId="0" fontId="23" fillId="18" borderId="4" xfId="1" applyFont="1" applyFill="1" applyBorder="1" applyAlignment="1">
      <x:alignment horizontal="center" vertical="center"/>
    </x:xf>
    <x:xf numFmtId="0" fontId="24" fillId="19" borderId="4" xfId="1" applyFont="1" applyFill="1" applyBorder="1" applyAlignment="1">
      <x:alignment horizontal="center" vertical="center"/>
    </x:xf>
    <x:xf numFmtId="0" fontId="22" fillId="10" borderId="3" xfId="1" applyFont="1"/>
    <x:xf numFmtId="0" fontId="19" fillId="15" borderId="3" xfId="1" applyFont="1" applyFill="1" applyAlignment="1">
      <x:alignment horizontal="center" vertical="center"/>
    </x:xf>
    <x:xf numFmtId="0" fontId="20" fillId="16" borderId="3" xfId="1" applyFont="1" applyFill="1" applyAlignment="1">
      <x:alignment horizontal="center" vertical="center"/>
    </x:xf>
    <x:xf numFmtId="0" fontId="21" fillId="17" borderId="3" xfId="1" applyFont="1" applyFill="1" applyAlignment="1">
      <x:alignment horizontal="center" vertical="center"/>
    </x:xf>
    <x:xf numFmtId="0" fontId="24" fillId="19" borderId="3" xfId="1" applyFont="1" applyFill="1" applyAlignment="1">
      <x:alignment horizontal="center" vertical="center"/>
    </x:xf>
    <x:xf numFmtId="0" fontId="23" fillId="18" borderId="3" xfId="1" applyFont="1" applyFill="1" applyAlignment="1">
      <x:alignment horizontal="center" vertical="center"/>
    </x:xf>
    <x:xf numFmtId="0" fontId="16" fillId="12" borderId="3" xfId="1" applyFont="1" applyFill="1" applyAlignment="1">
      <x:alignment horizontal="left" vertical="center"/>
    </x:xf>
    <x:xf numFmtId="0" fontId="13" fillId="10" borderId="3" xfId="1"/>
    <x:xf numFmtId="0" fontId="18" fillId="10" borderId="3" xfId="1" applyFont="1" applyAlignment="1">
      <x:alignment horizontal="left" vertical="center"/>
    </x:xf>
    <x:xf numFmtId="0" fontId="15" fillId="10" borderId="3" xfId="1" applyFont="1" applyAlignment="1">
      <x:alignment horizontal="left" vertical="center"/>
    </x:xf>
    <x:xf numFmtId="0" fontId="14" fillId="10" borderId="3" xfId="1" applyFont="1" applyAlignment="1">
      <x:alignment horizontal="left" vertical="center"/>
    </x:xf>
    <x:xf numFmtId="0" fontId="15" fillId="10" borderId="3" xfId="1" applyFont="1"/>
    <x:xf numFmtId="0" fontId="14" fillId="10" borderId="3" xfId="1" applyNumberFormat="1" applyFont="1" applyFill="1" applyBorder="1" applyAlignment="1">
      <x:alignment horizontal="left" vertical="center" wrapText="1"/>
    </x:xf>
    <x:xf numFmtId="0" fontId="13" fillId="10" borderId="3" xfId="1" applyNumberFormat="1" applyFont="1" applyFill="1" applyBorder="1" applyAlignment="1">
      <x:alignment wrapText="1"/>
    </x:xf>
    <x:xf numFmtId="0" fontId="15" fillId="10" borderId="3" xfId="1" applyNumberFormat="1" applyFont="1" applyFill="1" applyBorder="1" applyAlignment="1">
      <x:alignment horizontal="left" vertical="center" wrapText="1"/>
    </x:xf>
    <x:xf numFmtId="0" fontId="17" fillId="13" borderId="3" xfId="1" applyNumberFormat="1" applyFont="1" applyFill="1" applyBorder="1" applyAlignment="1">
      <x:alignment horizontal="center" vertical="center" wrapText="1"/>
    </x:xf>
    <x:xf numFmtId="0" fontId="18" fillId="10" borderId="4" xfId="1" applyNumberFormat="1" applyFont="1" applyFill="1" applyBorder="1" applyAlignment="1">
      <x:alignment horizontal="center" vertical="center" wrapText="1"/>
    </x:xf>
    <x:xf numFmtId="0" fontId="18" fillId="10" borderId="4" xfId="1" applyNumberFormat="1" applyFont="1" applyFill="1" applyBorder="1" applyAlignment="1">
      <x:alignment horizontal="left" vertical="center" wrapText="1"/>
    </x:xf>
    <x:xf numFmtId="3" fontId="18" fillId="10" borderId="4" xfId="1" applyNumberFormat="1" applyFont="1" applyFill="1" applyBorder="1" applyAlignment="1">
      <x:alignment horizontal="right" vertical="center" wrapText="1"/>
    </x:xf>
    <x:xf numFmtId="0" fontId="18" fillId="14" borderId="4" xfId="1" applyNumberFormat="1" applyFont="1" applyFill="1" applyBorder="1" applyAlignment="1">
      <x:alignment horizontal="center" vertical="center" wrapText="1"/>
    </x:xf>
    <x:xf numFmtId="0" fontId="18" fillId="14" borderId="4" xfId="1" applyNumberFormat="1" applyFont="1" applyFill="1" applyBorder="1" applyAlignment="1">
      <x:alignment horizontal="left" vertical="center" wrapText="1"/>
    </x:xf>
    <x:xf numFmtId="3" fontId="18" fillId="14" borderId="4" xfId="1" applyNumberFormat="1" applyFont="1" applyFill="1" applyBorder="1" applyAlignment="1">
      <x:alignment horizontal="right" vertical="center" wrapText="1"/>
    </x:xf>
    <x:xf numFmtId="0" fontId="13" fillId="10" borderId="3" xfId="1" applyNumberFormat="1" applyFont="1" applyFill="1" applyBorder="1" applyAlignment="1">
      <x:alignment vertical="center" wrapText="1"/>
    </x:xf>
    <x:xf numFmtId="0" fontId="18" fillId="20" borderId="4" xfId="1" applyNumberFormat="1" applyFont="1" applyFill="1" applyBorder="1" applyAlignment="1">
      <x:alignment horizontal="center" vertical="center" wrapText="1"/>
    </x:xf>
    <x:xf numFmtId="0" fontId="18" fillId="20" borderId="4" xfId="1" applyNumberFormat="1" applyFont="1" applyFill="1" applyBorder="1" applyAlignment="1">
      <x:alignment horizontal="left" vertical="center" wrapText="1"/>
    </x:xf>
    <x:xf numFmtId="3" fontId="18" fillId="20" borderId="4" xfId="1" applyNumberFormat="1" applyFont="1" applyFill="1" applyBorder="1" applyAlignment="1">
      <x:alignment horizontal="right" vertical="center" wrapText="1"/>
    </x:xf>
    <x:xf numFmtId="0" fontId="18" fillId="10" borderId="5" xfId="1" applyNumberFormat="1" applyFont="1" applyFill="1" applyBorder="1" applyAlignment="1">
      <x:alignment horizontal="center" vertical="center" wrapText="1"/>
    </x:xf>
    <x:xf numFmtId="0" fontId="18" fillId="10" borderId="5" xfId="1" applyNumberFormat="1" applyFont="1" applyFill="1" applyBorder="1" applyAlignment="1">
      <x:alignment horizontal="left" vertical="center" wrapText="1"/>
    </x:xf>
    <x:xf numFmtId="3" fontId="18" fillId="10" borderId="5" xfId="1" applyNumberFormat="1" applyFont="1" applyFill="1" applyBorder="1" applyAlignment="1">
      <x:alignment horizontal="right" vertical="center" wrapText="1"/>
    </x:xf>
    <x:xf numFmtId="0" fontId="15" fillId="10" borderId="3" xfId="1" applyNumberFormat="1" applyFont="1" applyFill="1" applyBorder="1" applyAlignment="1">
      <x:alignment wrapText="1"/>
    </x:xf>
    <x:xf numFmtId="0" fontId="15" fillId="10" borderId="3" xfId="1" applyNumberFormat="1" applyFont="1" applyFill="1" applyBorder="1" applyAlignment="1">
      <x:alignment vertical="center" wrapText="1"/>
    </x:xf>
    <x:xf numFmtId="0" fontId="18" fillId="21" borderId="4" xfId="1" applyNumberFormat="1" applyFont="1" applyFill="1" applyBorder="1" applyAlignment="1">
      <x:alignment horizontal="center" vertical="center" wrapText="1"/>
    </x:xf>
    <x:xf numFmtId="0" fontId="18" fillId="21" borderId="4" xfId="1" applyNumberFormat="1" applyFont="1" applyFill="1" applyBorder="1" applyAlignment="1">
      <x:alignment horizontal="left" vertical="center" wrapText="1"/>
    </x:xf>
    <x:xf numFmtId="3" fontId="18" fillId="21" borderId="4" xfId="1" applyNumberFormat="1" applyFont="1" applyFill="1" applyBorder="1" applyAlignment="1">
      <x:alignment horizontal="right" vertical="center" wrapText="1"/>
    </x:xf>
    <x:xf numFmtId="0" fontId="18" fillId="14" borderId="5" xfId="1" applyNumberFormat="1" applyFont="1" applyFill="1" applyBorder="1" applyAlignment="1">
      <x:alignment horizontal="left" vertical="center" wrapText="1"/>
    </x:xf>
    <x:xf numFmtId="0" fontId="18" fillId="14" borderId="5" xfId="1" applyNumberFormat="1" applyFont="1" applyFill="1" applyBorder="1" applyAlignment="1">
      <x:alignment horizontal="center" vertical="center" wrapText="1"/>
    </x:xf>
    <x:xf numFmtId="3" fontId="18" fillId="14" borderId="5" xfId="1" applyNumberFormat="1" applyFont="1" applyFill="1" applyBorder="1" applyAlignment="1">
      <x:alignment horizontal="right" vertical="center" wrapText="1"/>
    </x:xf>
    <x:xf numFmtId="0" fontId="18" fillId="21" borderId="5" xfId="1" applyNumberFormat="1" applyFont="1" applyFill="1" applyBorder="1" applyAlignment="1">
      <x:alignment horizontal="left" vertical="center" wrapText="1"/>
    </x:xf>
    <x:xf numFmtId="0" fontId="18" fillId="21" borderId="5" xfId="1" applyNumberFormat="1" applyFont="1" applyFill="1" applyBorder="1" applyAlignment="1">
      <x:alignment horizontal="center" vertical="center" wrapText="1"/>
    </x:xf>
    <x:xf numFmtId="3" fontId="18" fillId="21" borderId="5" xfId="1" applyNumberFormat="1" applyFont="1" applyFill="1" applyBorder="1" applyAlignment="1">
      <x:alignment horizontal="right" vertical="center" wrapText="1"/>
    </x:xf>
    <x:xf numFmtId="0" fontId="18" fillId="20" borderId="5" xfId="1" applyNumberFormat="1" applyFont="1" applyFill="1" applyBorder="1" applyAlignment="1">
      <x:alignment horizontal="left" vertical="center" wrapText="1"/>
    </x:xf>
    <x:xf numFmtId="0" fontId="18" fillId="20" borderId="5" xfId="1" applyNumberFormat="1" applyFont="1" applyFill="1" applyBorder="1" applyAlignment="1">
      <x:alignment horizontal="center" vertical="center" wrapText="1"/>
    </x:xf>
    <x:xf numFmtId="3" fontId="18" fillId="20" borderId="5" xfId="1" applyNumberFormat="1" applyFont="1" applyFill="1" applyBorder="1" applyAlignment="1">
      <x:alignment horizontal="right" vertical="center" wrapText="1"/>
    </x:xf>
    <x:xf numFmtId="0" fontId="16" fillId="12" borderId="3" xfId="1" applyNumberFormat="1" applyFont="1" applyFill="1" applyBorder="1" applyAlignment="1">
      <x:alignment horizontal="left" vertical="center" wrapText="1"/>
    </x:xf>
    <x:xf numFmtId="0" fontId="19" fillId="15" borderId="4" xfId="1" applyNumberFormat="1" applyFont="1" applyFill="1" applyBorder="1" applyAlignment="1">
      <x:alignment horizontal="center" vertical="center" wrapText="1"/>
    </x:xf>
    <x:xf numFmtId="0" fontId="20" fillId="16" borderId="4" xfId="1" applyNumberFormat="1" applyFont="1" applyFill="1" applyBorder="1" applyAlignment="1">
      <x:alignment horizontal="center" vertical="center" wrapText="1"/>
    </x:xf>
    <x:xf numFmtId="0" fontId="21" fillId="17" borderId="4" xfId="1" applyNumberFormat="1" applyFont="1" applyFill="1" applyBorder="1" applyAlignment="1">
      <x:alignment horizontal="center" vertical="center" wrapText="1"/>
    </x:xf>
    <x:xf numFmtId="0" fontId="18" fillId="10" borderId="3" xfId="1" applyNumberFormat="1" applyFont="1" applyFill="1" applyBorder="1" applyAlignment="1">
      <x:alignment horizontal="left" vertical="center" wrapText="1"/>
    </x:xf>
    <x:xf numFmtId="0" fontId="18" fillId="10" borderId="4" xfId="1" applyNumberFormat="1" applyFont="1" applyFill="1" applyBorder="1" applyAlignment="1">
      <x:alignment wrapText="1"/>
    </x:xf>
    <x:xf numFmtId="3" fontId="22" fillId="10" borderId="4" xfId="1" applyNumberFormat="1" applyFont="1" applyFill="1" applyBorder="1" applyAlignment="1">
      <x:alignment horizontal="center" vertical="center" wrapText="1"/>
    </x:xf>
    <x:xf numFmtId="0" fontId="13" fillId="10" borderId="4" xfId="1" applyNumberFormat="1" applyFont="1" applyFill="1" applyBorder="1" applyAlignment="1">
      <x:alignment wrapText="1"/>
    </x:xf>
    <x:xf numFmtId="0" fontId="18" fillId="14" borderId="4" xfId="1" applyNumberFormat="1" applyFont="1" applyFill="1" applyBorder="1" applyAlignment="1">
      <x:alignment wrapText="1"/>
    </x:xf>
    <x:xf numFmtId="3" fontId="22" fillId="14" borderId="4" xfId="1" applyNumberFormat="1" applyFont="1" applyFill="1" applyBorder="1" applyAlignment="1">
      <x:alignment horizontal="center" vertical="center" wrapText="1"/>
    </x:xf>
    <x:xf numFmtId="0" fontId="13" fillId="14" borderId="4" xfId="1" applyNumberFormat="1" applyFont="1" applyFill="1" applyBorder="1" applyAlignment="1">
      <x:alignment wrapText="1"/>
    </x:xf>
    <x:xf numFmtId="0" fontId="18" fillId="10" borderId="4" xfId="1" applyNumberFormat="1" applyFont="1" applyFill="1" applyBorder="1" applyAlignment="1">
      <x:alignment vertical="center" wrapText="1"/>
    </x:xf>
    <x:xf numFmtId="0" fontId="13" fillId="10" borderId="4" xfId="1" applyNumberFormat="1" applyFont="1" applyFill="1" applyBorder="1" applyAlignment="1">
      <x:alignment vertical="center" wrapText="1"/>
    </x:xf>
    <x:xf numFmtId="0" fontId="18" fillId="14" borderId="4" xfId="1" applyNumberFormat="1" applyFont="1" applyFill="1" applyBorder="1" applyAlignment="1">
      <x:alignment vertical="center" wrapText="1"/>
    </x:xf>
    <x:xf numFmtId="0" fontId="13" fillId="14" borderId="4" xfId="1" applyNumberFormat="1" applyFont="1" applyFill="1" applyBorder="1" applyAlignment="1">
      <x:alignment vertical="center" wrapText="1"/>
    </x:xf>
    <x:xf numFmtId="0" fontId="23" fillId="18" borderId="4" xfId="1" applyNumberFormat="1" applyFont="1" applyFill="1" applyBorder="1" applyAlignment="1">
      <x:alignment horizontal="center" vertical="center" wrapText="1"/>
    </x:xf>
    <x:xf numFmtId="0" fontId="24" fillId="19" borderId="4" xfId="1" applyNumberFormat="1" applyFont="1" applyFill="1" applyBorder="1" applyAlignment="1">
      <x:alignment horizontal="center" vertical="center" wrapText="1"/>
    </x:xf>
    <x:xf numFmtId="0" fontId="22" fillId="10" borderId="3" xfId="1" applyNumberFormat="1" applyFont="1" applyFill="1" applyBorder="1" applyAlignment="1">
      <x:alignment wrapText="1"/>
    </x:xf>
    <x:xf numFmtId="0" fontId="19" fillId="15" borderId="3" xfId="1" applyNumberFormat="1" applyFont="1" applyFill="1" applyBorder="1" applyAlignment="1">
      <x:alignment horizontal="center" vertical="center" wrapText="1"/>
    </x:xf>
    <x:xf numFmtId="0" fontId="20" fillId="16" borderId="3" xfId="1" applyNumberFormat="1" applyFont="1" applyFill="1" applyBorder="1" applyAlignment="1">
      <x:alignment horizontal="center" vertical="center" wrapText="1"/>
    </x:xf>
    <x:xf numFmtId="0" fontId="21" fillId="17" borderId="3" xfId="1" applyNumberFormat="1" applyFont="1" applyFill="1" applyBorder="1" applyAlignment="1">
      <x:alignment horizontal="center" vertical="center" wrapText="1"/>
    </x:xf>
    <x:xf numFmtId="0" fontId="24" fillId="19" borderId="3" xfId="1" applyNumberFormat="1" applyFont="1" applyFill="1" applyBorder="1" applyAlignment="1">
      <x:alignment horizontal="center" vertical="center" wrapText="1"/>
    </x:xf>
    <x:xf numFmtId="0" fontId="23" fillId="18" borderId="3" xfId="1" applyNumberFormat="1" applyFont="1" applyFill="1" applyBorder="1" applyAlignment="1">
      <x:alignment horizontal="center" vertical="center" wrapText="1"/>
    </x:xf>
    <x:xf numFmtId="0" fontId="22" fillId="10" borderId="3" xfId="1" applyNumberFormat="1" applyFont="1" applyFill="1" applyBorder="1" applyAlignment="1">
      <x:alignment vertical="center" wrapText="1"/>
    </x:xf>
    <x:xf numFmtId="164" fontId="18" fillId="10" borderId="4" xfId="1" applyNumberFormat="1" applyFont="1" applyFill="1" applyBorder="1" applyAlignment="1">
      <x:alignment horizontal="center" vertical="center" wrapText="1"/>
    </x:xf>
    <x:xf numFmtId="164" fontId="18" fillId="14" borderId="4" xfId="1" applyNumberFormat="1" applyFont="1" applyFill="1" applyBorder="1" applyAlignment="1">
      <x:alignment horizontal="center" vertical="center" wrapText="1"/>
    </x:xf>
    <x:xf numFmtId="164" fontId="18" fillId="20" borderId="4" xfId="1" applyNumberFormat="1" applyFont="1" applyFill="1" applyBorder="1" applyAlignment="1">
      <x:alignment horizontal="center" vertical="center" wrapText="1"/>
    </x:xf>
    <x:xf numFmtId="164" fontId="18" fillId="10" borderId="4" xfId="1" applyNumberFormat="1" applyFont="1" applyFill="1" applyBorder="1" applyAlignment="1">
      <x:alignment horizontal="right" vertical="center" wrapText="1"/>
    </x:xf>
    <x:xf numFmtId="164" fontId="18" fillId="14" borderId="4" xfId="1" applyNumberFormat="1" applyFont="1" applyFill="1" applyBorder="1" applyAlignment="1">
      <x:alignment horizontal="right" vertical="center" wrapText="1"/>
    </x:xf>
    <x:xf numFmtId="164" fontId="18" fillId="20" borderId="4" xfId="1" applyNumberFormat="1" applyFont="1" applyFill="1" applyBorder="1" applyAlignment="1">
      <x:alignment horizontal="right" vertical="center" wrapText="1"/>
    </x:xf>
    <x:xf numFmtId="164" fontId="18" fillId="21" borderId="4" xfId="1" applyNumberFormat="1" applyFont="1" applyFill="1" applyBorder="1" applyAlignment="1">
      <x:alignment horizontal="center" vertical="center" wrapText="1"/>
    </x:xf>
    <x:xf numFmtId="164" fontId="18" fillId="10" borderId="5" xfId="1" applyNumberFormat="1" applyFont="1" applyFill="1" applyBorder="1" applyAlignment="1">
      <x:alignment horizontal="center" vertical="center" wrapText="1"/>
    </x:xf>
    <x:xf numFmtId="164" fontId="18" fillId="21" borderId="4" xfId="1" applyNumberFormat="1" applyFont="1" applyFill="1" applyBorder="1" applyAlignment="1">
      <x:alignment horizontal="right" vertical="center" wrapText="1"/>
    </x:xf>
    <x:xf numFmtId="164" fontId="18" fillId="10" borderId="5" xfId="1" applyNumberFormat="1" applyFont="1" applyFill="1" applyBorder="1" applyAlignment="1">
      <x:alignment horizontal="right" vertical="center" wrapText="1"/>
    </x:xf>
    <x:xf numFmtId="164" fontId="18" fillId="14" borderId="5" xfId="1" applyNumberFormat="1" applyFont="1" applyFill="1" applyBorder="1" applyAlignment="1">
      <x:alignment horizontal="center" vertical="center" wrapText="1"/>
    </x:xf>
    <x:xf numFmtId="164" fontId="18" fillId="21" borderId="5" xfId="1" applyNumberFormat="1" applyFont="1" applyFill="1" applyBorder="1" applyAlignment="1">
      <x:alignment horizontal="center" vertical="center" wrapText="1"/>
    </x:xf>
    <x:xf numFmtId="164" fontId="18" fillId="20" borderId="5" xfId="1" applyNumberFormat="1" applyFont="1" applyFill="1" applyBorder="1" applyAlignment="1">
      <x:alignment horizontal="center" vertical="center" wrapText="1"/>
    </x:xf>
    <x:xf numFmtId="164" fontId="18" fillId="14" borderId="5" xfId="1" applyNumberFormat="1" applyFont="1" applyFill="1" applyBorder="1" applyAlignment="1">
      <x:alignment horizontal="right" vertical="center" wrapText="1"/>
    </x:xf>
    <x:xf numFmtId="164" fontId="18" fillId="21" borderId="5" xfId="1" applyNumberFormat="1" applyFont="1" applyFill="1" applyBorder="1" applyAlignment="1">
      <x:alignment horizontal="right" vertical="center" wrapText="1"/>
    </x:xf>
    <x:xf numFmtId="164" fontId="18" fillId="20" borderId="5" xfId="1" applyNumberFormat="1" applyFont="1" applyFill="1" applyBorder="1" applyAlignment="1">
      <x:alignment horizontal="right" vertical="center" wrapText="1"/>
    </x:xf>
    <x:xf numFmtId="0" fontId="13" fillId="22" borderId="3" xfId="1" applyNumberFormat="1" applyFont="1" applyFill="1" applyBorder="1" applyAlignment="1">
      <x:alignment vertical="center" wrapText="1"/>
    </x:xf>
    <x:xf numFmtId="0" fontId="19" fillId="23" borderId="4" xfId="1" applyNumberFormat="1" applyFont="1" applyFill="1" applyBorder="1" applyAlignment="1">
      <x:alignment horizontal="center" vertical="center" wrapText="1"/>
    </x:xf>
    <x:xf numFmtId="0" fontId="26" fillId="23" borderId="4" xfId="1" applyNumberFormat="1" applyFont="1" applyFill="1" applyBorder="1" applyAlignment="1">
      <x:alignment horizontal="center" vertical="center" wrapText="1"/>
    </x:xf>
    <x:xf numFmtId="0" fontId="20" fillId="23" borderId="4" xfId="1" applyNumberFormat="1" applyFont="1" applyFill="1" applyBorder="1" applyAlignment="1">
      <x:alignment horizontal="center" vertical="center" wrapText="1"/>
    </x:xf>
    <x:xf numFmtId="0" fontId="21" fillId="24" borderId="4" xfId="1" applyNumberFormat="1" applyFont="1" applyFill="1" applyBorder="1" applyAlignment="1">
      <x:alignment horizontal="center" vertical="center" wrapText="1"/>
    </x:xf>
    <x:xf numFmtId="0" fontId="27" fillId="24" borderId="4" xfId="1" applyNumberFormat="1" applyFont="1" applyFill="1" applyBorder="1" applyAlignment="1">
      <x:alignment horizontal="center" vertical="center" wrapText="1"/>
    </x:xf>
    <x:xf numFmtId="0" fontId="21" fillId="25" borderId="4" xfId="1" applyNumberFormat="1" applyFont="1" applyFill="1" applyBorder="1" applyAlignment="1">
      <x:alignment horizontal="center" vertical="center" wrapText="1"/>
    </x:xf>
    <x:xf numFmtId="0" fontId="28" fillId="25" borderId="4" xfId="1" applyNumberFormat="1" applyFont="1" applyFill="1" applyBorder="1" applyAlignment="1">
      <x:alignment horizontal="center" vertical="center" wrapText="1"/>
    </x:xf>
    <x:xf numFmtId="0" fontId="23" fillId="26" borderId="4" xfId="1" applyNumberFormat="1" applyFont="1" applyFill="1" applyBorder="1" applyAlignment="1">
      <x:alignment horizontal="center" vertical="center" wrapText="1"/>
    </x:xf>
    <x:xf numFmtId="0" fontId="29" fillId="26" borderId="4" xfId="1" applyNumberFormat="1" applyFont="1" applyFill="1" applyBorder="1" applyAlignment="1">
      <x:alignment horizontal="center" vertical="center" wrapText="1"/>
    </x:xf>
    <x:xf numFmtId="0" fontId="24" fillId="25" borderId="4" xfId="1" applyNumberFormat="1" applyFont="1" applyFill="1" applyBorder="1" applyAlignment="1">
      <x:alignment horizontal="center" vertical="center" wrapText="1"/>
    </x:xf>
    <x:xf numFmtId="0" fontId="24" fillId="27" borderId="4" xfId="1" applyNumberFormat="1" applyFont="1" applyFill="1" applyBorder="1" applyAlignment="1">
      <x:alignment horizontal="center" vertical="center" wrapText="1"/>
    </x:xf>
    <x:xf numFmtId="0" fontId="30" fillId="27" borderId="4" xfId="1" applyNumberFormat="1" applyFont="1" applyFill="1" applyBorder="1" applyAlignment="1">
      <x:alignment horizontal="center" vertical="center" wrapText="1"/>
    </x:xf>
    <x:xf numFmtId="0" fontId="24" fillId="26" borderId="4" xfId="1" applyNumberFormat="1" applyFont="1" applyFill="1" applyBorder="1" applyAlignment="1">
      <x:alignment horizontal="center" vertical="center" wrapText="1"/>
    </x:xf>
    <x:xf numFmtId="0" fontId="13" fillId="25" borderId="3" xfId="1" applyNumberFormat="1" applyFont="1" applyFill="1" applyBorder="1" applyAlignment="1">
      <x:alignment vertical="center" wrapText="1"/>
    </x:xf>
    <x:xf numFmtId="0" fontId="31" fillId="25" borderId="3" xfId="1" applyNumberFormat="1" applyFont="1" applyFill="1" applyBorder="1" applyAlignment="1">
      <x:alignment vertical="center" wrapText="1"/>
    </x:xf>
    <x:xf numFmtId="0" fontId="32" fillId="0" borderId="0" xfId="0" applyNumberFormat="1" applyFont="1" applyFill="1" applyBorder="1"/>
    <x:xf numFmtId="0" fontId="32" fillId="0" borderId="0" xfId="0" applyNumberFormat="1" applyFont="1" applyFill="1" applyBorder="1" applyAlignment="1">
      <x:alignment wrapText="1"/>
    </x:xf>
  </x:cellXfs>
  <x:cellStyles count="1"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26cc24d7ba4a27" /><Relationship Type="http://schemas.openxmlformats.org/officeDocument/2006/relationships/theme" Target="/xl/theme/theme1.xml" Id="R1569e7ba52274d9b" /><Relationship Type="http://schemas.openxmlformats.org/officeDocument/2006/relationships/sharedStrings" Target="/xl/sharedStrings.xml" Id="Rbd6db70721e64286" /><Relationship Type="http://schemas.openxmlformats.org/officeDocument/2006/relationships/worksheet" Target="/xl/worksheets/sheet1.xml" Id="Rd32916dcf1ad49e1" /><Relationship Type="http://schemas.openxmlformats.org/officeDocument/2006/relationships/worksheet" Target="/xl/worksheets/sheet2.xml" Id="R98423e7e48e543a2" /><Relationship Type="http://schemas.openxmlformats.org/officeDocument/2006/relationships/worksheet" Target="/xl/worksheets/sheet3.xml" Id="Rf545263501d94be4" /><Relationship Type="http://schemas.openxmlformats.org/officeDocument/2006/relationships/worksheet" Target="/xl/worksheets/sheet4.xml" Id="R141f7bd9c31e4ab1" /><Relationship Type="http://schemas.openxmlformats.org/officeDocument/2006/relationships/worksheet" Target="/xl/worksheets/sheet5.xml" Id="R2237fddba03c4873" /><Relationship Type="http://schemas.openxmlformats.org/officeDocument/2006/relationships/worksheet" Target="/xl/worksheets/sheet6.xml" Id="R887c6d081a8c4dc8" /><Relationship Type="http://schemas.openxmlformats.org/officeDocument/2006/relationships/worksheet" Target="/xl/worksheets/sheet7.xml" Id="Rbd98d71f1c48454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3B52"/>
  </x:sheetPr>
  <x:sheetViews>
    <x:sheetView showGridLines="0" workbookViewId="0"/>
  </x:sheetViews>
  <x:sheetFormatPr defaultRowHeight="16.5"/>
  <x:cols>
    <x:col min="1" max="1" width="18" customWidth="1"/>
    <x:col min="2" max="2" width="22" customWidth="1"/>
    <x:col min="3" max="3" width="44" customWidth="1"/>
    <x:col min="4" max="5" width="18" customWidth="1"/>
  </x:cols>
  <x:sheetData>
    <x:row r="1" ht="34" customHeight="1">
      <x:c r="A1" s="78" t="str">
        <x:v>가이드 퀘스트 업적 운영 카탈로그</x:v>
      </x:c>
      <x:c r="B1" s="88"/>
      <x:c r="C1" s="88"/>
      <x:c r="D1" s="88"/>
      <x:c r="E1" s="88"/>
    </x:row>
    <x:row r="2" ht="62" customHeight="1">
      <x:c r="A2" s="80" t="str">
        <x:v>2026-09-20 개정 · 기존 시트와 목표 ID 보존 · 무한 진행과 장비 경제 반영</x:v>
      </x:c>
      <x:c r="B2" s="88"/>
      <x:c r="C2" s="88"/>
      <x:c r="D2" s="88"/>
      <x:c r="E2" s="88"/>
    </x:row>
    <x:row r="4" ht="22" customHeight="1">
      <x:c r="A4" s="109" t="s">
        <x:v>0</x:v>
      </x:c>
      <x:c r="B4" s="88"/>
      <x:c r="C4" s="88"/>
      <x:c r="D4" s="88"/>
      <x:c r="E4" s="88"/>
    </x:row>
    <x:row r="5" ht="22" customHeight="1">
      <x:c r="A5" s="81" t="s">
        <x:v>1</x:v>
      </x:c>
      <x:c r="B5" s="81" t="s">
        <x:v>2</x:v>
      </x:c>
      <x:c r="C5" s="81" t="s">
        <x:v>3</x:v>
      </x:c>
      <x:c r="D5" s="81" t="s">
        <x:v>4</x:v>
      </x:c>
      <x:c r="E5" s="81" t="s">
        <x:v>5</x:v>
      </x:c>
    </x:row>
    <x:row r="6" ht="28" customHeight="1">
      <x:c r="A6" s="83" t="s">
        <x:v>6</x:v>
      </x:c>
      <x:c r="B6" s="83" t="s">
        <x:v>7</x:v>
      </x:c>
      <x:c r="C6" s="83" t="s">
        <x:v>8</x:v>
      </x:c>
      <x:c r="D6" s="83" t="n">
        <x:v>28</x:v>
      </x:c>
      <x:c r="E6" s="83" t="str">
        <x:v>활성 28 / 보존 30 · 폐기 2</x:v>
      </x:c>
    </x:row>
    <x:row r="7" ht="28" customHeight="1">
      <x:c r="A7" s="86" t="s">
        <x:v>9</x:v>
      </x:c>
      <x:c r="B7" s="86" t="s">
        <x:v>10</x:v>
      </x:c>
      <x:c r="C7" s="86" t="s">
        <x:v>11</x:v>
      </x:c>
      <x:c r="D7" s="86" t="n">
        <x:v>8</x:v>
      </x:c>
      <x:c r="E7" s="86" t="str">
        <x:v>기본 7 + 완료 1 / 보존 10 · 폐기 1·보류 1</x:v>
      </x:c>
    </x:row>
    <x:row r="8" ht="22" customHeight="1">
      <x:c r="A8" s="83" t="s">
        <x:v>12</x:v>
      </x:c>
      <x:c r="B8" s="83" t="s">
        <x:v>13</x:v>
      </x:c>
      <x:c r="C8" s="83" t="s">
        <x:v>14</x:v>
      </x:c>
      <x:c r="D8" s="83">
        <x:v>7</x:v>
      </x:c>
      <x:c r="E8" s="83" t="s">
        <x:v>15</x:v>
      </x:c>
    </x:row>
    <x:row r="9" ht="28" customHeight="1">
      <x:c r="A9" s="86" t="s">
        <x:v>16</x:v>
      </x:c>
      <x:c r="B9" s="86" t="s">
        <x:v>17</x:v>
      </x:c>
      <x:c r="C9" s="86" t="s">
        <x:v>18</x:v>
      </x:c>
      <x:c r="D9" s="86" t="n">
        <x:v>49</x:v>
      </x:c>
      <x:c r="E9" s="86" t="str">
        <x:v>활성 49 / 보존 59 · 폐기 5·보류 5</x:v>
      </x:c>
    </x:row>
    <x:row r="11" ht="22" customHeight="1">
      <x:c r="A11" s="109" t="s">
        <x:v>19</x:v>
      </x:c>
      <x:c r="B11" s="88"/>
      <x:c r="C11" s="88"/>
      <x:c r="D11" s="88"/>
      <x:c r="E11" s="88"/>
    </x:row>
    <x:row r="12" ht="22" customHeight="1">
      <x:c r="A12" s="81" t="s">
        <x:v>20</x:v>
      </x:c>
      <x:c r="B12" s="81" t="s">
        <x:v>21</x:v>
      </x:c>
      <x:c r="C12" s="81" t="s">
        <x:v>22</x:v>
      </x:c>
      <x:c r="D12" s="81"/>
      <x:c r="E12" s="81"/>
    </x:row>
    <x:row r="13" ht="22" customHeight="1">
      <x:c r="A13" s="83" t="s">
        <x:v>6</x:v>
      </x:c>
      <x:c r="B13" s="83" t="s">
        <x:v>23</x:v>
      </x:c>
      <x:c r="C13" s="83" t="str">
        <x:v>폐기 10026·10027 건너뜀. 10025→10028; ID 재번호 금지</x:v>
      </x:c>
      <x:c r="D13" s="83"/>
      <x:c r="E13" s="83"/>
    </x:row>
    <x:row r="14" ht="22" customHeight="1">
      <x:c r="A14" s="86" t="s">
        <x:v>9</x:v>
      </x:c>
      <x:c r="B14" s="86" t="s">
        <x:v>24</x:v>
      </x:c>
      <x:c r="C14" s="86" t="s">
        <x:v>25</x:v>
      </x:c>
      <x:c r="D14" s="86"/>
      <x:c r="E14" s="86"/>
    </x:row>
    <x:row r="15" ht="22" customHeight="1">
      <x:c r="A15" s="83" t="s">
        <x:v>12</x:v>
      </x:c>
      <x:c r="B15" s="83" t="s">
        <x:v>26</x:v>
      </x:c>
      <x:c r="C15" s="83" t="s">
        <x:v>25</x:v>
      </x:c>
      <x:c r="D15" s="83"/>
      <x:c r="E15" s="83"/>
    </x:row>
    <x:row r="16" ht="22" customHeight="1">
      <x:c r="A16" s="86" t="s">
        <x:v>16</x:v>
      </x:c>
      <x:c r="B16" s="86" t="s">
        <x:v>27</x:v>
      </x:c>
      <x:c r="C16" s="86" t="s">
        <x:v>28</x:v>
      </x:c>
      <x:c r="D16" s="86"/>
      <x:c r="E16" s="86"/>
    </x:row>
    <x:row r="17" ht="22" customHeight="1">
      <x:c r="A17" s="83" t="s">
        <x:v>29</x:v>
      </x:c>
      <x:c r="B17" s="83" t="s">
        <x:v>30</x:v>
      </x:c>
      <x:c r="C17" s="83" t="s">
        <x:v>31</x:v>
      </x:c>
      <x:c r="D17" s="83"/>
      <x:c r="E17" s="83"/>
    </x:row>
    <x:row r="19" ht="22" customHeight="1">
      <x:c r="A19" s="109" t="s">
        <x:v>32</x:v>
      </x:c>
      <x:c r="B19" s="88"/>
      <x:c r="C19" s="88"/>
      <x:c r="D19" s="88"/>
      <x:c r="E19" s="88"/>
    </x:row>
    <x:row r="20" ht="22" customHeight="1">
      <x:c r="A20" s="81" t="s">
        <x:v>33</x:v>
      </x:c>
      <x:c r="B20" s="81" t="s">
        <x:v>34</x:v>
      </x:c>
      <x:c r="C20" s="81" t="s">
        <x:v>35</x:v>
      </x:c>
      <x:c r="D20" s="81"/>
      <x:c r="E20" s="81"/>
    </x:row>
    <x:row r="21" ht="22" customHeight="1">
      <x:c r="A21" s="83" t="s">
        <x:v>36</x:v>
      </x:c>
      <x:c r="B21" s="83" t="s">
        <x:v>37</x:v>
      </x:c>
      <x:c r="C21" s="83" t="s">
        <x:v>38</x:v>
      </x:c>
      <x:c r="D21" s="83"/>
      <x:c r="E21" s="83"/>
    </x:row>
    <x:row r="22" ht="28" customHeight="1">
      <x:c r="A22" s="86" t="s">
        <x:v>39</x:v>
      </x:c>
      <x:c r="B22" s="86" t="str">
        <x:v>1=장비 2=마탑. 3=신 스킬은 폐기 예약</x:v>
      </x:c>
      <x:c r="C22" s="86" t="s">
        <x:v>40</x:v>
      </x:c>
      <x:c r="D22" s="86"/>
      <x:c r="E22" s="86"/>
    </x:row>
    <x:row r="23" ht="28" customHeight="1">
      <x:c r="A23" s="83" t="s">
        <x:v>41</x:v>
      </x:c>
      <x:c r="B23" s="83" t="str">
        <x:v>1=ATK 2=HP 활성. 3·4·5는 보류 예약</x:v>
      </x:c>
      <x:c r="C23" s="83" t="s">
        <x:v>42</x:v>
      </x:c>
      <x:c r="D23" s="83"/>
      <x:c r="E23" s="83"/>
    </x:row>
    <x:row r="24" ht="22" customHeight="1">
      <x:c r="A24" s="86" t="s">
        <x:v>43</x:v>
      </x:c>
      <x:c r="B24" s="86" t="s">
        <x:v>44</x:v>
      </x:c>
      <x:c r="C24" s="86" t="s">
        <x:v>45</x:v>
      </x:c>
      <x:c r="D24" s="86"/>
      <x:c r="E24" s="86"/>
    </x:row>
    <x:row r="25" ht="22" customHeight="1">
      <x:c r="A25" s="83" t="s">
        <x:v>46</x:v>
      </x:c>
      <x:c r="B25" s="83" t="s">
        <x:v>47</x:v>
      </x:c>
      <x:c r="C25" s="83" t="s">
        <x:v>48</x:v>
      </x:c>
      <x:c r="D25" s="83"/>
      <x:c r="E25" s="83"/>
    </x:row>
    <x:row r="26" ht="28" customHeight="1">
      <x:c r="A26" s="86" t="s">
        <x:v>49</x:v>
      </x:c>
      <x:c r="B26" s="86" t="str">
        <x:v>폐기 예약: 기존 1·2·3 번호 재사용 금지</x:v>
      </x:c>
      <x:c r="C26" s="86" t="s">
        <x:v>50</x:v>
      </x:c>
      <x:c r="D26" s="86"/>
      <x:c r="E26" s="86"/>
    </x:row>
    <x:row r="28" ht="22" customHeight="1">
      <x:c r="A28" s="109" t="s">
        <x:v>51</x:v>
      </x:c>
      <x:c r="B28" s="88"/>
      <x:c r="C28" s="88"/>
      <x:c r="D28" s="88"/>
      <x:c r="E28" s="88"/>
    </x:row>
    <x:row r="29" ht="22" customHeight="1">
      <x:c r="A29" s="81" t="s">
        <x:v>52</x:v>
      </x:c>
      <x:c r="B29" s="81" t="s">
        <x:v>53</x:v>
      </x:c>
      <x:c r="C29" s="81" t="s">
        <x:v>54</x:v>
      </x:c>
      <x:c r="D29" s="81"/>
      <x:c r="E29" s="81"/>
    </x:row>
    <x:row r="30" ht="28" customHeight="1">
      <x:c r="A30" s="83" t="str">
        <x:v>퀘스트 골격</x:v>
      </x:c>
      <x:c r="B30" s="110" t="str">
        <x:v>연결</x:v>
      </x:c>
      <x:c r="C30" s="83" t="str">
        <x:v>10001 계열 가이드와 일일·주간·업적 런타임 연결. 서버 배포를 의미하지 않음</x:v>
      </x:c>
    </x:row>
    <x:row r="31" ht="28" customHeight="1">
      <x:c r="A31" s="86" t="str">
        <x:v>이벤트 발행</x:v>
      </x:c>
      <x:c r="B31" s="111" t="str">
        <x:v>연결</x:v>
      </x:c>
      <x:c r="C31" s="86" t="str">
        <x:v>처치·클리어·전투 시간·시전·장비 강화 등 승인 이벤트 집계</x:v>
      </x:c>
    </x:row>
    <x:row r="32" ht="22" customHeight="1">
      <x:c r="A32" s="83" t="str">
        <x:v>누적 진행도</x:v>
      </x:c>
      <x:c r="B32" s="112" t="str">
        <x:v>연결</x:v>
      </x:c>
      <x:c r="C32" s="83" t="str">
        <x:v>LocalProgression의 최고 기록과 기간 카운터 사용</x:v>
      </x:c>
    </x:row>
    <x:row r="33" ht="28" customHeight="1">
      <x:c r="A33" s="86" t="str">
        <x:v>보상 지급</x:v>
      </x:c>
      <x:c r="B33" s="112" t="str">
        <x:v>연결</x:v>
      </x:c>
      <x:c r="C33" s="86" t="str">
        <x:v>로컬 권한 저장의 원자 지급·중복 수령 방지. 서버 이관은 별도 검증</x:v>
      </x:c>
    </x:row>
    <x:row r="34" ht="22" customHeight="1">
      <x:c r="A34" s="83" t="str">
        <x:v>일일/주간 리셋</x:v>
      </x:c>
      <x:c r="B34" s="112" t="str">
        <x:v>연결</x:v>
      </x:c>
      <x:c r="C34" s="83" t="str">
        <x:v>KST 일/주 기간 키로 처리</x:v>
      </x:c>
    </x:row>
    <x:row r="35" ht="22" customHeight="1">
      <x:c r="A35" s="86" t="str">
        <x:v>업적 UI</x:v>
      </x:c>
      <x:c r="B35" s="112" t="str">
        <x:v>연결</x:v>
      </x:c>
      <x:c r="C35" s="86" t="str">
        <x:v>목록과 완료·수령 상태 연결</x:v>
      </x:c>
    </x:row>
    <x:row r="36" ht="22" customHeight="1">
      <x:c r="A36" s="83" t="str">
        <x:v>가이드 UI</x:v>
      </x:c>
      <x:c r="B36" s="111" t="str">
        <x:v>연결</x:v>
      </x:c>
      <x:c r="C36" s="83" t="str">
        <x:v>메인 HUD에서 후속 가이드와 보상 표시</x:v>
      </x:c>
    </x:row>
    <x:row r="37" ht="28" customHeight="1">
      <x:c r="A37" s="86" t="str">
        <x:v>스테이지</x:v>
      </x:c>
      <x:c r="B37" s="111" t="str">
        <x:v>무한 진행</x:v>
      </x:c>
      <x:c r="C37" s="86" t="str">
        <x:v>1~3장 도입부 후 산적·고블린·오크 순환. 장 번호와 수치·보상 계속 성장</x:v>
      </x:c>
    </x:row>
    <x:row r="38" ht="22" customHeight="1">
      <x:c r="A38" s="83" t="str">
        <x:v>장비</x:v>
      </x:c>
      <x:c r="B38" s="111" t="str">
        <x:v>개정</x:v>
      </x:c>
      <x:c r="C38" s="83" t="str">
        <x:v>강화석 분해·강화, 자동 분해·필터·정렬. 보관함 포화로 전투·뽑기·던전을 차단하지 않음</x:v>
      </x:c>
    </x:row>
    <x:row r="39" ht="28" customHeight="1">
      <x:c r="A39" s="86" t="s">
        <x:v>55</x:v>
      </x:c>
      <x:c r="B39" s="112" t="s">
        <x:v>56</x:v>
      </x:c>
      <x:c r="C39" s="86" t="str">
        <x:v>명명 조합 미구현 보류. 클래스 오라와 구별; 박사 과정 신 스킬 버프는 폐기</x:v>
      </x:c>
    </x:row>
    <x:row r="40" ht="28" customHeight="1">
      <x:c r="A40" s="83" t="str">
        <x:v>재화</x:v>
      </x:c>
      <x:c r="B40" s="111" t="str">
        <x:v>개정</x:v>
      </x:c>
      <x:c r="C40" s="83" t="str">
        <x:v>Ruby=6, EquipmentStone=7. 강화석은 장비 강화에 사용. 기존 미사용 재화 보존</x:v>
      </x:c>
    </x:row>
    <x:row r="42" ht="22" customHeight="1">
      <x:c r="A42" s="109" t="s">
        <x:v>57</x:v>
      </x:c>
      <x:c r="B42" s="88"/>
      <x:c r="C42" s="88"/>
      <x:c r="D42" s="88"/>
      <x:c r="E42" s="88"/>
    </x:row>
    <x:row r="43" ht="22" customHeight="1">
      <x:c r="A43" s="113" t="str">
        <x:v>1. 원본 7개 시트·헤더·ID를 보존하고 비고의 폐기:·보류: 행은 등록 제외</x:v>
      </x:c>
      <x:c r="B43" s="88"/>
      <x:c r="C43" s="88"/>
      <x:c r="D43" s="88"/>
      <x:c r="E43" s="88"/>
    </x:row>
    <x:row r="44" ht="22" customHeight="1">
      <x:c r="A44" s="113" t="str">
        <x:v>2. 보상 원장·ClaimId·다중 재화 원자 지급 및 주기별 멱등 수령 구현</x:v>
      </x:c>
      <x:c r="B44" s="88"/>
      <x:c r="C44" s="88"/>
      <x:c r="D44" s="88"/>
      <x:c r="E44" s="88"/>
    </x:row>
    <x:row r="45" ht="22" customHeight="1">
      <x:c r="A45" s="113" t="str">
        <x:v>3. 실제 SO ID 1~4 → 10001~ 가이드 이관. 기존 지급·완료 기록 중복 방지</x:v>
      </x:c>
      <x:c r="B45" s="88"/>
      <x:c r="C45" s="88"/>
      <x:c r="D45" s="88"/>
      <x:c r="E45" s="88"/>
    </x:row>
    <x:row r="46" ht="22" customHeight="1">
      <x:c r="A46" s="113" t="str">
        <x:v>4. 목표 enum 기존 0~11 보존. 새 타입은 끝에 추가; 06_목표타입에 예약 ID 명시</x:v>
      </x:c>
      <x:c r="B46" s="88"/>
      <x:c r="C46" s="88"/>
      <x:c r="D46" s="88"/>
      <x:c r="E46" s="88"/>
    </x:row>
    <x:row r="47" ht="22" customHeight="1">
      <x:c r="A47" s="113" t="str">
        <x:v>5. KST 리셋·5/N 집계·접속 전 달성 스냅샷과 10분 루틴 기기 검증</x:v>
      </x:c>
      <x:c r="B47" s="88"/>
      <x:c r="C47" s="88"/>
      <x:c r="D47" s="88"/>
      <x:c r="E47" s="88"/>
    </x:row>
    <x:row r="49" ht="22" customHeight="1">
      <x:c r="A49" s="109" t="str">
        <x:v>6. 보존 행 통계 (폐기·보류 포함; 활성 수는 위 표)</x:v>
      </x:c>
      <x:c r="B49" s="88"/>
      <x:c r="C49" s="88"/>
      <x:c r="D49" s="88"/>
      <x:c r="E49" s="88"/>
    </x:row>
    <x:row r="50" ht="22" customHeight="1">
      <x:c r="A50" s="81" t="s">
        <x:v>52</x:v>
      </x:c>
      <x:c r="B50" s="81" t="s">
        <x:v>4</x:v>
      </x:c>
      <x:c r="C50" s="81"/>
      <x:c r="D50" s="81"/>
      <x:c r="E50" s="81"/>
    </x:row>
    <x:row r="51" ht="22" customHeight="1">
      <x:c r="A51" s="120" t="s">
        <x:v>6</x:v>
      </x:c>
      <x:c r="B51" s="115" t="n">
        <x:f>COUNT('02_가이드'!A5:A34)</x:f>
        <x:v>30</x:v>
      </x:c>
      <x:c r="C51" s="121"/>
      <x:c r="D51" s="121"/>
      <x:c r="E51" s="121"/>
    </x:row>
    <x:row r="52" ht="22" customHeight="1">
      <x:c r="A52" s="122" t="s">
        <x:v>9</x:v>
      </x:c>
      <x:c r="B52" s="118" t="n">
        <x:f>COUNTIF('03_퀘스트'!A5:A21,"일일")</x:f>
        <x:v>10</x:v>
      </x:c>
      <x:c r="C52" s="123"/>
      <x:c r="D52" s="123"/>
      <x:c r="E52" s="123"/>
    </x:row>
    <x:row r="53" ht="22" customHeight="1">
      <x:c r="A53" s="120" t="s">
        <x:v>12</x:v>
      </x:c>
      <x:c r="B53" s="115" t="n">
        <x:f>COUNTIF('03_퀘스트'!A5:A21,"주간")</x:f>
        <x:v>7</x:v>
      </x:c>
      <x:c r="C53" s="121"/>
      <x:c r="D53" s="121"/>
      <x:c r="E53" s="121"/>
    </x:row>
    <x:row r="54" ht="22" customHeight="1">
      <x:c r="A54" s="122" t="s">
        <x:v>16</x:v>
      </x:c>
      <x:c r="B54" s="118" t="n">
        <x:f>COUNT('04_업적'!B5:B63)</x:f>
        <x:v>59</x:v>
      </x:c>
      <x:c r="C54" s="123"/>
      <x:c r="D54" s="123"/>
      <x:c r="E54" s="123"/>
    </x:row>
    <x:row r="55" ht="22" customHeight="1">
      <x:c r="A55" s="120" t="s">
        <x:v>29</x:v>
      </x:c>
      <x:c r="B55" s="115" t="n">
        <x:f>COUNT('05_보상그룹'!A5:A26)</x:f>
        <x:v>22</x:v>
      </x:c>
      <x:c r="C55" s="121"/>
      <x:c r="D55" s="121"/>
      <x:c r="E55" s="121"/>
    </x:row>
    <x:row r="56" ht="22" customHeight="1">
      <x:c r="A56" s="122" t="s">
        <x:v>58</x:v>
      </x:c>
      <x:c r="B56" s="118" t="n">
        <x:f>COUNTIF('06_목표타입'!F5:F40,"신규")</x:f>
        <x:v>14</x:v>
      </x:c>
      <x:c r="C56" s="123"/>
      <x:c r="D56" s="123"/>
      <x:c r="E56" s="123"/>
    </x:row>
    <x:row r="58" ht="46" customHeight="1">
      <x:c r="A58" s="166" t="str">
        <x:v>환생 개정은 문답 단계다. 골드·골드 강화 초기화 방향만 확정했으며 보상 유형/양과 목표 ID는 확정 전 변경하지 않는다.</x:v>
      </x:c>
      <x:c r="B58" s="166"/>
      <x:c r="C58" s="166"/>
      <x:c r="D58" s="166"/>
      <x:c r="E58" s="166"/>
    </x:row>
    <x:row r="59" ht="46" customHeight="1">
      <x:c r="A59" s="166" t="str">
        <x:v>장비 강화 목표는 동일하게 레벨 증가를 집계한다. 소모 재료만 동일 장비에서 강화석으로 변경하고 분해 자체를 필수 소비 퀘스트로 추가하지 않는다.</x:v>
      </x:c>
      <x:c r="B59" s="166"/>
      <x:c r="C59" s="166"/>
      <x:c r="D59" s="166"/>
      <x:c r="E59" s="166"/>
    </x:row>
  </x:sheetData>
  <x:mergeCells>
    <x:mergeCell ref="A49:E49"/>
    <x:mergeCell ref="A47:E47"/>
    <x:mergeCell ref="A1:E1"/>
    <x:mergeCell ref="A45:E45"/>
    <x:mergeCell ref="A46:E46"/>
    <x:mergeCell ref="A44:E44"/>
    <x:mergeCell ref="A4:E4"/>
    <x:mergeCell ref="A43:E43"/>
    <x:mergeCell ref="A2:E2"/>
    <x:mergeCell ref="A28:E28"/>
    <x:mergeCell ref="A42:E42"/>
    <x:mergeCell ref="A19:E19"/>
    <x:mergeCell ref="A11:E11"/>
    <x:mergeCell ref="A58:E58"/>
    <x:mergeCell ref="A59:E5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6B8C"/>
  </x:sheetPr>
  <x:sheetViews>
    <x:sheetView showGridLines="0" workbookViewId="0">
      <x:pane ySplit="4" topLeftCell="A5" activePane="bottomLeft" state="frozen"/>
    </x:sheetView>
  </x:sheetViews>
  <x:sheetFormatPr defaultRowHeight="16.5"/>
  <x:cols>
    <x:col min="1" max="1" width="16" customWidth="1"/>
    <x:col min="2" max="2" width="40" customWidth="1"/>
    <x:col min="3" max="3" width="22" customWidth="1"/>
    <x:col min="4" max="4" width="16" customWidth="1"/>
  </x:cols>
  <x:sheetData>
    <x:row r="1" ht="34" customHeight="1">
      <x:c r="A1" s="78" t="s">
        <x:v>59</x:v>
      </x:c>
      <x:c r="B1" s="88"/>
      <x:c r="C1" s="88"/>
      <x:c r="D1" s="88"/>
    </x:row>
    <x:row r="2" ht="62" customHeight="1">
      <x:c r="A2" s="80" t="str">
        <x:v>베타: 시간·플레이 중심 루틴으로 소비 강제 제거. 폐기·보류 목표는 별도 상태로 보존하며 실등록하지 않는다.</x:v>
      </x:c>
      <x:c r="B2" s="88"/>
      <x:c r="C2" s="88"/>
      <x:c r="D2" s="88"/>
    </x:row>
    <x:row r="4" ht="22" customHeight="1">
      <x:c r="A4" s="81" t="s">
        <x:v>60</x:v>
      </x:c>
      <x:c r="B4" s="81" t="s">
        <x:v>6</x:v>
      </x:c>
      <x:c r="C4" s="81" t="s">
        <x:v>61</x:v>
      </x:c>
      <x:c r="D4" s="81" t="s">
        <x:v>62</x:v>
      </x:c>
    </x:row>
    <x:row r="5" ht="22" customHeight="1">
      <x:c r="A5" s="83" t="s">
        <x:v>63</x:v>
      </x:c>
      <x:c r="B5" s="83" t="s">
        <x:v>64</x:v>
      </x:c>
      <x:c r="C5" s="83" t="str">
        <x:v>D-03 W-04 W-05</x:v>
      </x:c>
      <x:c r="D5" s="83" t="s">
        <x:v>65</x:v>
      </x:c>
    </x:row>
    <x:row r="6" ht="22" customHeight="1">
      <x:c r="A6" s="86" t="s">
        <x:v>66</x:v>
      </x:c>
      <x:c r="B6" s="86" t="s">
        <x:v>67</x:v>
      </x:c>
      <x:c r="C6" s="86" t="s">
        <x:v>68</x:v>
      </x:c>
      <x:c r="D6" s="86" t="s">
        <x:v>69</x:v>
      </x:c>
    </x:row>
    <x:row r="7" ht="22" customHeight="1">
      <x:c r="A7" s="83" t="s">
        <x:v>70</x:v>
      </x:c>
      <x:c r="B7" s="83" t="s">
        <x:v>71</x:v>
      </x:c>
      <x:c r="C7" s="83" t="s">
        <x:v>72</x:v>
      </x:c>
      <x:c r="D7" s="83" t="s">
        <x:v>73</x:v>
      </x:c>
    </x:row>
    <x:row r="8" ht="22" customHeight="1">
      <x:c r="A8" s="86" t="s">
        <x:v>74</x:v>
      </x:c>
      <x:c r="B8" s="86" t="s">
        <x:v>75</x:v>
      </x:c>
      <x:c r="C8" s="86" t="str">
        <x:v>— (반복 소비 요구 제거)</x:v>
      </x:c>
      <x:c r="D8" s="86" t="s">
        <x:v>76</x:v>
      </x:c>
    </x:row>
    <x:row r="9" ht="22" customHeight="1">
      <x:c r="A9" s="83" t="s">
        <x:v>77</x:v>
      </x:c>
      <x:c r="B9" s="83" t="s">
        <x:v>78</x:v>
      </x:c>
      <x:c r="C9" s="83" t="s">
        <x:v>79</x:v>
      </x:c>
      <x:c r="D9" s="83" t="s">
        <x:v>80</x:v>
      </x:c>
    </x:row>
    <x:row r="10" ht="22" customHeight="1">
      <x:c r="A10" s="86" t="s">
        <x:v>81</x:v>
      </x:c>
      <x:c r="B10" s="86" t="s">
        <x:v>82</x:v>
      </x:c>
      <x:c r="C10" s="86" t="s">
        <x:v>79</x:v>
      </x:c>
      <x:c r="D10" s="86" t="s">
        <x:v>83</x:v>
      </x:c>
    </x:row>
    <x:row r="11" ht="22" customHeight="1">
      <x:c r="A11" s="83" t="s">
        <x:v>55</x:v>
      </x:c>
      <x:c r="B11" s="83" t="str">
        <x:v>보류</x:v>
      </x:c>
      <x:c r="C11" s="83" t="s">
        <x:v>79</x:v>
      </x:c>
      <x:c r="D11" s="83" t="str">
        <x:v>07 파티 (보류)</x:v>
      </x:c>
    </x:row>
    <x:row r="12" ht="22" customHeight="1">
      <x:c r="A12" s="86" t="s">
        <x:v>84</x:v>
      </x:c>
      <x:c r="B12" s="86" t="s">
        <x:v>85</x:v>
      </x:c>
      <x:c r="C12" s="86" t="s">
        <x:v>86</x:v>
      </x:c>
      <x:c r="D12" s="86" t="s">
        <x:v>87</x:v>
      </x:c>
    </x:row>
    <x:row r="13" ht="22" customHeight="1">
      <x:c r="A13" s="83" t="str">
        <x:v>신 스킬 (폐기)</x:v>
      </x:c>
      <x:c r="B13" s="83" t="str">
        <x:v>G26 G27 제외</x:v>
      </x:c>
      <x:c r="C13" s="83" t="str">
        <x:v>D-07 제외</x:v>
      </x:c>
      <x:c r="D13" s="83" t="str">
        <x:v>09 전부 제외</x:v>
      </x:c>
    </x:row>
    <x:row r="14" ht="22" customHeight="1">
      <x:c r="A14" s="86" t="s">
        <x:v>88</x:v>
      </x:c>
      <x:c r="B14" s="86" t="s">
        <x:v>89</x:v>
      </x:c>
      <x:c r="C14" s="86" t="s">
        <x:v>90</x:v>
      </x:c>
      <x:c r="D14" s="86" t="s">
        <x:v>91</x:v>
      </x:c>
    </x:row>
    <x:row r="15" ht="22" customHeight="1">
      <x:c r="A15" s="83" t="s">
        <x:v>92</x:v>
      </x:c>
      <x:c r="B15" s="83" t="s">
        <x:v>93</x:v>
      </x:c>
      <x:c r="C15" s="83" t="str">
        <x:v>D-06 선택</x:v>
      </x:c>
      <x:c r="D15" s="83" t="s">
        <x:v>94</x:v>
      </x:c>
    </x:row>
    <x:row r="16" ht="22" customHeight="1">
      <x:c r="A16" s="86" t="s">
        <x:v>95</x:v>
      </x:c>
      <x:c r="B16" s="86" t="s">
        <x:v>96</x:v>
      </x:c>
      <x:c r="C16" s="86" t="s">
        <x:v>97</x:v>
      </x:c>
      <x:c r="D16" s="86" t="s">
        <x:v>98</x:v>
      </x:c>
    </x:row>
    <x:row r="17" ht="22" customHeight="1">
      <x:c r="A17" s="83" t="s">
        <x:v>99</x:v>
      </x:c>
      <x:c r="B17" s="83" t="s">
        <x:v>100</x:v>
      </x:c>
      <x:c r="C17" s="83" t="s">
        <x:v>101</x:v>
      </x:c>
      <x:c r="D17" s="83" t="s">
        <x:v>102</x:v>
      </x:c>
    </x:row>
    <x:row r="18" ht="22" customHeight="1">
      <x:c r="A18" s="86" t="str">
        <x:v>완료 / 광고 보류</x:v>
      </x:c>
      <x:c r="B18" s="86" t="s">
        <x:v>79</x:v>
      </x:c>
      <x:c r="C18" s="86" t="str">
        <x:v>D-10 W-07 / D-08 제외</x:v>
      </x:c>
      <x:c r="D18" s="86" t="s">
        <x:v>79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B7DD8"/>
  </x:sheetPr>
  <x:sheetViews>
    <x:sheetView showGridLines="0" workbookViewId="0">
      <x:pane ySplit="4" topLeftCell="A5" activePane="bottomLeft" state="frozen"/>
    </x:sheetView>
  </x:sheetViews>
  <x:sheetFormatPr defaultRowHeight="16.5"/>
  <x:cols>
    <x:col min="1" max="1" width="9" customWidth="1"/>
    <x:col min="2" max="2" width="6" customWidth="1"/>
    <x:col min="3" max="3" width="14" customWidth="1"/>
    <x:col min="4" max="4" width="22" customWidth="1"/>
    <x:col min="5" max="5" width="20" customWidth="1"/>
    <x:col min="6" max="7" width="13" customWidth="1"/>
    <x:col min="8" max="8" width="9" customWidth="1"/>
    <x:col min="9" max="9" width="12" customWidth="1"/>
    <x:col min="10" max="10" width="14" customWidth="1"/>
    <x:col min="11" max="11" width="15" customWidth="1"/>
    <x:col min="12" max="12" width="18" customWidth="1"/>
  </x:cols>
  <x:sheetData>
    <x:row r="1" ht="34" customHeight="1">
      <x:c r="A1" s="78" t="s">
        <x:v>6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62" customHeight="1">
      <x:c r="A2" s="80" t="str">
        <x:v>베타 개정 · 30개 ID 보존 / 활성 28개. 폐기: 행은 노출·지급·체인에서 제외. 현재 런타임 ID 1~4와 이관 필요.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</x:row>
    <x:row r="4" ht="22" customHeight="1">
      <x:c r="A4" s="81" t="s">
        <x:v>103</x:v>
      </x:c>
      <x:c r="B4" s="81" t="s">
        <x:v>104</x:v>
      </x:c>
      <x:c r="C4" s="81" t="s">
        <x:v>105</x:v>
      </x:c>
      <x:c r="D4" s="81" t="s">
        <x:v>106</x:v>
      </x:c>
      <x:c r="E4" s="81" t="s">
        <x:v>107</x:v>
      </x:c>
      <x:c r="F4" s="81" t="s">
        <x:v>108</x:v>
      </x:c>
      <x:c r="G4" s="81" t="s">
        <x:v>109</x:v>
      </x:c>
      <x:c r="H4" s="81" t="s">
        <x:v>110</x:v>
      </x:c>
      <x:c r="I4" s="81" t="s">
        <x:v>111</x:v>
      </x:c>
      <x:c r="J4" s="81" t="s">
        <x:v>112</x:v>
      </x:c>
      <x:c r="K4" s="81" t="s">
        <x:v>113</x:v>
      </x:c>
      <x:c r="L4" s="81" t="s">
        <x:v>114</x:v>
      </x:c>
    </x:row>
    <x:row r="5" ht="28" customHeight="1">
      <x:c r="A5" s="133">
        <x:v>10001</x:v>
      </x:c>
      <x:c r="B5" s="82" t="s">
        <x:v>115</x:v>
      </x:c>
      <x:c r="C5" s="83" t="s">
        <x:v>116</x:v>
      </x:c>
      <x:c r="D5" s="83" t="s">
        <x:v>117</x:v>
      </x:c>
      <x:c r="E5" s="83" t="s">
        <x:v>118</x:v>
      </x:c>
      <x:c r="F5" s="82" t="s">
        <x:v>119</x:v>
      </x:c>
      <x:c r="G5" s="136">
        <x:v>8590000129</x:v>
      </x:c>
      <x:c r="H5" s="136">
        <x:v>1</x:v>
      </x:c>
      <x:c r="I5" s="133">
        <x:v>10002</x:v>
      </x:c>
      <x:c r="J5" s="133">
        <x:v>1001</x:v>
      </x:c>
      <x:c r="K5" s="82" t="s">
        <x:v>120</x:v>
      </x:c>
      <x:c r="L5" s="83" t="str">
        <x:v>베타: 스냅샷·누적 저장과 보상 연결 적용 필요</x:v>
      </x:c>
    </x:row>
    <x:row r="6" ht="28" customHeight="1">
      <x:c r="A6" s="134">
        <x:v>10002</x:v>
      </x:c>
      <x:c r="B6" s="85" t="s">
        <x:v>67</x:v>
      </x:c>
      <x:c r="C6" s="86" t="s">
        <x:v>121</x:v>
      </x:c>
      <x:c r="D6" s="86" t="s">
        <x:v>122</x:v>
      </x:c>
      <x:c r="E6" s="86" t="s">
        <x:v>123</x:v>
      </x:c>
      <x:c r="F6" s="85" t="str">
        <x:v>LifetimeTotal</x:v>
      </x:c>
      <x:c r="G6" s="137">
        <x:v>0</x:v>
      </x:c>
      <x:c r="H6" s="137">
        <x:v>20</x:v>
      </x:c>
      <x:c r="I6" s="134">
        <x:v>10003</x:v>
      </x:c>
      <x:c r="J6" s="134">
        <x:v>1001</x:v>
      </x:c>
      <x:c r="K6" s="85" t="s">
        <x:v>120</x:v>
      </x:c>
      <x:c r="L6" s="86" t="str">
        <x:v>베타: 스냅샷·누적 저장과 보상 연결 적용 필요</x:v>
      </x:c>
    </x:row>
    <x:row r="7" ht="28" customHeight="1">
      <x:c r="A7" s="133">
        <x:v>10003</x:v>
      </x:c>
      <x:c r="B7" s="82" t="s">
        <x:v>124</x:v>
      </x:c>
      <x:c r="C7" s="83" t="s">
        <x:v>125</x:v>
      </x:c>
      <x:c r="D7" s="83" t="str">
        <x:v>공격력 강화 레벨 3 달성</x:v>
      </x:c>
      <x:c r="E7" s="83" t="s">
        <x:v>126</x:v>
      </x:c>
      <x:c r="F7" s="82" t="str">
        <x:v>CurrentState</x:v>
      </x:c>
      <x:c r="G7" s="136">
        <x:v>1</x:v>
      </x:c>
      <x:c r="H7" s="136">
        <x:v>3</x:v>
      </x:c>
      <x:c r="I7" s="133">
        <x:v>10004</x:v>
      </x:c>
      <x:c r="J7" s="133">
        <x:v>1001</x:v>
      </x:c>
      <x:c r="K7" s="82" t="s">
        <x:v>127</x:v>
      </x:c>
      <x:c r="L7" s="83" t="str">
        <x:v>베타: 스냅샷·누적 저장과 보상 연결 적용 필요</x:v>
      </x:c>
    </x:row>
    <x:row r="8" ht="28" customHeight="1">
      <x:c r="A8" s="134">
        <x:v>10004</x:v>
      </x:c>
      <x:c r="B8" s="85" t="s">
        <x:v>128</x:v>
      </x:c>
      <x:c r="C8" s="86" t="s">
        <x:v>129</x:v>
      </x:c>
      <x:c r="D8" s="86" t="str">
        <x:v>체력 강화 레벨 3 달성</x:v>
      </x:c>
      <x:c r="E8" s="86" t="s">
        <x:v>126</x:v>
      </x:c>
      <x:c r="F8" s="85" t="str">
        <x:v>CurrentState</x:v>
      </x:c>
      <x:c r="G8" s="137">
        <x:v>2</x:v>
      </x:c>
      <x:c r="H8" s="137">
        <x:v>3</x:v>
      </x:c>
      <x:c r="I8" s="134">
        <x:v>10005</x:v>
      </x:c>
      <x:c r="J8" s="134">
        <x:v>1001</x:v>
      </x:c>
      <x:c r="K8" s="85" t="s">
        <x:v>127</x:v>
      </x:c>
      <x:c r="L8" s="86" t="str">
        <x:v>베타: 스냅샷·누적 저장과 보상 연결 적용 필요</x:v>
      </x:c>
    </x:row>
    <x:row r="9" ht="28" customHeight="1">
      <x:c r="A9" s="133">
        <x:v>10005</x:v>
      </x:c>
      <x:c r="B9" s="82" t="s">
        <x:v>130</x:v>
      </x:c>
      <x:c r="C9" s="83" t="s">
        <x:v>131</x:v>
      </x:c>
      <x:c r="D9" s="83" t="s">
        <x:v>132</x:v>
      </x:c>
      <x:c r="E9" s="83" t="s">
        <x:v>118</x:v>
      </x:c>
      <x:c r="F9" s="82" t="s">
        <x:v>119</x:v>
      </x:c>
      <x:c r="G9" s="136">
        <x:v>8590000131</x:v>
      </x:c>
      <x:c r="H9" s="136">
        <x:v>1</x:v>
      </x:c>
      <x:c r="I9" s="133">
        <x:v>10006</x:v>
      </x:c>
      <x:c r="J9" s="133">
        <x:v>1001</x:v>
      </x:c>
      <x:c r="K9" s="82" t="s">
        <x:v>120</x:v>
      </x:c>
      <x:c r="L9" s="83" t="str">
        <x:v>베타: 스냅샷·누적 저장과 보상 연결 적용 필요</x:v>
      </x:c>
    </x:row>
    <x:row r="10" ht="28" customHeight="1">
      <x:c r="A10" s="134">
        <x:v>10006</x:v>
      </x:c>
      <x:c r="B10" s="85" t="s">
        <x:v>133</x:v>
      </x:c>
      <x:c r="C10" s="86" t="s">
        <x:v>134</x:v>
      </x:c>
      <x:c r="D10" s="86" t="s">
        <x:v>135</x:v>
      </x:c>
      <x:c r="E10" s="86" t="s">
        <x:v>136</x:v>
      </x:c>
      <x:c r="F10" s="85" t="str">
        <x:v>LifetimeTotal</x:v>
      </x:c>
      <x:c r="G10" s="137">
        <x:v>1</x:v>
      </x:c>
      <x:c r="H10" s="137">
        <x:v>1</x:v>
      </x:c>
      <x:c r="I10" s="134">
        <x:v>10007</x:v>
      </x:c>
      <x:c r="J10" s="134">
        <x:v>1002</x:v>
      </x:c>
      <x:c r="K10" s="85" t="s">
        <x:v>137</x:v>
      </x:c>
      <x:c r="L10" s="86" t="str">
        <x:v>베타: 스냅샷·누적 저장과 보상 연결 적용 필요</x:v>
      </x:c>
    </x:row>
    <x:row r="11" ht="28" customHeight="1">
      <x:c r="A11" s="133">
        <x:v>10007</x:v>
      </x:c>
      <x:c r="B11" s="82" t="s">
        <x:v>138</x:v>
      </x:c>
      <x:c r="C11" s="83" t="s">
        <x:v>139</x:v>
      </x:c>
      <x:c r="D11" s="83" t="s">
        <x:v>140</x:v>
      </x:c>
      <x:c r="E11" s="83" t="s">
        <x:v>141</x:v>
      </x:c>
      <x:c r="F11" s="82" t="s">
        <x:v>119</x:v>
      </x:c>
      <x:c r="G11" s="136">
        <x:v>0</x:v>
      </x:c>
      <x:c r="H11" s="136">
        <x:v>1</x:v>
      </x:c>
      <x:c r="I11" s="133">
        <x:v>10008</x:v>
      </x:c>
      <x:c r="J11" s="133">
        <x:v>1002</x:v>
      </x:c>
      <x:c r="K11" s="82" t="s">
        <x:v>142</x:v>
      </x:c>
      <x:c r="L11" s="83" t="str">
        <x:v>베타: 스냅샷·누적 저장과 보상 연결 적용 필요</x:v>
      </x:c>
    </x:row>
    <x:row r="12" ht="28" customHeight="1">
      <x:c r="A12" s="134">
        <x:v>10008</x:v>
      </x:c>
      <x:c r="B12" s="85" t="s">
        <x:v>143</x:v>
      </x:c>
      <x:c r="C12" s="86" t="s">
        <x:v>144</x:v>
      </x:c>
      <x:c r="D12" s="86" t="s">
        <x:v>145</x:v>
      </x:c>
      <x:c r="E12" s="86" t="s">
        <x:v>118</x:v>
      </x:c>
      <x:c r="F12" s="85" t="s">
        <x:v>119</x:v>
      </x:c>
      <x:c r="G12" s="137">
        <x:v>8590000133</x:v>
      </x:c>
      <x:c r="H12" s="137">
        <x:v>1</x:v>
      </x:c>
      <x:c r="I12" s="134">
        <x:v>10009</x:v>
      </x:c>
      <x:c r="J12" s="134">
        <x:v>1001</x:v>
      </x:c>
      <x:c r="K12" s="85" t="s">
        <x:v>120</x:v>
      </x:c>
      <x:c r="L12" s="86" t="str">
        <x:v>베타: 스냅샷·누적 저장과 보상 연결 적용 필요</x:v>
      </x:c>
    </x:row>
    <x:row r="13" ht="28" customHeight="1">
      <x:c r="A13" s="133">
        <x:v>10009</x:v>
      </x:c>
      <x:c r="B13" s="82" t="s">
        <x:v>146</x:v>
      </x:c>
      <x:c r="C13" s="83" t="s">
        <x:v>147</x:v>
      </x:c>
      <x:c r="D13" s="83" t="str">
        <x:v>공격력 강화 레벨 10 달성</x:v>
      </x:c>
      <x:c r="E13" s="83" t="s">
        <x:v>126</x:v>
      </x:c>
      <x:c r="F13" s="82" t="str">
        <x:v>CurrentState</x:v>
      </x:c>
      <x:c r="G13" s="136">
        <x:v>1</x:v>
      </x:c>
      <x:c r="H13" s="136">
        <x:v>10</x:v>
      </x:c>
      <x:c r="I13" s="133">
        <x:v>10010</x:v>
      </x:c>
      <x:c r="J13" s="133">
        <x:v>1002</x:v>
      </x:c>
      <x:c r="K13" s="82" t="s">
        <x:v>127</x:v>
      </x:c>
      <x:c r="L13" s="83" t="str">
        <x:v>베타: 스냅샷·누적 저장과 보상 연결 적용 필요</x:v>
      </x:c>
    </x:row>
    <x:row r="14" ht="40" customHeight="1">
      <x:c r="A14" s="134">
        <x:v>10010</x:v>
      </x:c>
      <x:c r="B14" s="85" t="s">
        <x:v>148</x:v>
      </x:c>
      <x:c r="C14" s="86" t="s">
        <x:v>149</x:v>
      </x:c>
      <x:c r="D14" s="86" t="str">
        <x:v>스테이지 1-11 보스 클리어</x:v>
      </x:c>
      <x:c r="E14" s="86" t="s">
        <x:v>118</x:v>
      </x:c>
      <x:c r="F14" s="85" t="s">
        <x:v>119</x:v>
      </x:c>
      <x:c r="G14" s="137" t="n">
        <x:v>8590000139</x:v>
      </x:c>
      <x:c r="H14" s="137">
        <x:v>1</x:v>
      </x:c>
      <x:c r="I14" s="134">
        <x:v>10011</x:v>
      </x:c>
      <x:c r="J14" s="134">
        <x:v>1004</x:v>
      </x:c>
      <x:c r="K14" s="85" t="s">
        <x:v>120</x:v>
      </x:c>
      <x:c r="L14" s="86" t="str">
        <x:v>베타: 구 1-10 보스 오기 수정. 첫 클리어 파편 40은 별도 마일스톤 지급</x:v>
      </x:c>
    </x:row>
    <x:row r="15" ht="28" customHeight="1">
      <x:c r="A15" s="133">
        <x:v>10011</x:v>
      </x:c>
      <x:c r="B15" s="82" t="s">
        <x:v>150</x:v>
      </x:c>
      <x:c r="C15" s="83" t="s">
        <x:v>151</x:v>
      </x:c>
      <x:c r="D15" s="83" t="str">
        <x:v>현재 보유 장비 3개 달성</x:v>
      </x:c>
      <x:c r="E15" s="83" t="s">
        <x:v>152</x:v>
      </x:c>
      <x:c r="F15" s="82" t="str">
        <x:v>CurrentState</x:v>
      </x:c>
      <x:c r="G15" s="136">
        <x:v>0</x:v>
      </x:c>
      <x:c r="H15" s="136">
        <x:v>3</x:v>
      </x:c>
      <x:c r="I15" s="133">
        <x:v>10012</x:v>
      </x:c>
      <x:c r="J15" s="133">
        <x:v>1002</x:v>
      </x:c>
      <x:c r="K15" s="82" t="s">
        <x:v>120</x:v>
      </x:c>
      <x:c r="L15" s="83" t="str">
        <x:v>베타: 장착 포함 보유 수량. 앞서 얻은 장비도 인정</x:v>
      </x:c>
    </x:row>
    <x:row r="16" ht="52" customHeight="1">
      <x:c r="A16" s="134">
        <x:v>10012</x:v>
      </x:c>
      <x:c r="B16" s="85" t="s">
        <x:v>153</x:v>
      </x:c>
      <x:c r="C16" s="86" t="str">
        <x:v>두 병사의 무기</x:v>
      </x:c>
      <x:c r="D16" s="86" t="str">
        <x:v>왕국군 2명에게 무기 장착</x:v>
      </x:c>
      <x:c r="E16" s="86" t="str">
        <x:v>EquipmentEquip</x:v>
      </x:c>
      <x:c r="F16" s="85" t="str">
        <x:v>CurrentState</x:v>
      </x:c>
      <x:c r="G16" s="137">
        <x:v>0</x:v>
      </x:c>
      <x:c r="H16" s="137" t="n">
        <x:v>2</x:v>
      </x:c>
      <x:c r="I16" s="134">
        <x:v>10013</x:v>
      </x:c>
      <x:c r="J16" s="134">
        <x:v>1002</x:v>
      </x:c>
      <x:c r="K16" s="85" t="s">
        <x:v>137</x:v>
      </x:c>
      <x:c r="L16" s="86" t="str">
        <x:v>베타 대체: 폐기된 합성 목표를 장착 2명으로 변경. 기존 완료 기록·보상 중복 지급 금지</x:v>
      </x:c>
    </x:row>
    <x:row r="17" ht="52" customHeight="1">
      <x:c r="A17" s="133">
        <x:v>10013</x:v>
      </x:c>
      <x:c r="B17" s="82" t="s">
        <x:v>154</x:v>
      </x:c>
      <x:c r="C17" s="83" t="s">
        <x:v>155</x:v>
      </x:c>
      <x:c r="D17" s="83" t="s">
        <x:v>156</x:v>
      </x:c>
      <x:c r="E17" s="83" t="s">
        <x:v>118</x:v>
      </x:c>
      <x:c r="F17" s="82" t="s">
        <x:v>119</x:v>
      </x:c>
      <x:c r="G17" s="136">
        <x:v>8590065665</x:v>
      </x:c>
      <x:c r="H17" s="136">
        <x:v>1</x:v>
      </x:c>
      <x:c r="I17" s="133">
        <x:v>10014</x:v>
      </x:c>
      <x:c r="J17" s="133" t="n">
        <x:v>1005</x:v>
      </x:c>
      <x:c r="K17" s="82" t="s">
        <x:v>120</x:v>
      </x:c>
      <x:c r="L17" s="83" t="str">
        <x:v>베타: 파편 40 지급. 첫 보스 40 + 이 보상 40 + 첫 전직 보상 40으로 3인 전직 가능</x:v>
      </x:c>
    </x:row>
    <x:row r="18" ht="28" customHeight="1">
      <x:c r="A18" s="134">
        <x:v>10014</x:v>
      </x:c>
      <x:c r="B18" s="85" t="s">
        <x:v>157</x:v>
      </x:c>
      <x:c r="C18" s="86" t="s">
        <x:v>158</x:v>
      </x:c>
      <x:c r="D18" s="86" t="s">
        <x:v>159</x:v>
      </x:c>
      <x:c r="E18" s="86" t="s">
        <x:v>160</x:v>
      </x:c>
      <x:c r="F18" s="85" t="s">
        <x:v>119</x:v>
      </x:c>
      <x:c r="G18" s="137">
        <x:v>1</x:v>
      </x:c>
      <x:c r="H18" s="137">
        <x:v>1</x:v>
      </x:c>
      <x:c r="I18" s="134">
        <x:v>10015</x:v>
      </x:c>
      <x:c r="J18" s="134">
        <x:v>1005</x:v>
      </x:c>
      <x:c r="K18" s="85" t="s">
        <x:v>137</x:v>
      </x:c>
      <x:c r="L18" s="86" t="str">
        <x:v>베타: 스냅샷·누적 저장과 보상 연결 적용 필요</x:v>
      </x:c>
    </x:row>
    <x:row r="19" ht="40" customHeight="1">
      <x:c r="A19" s="133">
        <x:v>10015</x:v>
      </x:c>
      <x:c r="B19" s="82" t="s">
        <x:v>161</x:v>
      </x:c>
      <x:c r="C19" s="83" t="s">
        <x:v>162</x:v>
      </x:c>
      <x:c r="D19" s="83" t="s">
        <x:v>163</x:v>
      </x:c>
      <x:c r="E19" s="83" t="s">
        <x:v>160</x:v>
      </x:c>
      <x:c r="F19" s="82" t="s">
        <x:v>119</x:v>
      </x:c>
      <x:c r="G19" s="136">
        <x:v>1</x:v>
      </x:c>
      <x:c r="H19" s="136">
        <x:v>3</x:v>
      </x:c>
      <x:c r="I19" s="133">
        <x:v>10016</x:v>
      </x:c>
      <x:c r="J19" s="133">
        <x:v>1005</x:v>
      </x:c>
      <x:c r="K19" s="82" t="s">
        <x:v>120</x:v>
      </x:c>
      <x:c r="L19" s="83" t="str">
        <x:v>베타: 차수 1 이상인 출전 인원 수. 명명 파티 보너스 해금 조건 아님</x:v>
      </x:c>
    </x:row>
    <x:row r="20" ht="28" customHeight="1">
      <x:c r="A20" s="134">
        <x:v>10016</x:v>
      </x:c>
      <x:c r="B20" s="85" t="s">
        <x:v>164</x:v>
      </x:c>
      <x:c r="C20" s="86" t="s">
        <x:v>165</x:v>
      </x:c>
      <x:c r="D20" s="86" t="s">
        <x:v>166</x:v>
      </x:c>
      <x:c r="E20" s="86" t="s">
        <x:v>136</x:v>
      </x:c>
      <x:c r="F20" s="85" t="str">
        <x:v>LifetimeTotal</x:v>
      </x:c>
      <x:c r="G20" s="137">
        <x:v>2</x:v>
      </x:c>
      <x:c r="H20" s="137">
        <x:v>1</x:v>
      </x:c>
      <x:c r="I20" s="134">
        <x:v>10017</x:v>
      </x:c>
      <x:c r="J20" s="134">
        <x:v>1006</x:v>
      </x:c>
      <x:c r="K20" s="85" t="s">
        <x:v>137</x:v>
      </x:c>
      <x:c r="L20" s="86" t="str">
        <x:v>베타: 스냅샷·누적 저장과 보상 연결 적용 필요</x:v>
      </x:c>
    </x:row>
    <x:row r="21" ht="28" customHeight="1">
      <x:c r="A21" s="133">
        <x:v>10017</x:v>
      </x:c>
      <x:c r="B21" s="82" t="s">
        <x:v>167</x:v>
      </x:c>
      <x:c r="C21" s="83" t="s">
        <x:v>168</x:v>
      </x:c>
      <x:c r="D21" s="83" t="s">
        <x:v>169</x:v>
      </x:c>
      <x:c r="E21" s="83" t="s">
        <x:v>170</x:v>
      </x:c>
      <x:c r="F21" s="82" t="s">
        <x:v>119</x:v>
      </x:c>
      <x:c r="G21" s="136">
        <x:v>0</x:v>
      </x:c>
      <x:c r="H21" s="136">
        <x:v>1</x:v>
      </x:c>
      <x:c r="I21" s="133">
        <x:v>10018</x:v>
      </x:c>
      <x:c r="J21" s="133">
        <x:v>1006</x:v>
      </x:c>
      <x:c r="K21" s="82" t="s">
        <x:v>142</x:v>
      </x:c>
      <x:c r="L21" s="83" t="str">
        <x:v>베타: 스냅샷·누적 저장과 보상 연결 적용 필요</x:v>
      </x:c>
    </x:row>
    <x:row r="22" ht="40" customHeight="1">
      <x:c r="A22" s="134">
        <x:v>10018</x:v>
      </x:c>
      <x:c r="B22" s="85" t="s">
        <x:v>171</x:v>
      </x:c>
      <x:c r="C22" s="86" t="s">
        <x:v>172</x:v>
      </x:c>
      <x:c r="D22" s="86" t="str">
        <x:v>보유 마탑 강화 레벨 합계 3 달성</x:v>
      </x:c>
      <x:c r="E22" s="86" t="s">
        <x:v>173</x:v>
      </x:c>
      <x:c r="F22" s="85" t="str">
        <x:v>CurrentState</x:v>
      </x:c>
      <x:c r="G22" s="137">
        <x:v>0</x:v>
      </x:c>
      <x:c r="H22" s="137">
        <x:v>3</x:v>
      </x:c>
      <x:c r="I22" s="134">
        <x:v>10019</x:v>
      </x:c>
      <x:c r="J22" s="134">
        <x:v>1006</x:v>
      </x:c>
      <x:c r="K22" s="85" t="s">
        <x:v>127</x:v>
      </x:c>
      <x:c r="L22" s="86" t="str">
        <x:v>베타: 현재 합계. 초기화·재강화로 누적 반복 파밍 금지</x:v>
      </x:c>
    </x:row>
    <x:row r="23" ht="52" customHeight="1">
      <x:c r="A23" s="133">
        <x:v>10019</x:v>
      </x:c>
      <x:c r="B23" s="82" t="s">
        <x:v>174</x:v>
      </x:c>
      <x:c r="C23" s="83" t="s">
        <x:v>175</x:v>
      </x:c>
      <x:c r="D23" s="83" t="s">
        <x:v>176</x:v>
      </x:c>
      <x:c r="E23" s="83" t="s">
        <x:v>118</x:v>
      </x:c>
      <x:c r="F23" s="82" t="s">
        <x:v>119</x:v>
      </x:c>
      <x:c r="G23" s="136">
        <x:v>8590065667</x:v>
      </x:c>
      <x:c r="H23" s="136">
        <x:v>1</x:v>
      </x:c>
      <x:c r="I23" s="133">
        <x:v>10020</x:v>
      </x:c>
      <x:c r="J23" s="133">
        <x:v>1002</x:v>
      </x:c>
      <x:c r="K23" s="82" t="s">
        <x:v>120</x:v>
      </x:c>
      <x:c r="L23" s="83" t="str">
        <x:v>베타: 최초 2-3 클리어 시 얼음송곳 스킬 별도 지급. 뽑기 운으로 2개 장착이 막히지 않음</x:v>
      </x:c>
    </x:row>
    <x:row r="24" ht="40" customHeight="1">
      <x:c r="A24" s="134">
        <x:v>10020</x:v>
      </x:c>
      <x:c r="B24" s="85" t="s">
        <x:v>177</x:v>
      </x:c>
      <x:c r="C24" s="86" t="s">
        <x:v>178</x:v>
      </x:c>
      <x:c r="D24" s="86" t="s">
        <x:v>179</x:v>
      </x:c>
      <x:c r="E24" s="86" t="s">
        <x:v>170</x:v>
      </x:c>
      <x:c r="F24" s="85" t="s">
        <x:v>119</x:v>
      </x:c>
      <x:c r="G24" s="137">
        <x:v>0</x:v>
      </x:c>
      <x:c r="H24" s="137">
        <x:v>2</x:v>
      </x:c>
      <x:c r="I24" s="134">
        <x:v>10021</x:v>
      </x:c>
      <x:c r="J24" s="134">
        <x:v>1006</x:v>
      </x:c>
      <x:c r="K24" s="85" t="s">
        <x:v>120</x:v>
      </x:c>
      <x:c r="L24" s="86" t="str">
        <x:v>베타: 서로 다른 스킬 2개. 슬롯 총 5개; 활성 스킬 3종</x:v>
      </x:c>
    </x:row>
    <x:row r="25" ht="28" customHeight="1">
      <x:c r="A25" s="133">
        <x:v>10021</x:v>
      </x:c>
      <x:c r="B25" s="82" t="s">
        <x:v>180</x:v>
      </x:c>
      <x:c r="C25" s="83" t="s">
        <x:v>181</x:v>
      </x:c>
      <x:c r="D25" s="83" t="s">
        <x:v>182</x:v>
      </x:c>
      <x:c r="E25" s="83" t="s">
        <x:v>118</x:v>
      </x:c>
      <x:c r="F25" s="82" t="s">
        <x:v>119</x:v>
      </x:c>
      <x:c r="G25" s="136">
        <x:v>8590065669</x:v>
      </x:c>
      <x:c r="H25" s="136">
        <x:v>1</x:v>
      </x:c>
      <x:c r="I25" s="133">
        <x:v>10022</x:v>
      </x:c>
      <x:c r="J25" s="133">
        <x:v>1002</x:v>
      </x:c>
      <x:c r="K25" s="82" t="s">
        <x:v>120</x:v>
      </x:c>
      <x:c r="L25" s="83" t="str">
        <x:v>베타: 스냅샷·누적 저장과 보상 연결 적용 필요</x:v>
      </x:c>
    </x:row>
    <x:row r="26" ht="28" customHeight="1">
      <x:c r="A26" s="134">
        <x:v>10022</x:v>
      </x:c>
      <x:c r="B26" s="85" t="s">
        <x:v>183</x:v>
      </x:c>
      <x:c r="C26" s="86" t="s">
        <x:v>184</x:v>
      </x:c>
      <x:c r="D26" s="86" t="s">
        <x:v>185</x:v>
      </x:c>
      <x:c r="E26" s="86" t="s">
        <x:v>186</x:v>
      </x:c>
      <x:c r="F26" s="85" t="str">
        <x:v>LifetimeTotal</x:v>
      </x:c>
      <x:c r="G26" s="137">
        <x:v>8858435585</x:v>
      </x:c>
      <x:c r="H26" s="137">
        <x:v>1</x:v>
      </x:c>
      <x:c r="I26" s="134">
        <x:v>10023</x:v>
      </x:c>
      <x:c r="J26" s="134">
        <x:v>1002</x:v>
      </x:c>
      <x:c r="K26" s="85" t="s">
        <x:v>120</x:v>
      </x:c>
      <x:c r="L26" s="86" t="str">
        <x:v>베타: 스냅샷·누적 저장과 보상 연결 적용 필요</x:v>
      </x:c>
    </x:row>
    <x:row r="27" ht="28" customHeight="1">
      <x:c r="A27" s="133">
        <x:v>10023</x:v>
      </x:c>
      <x:c r="B27" s="82" t="s">
        <x:v>187</x:v>
      </x:c>
      <x:c r="C27" s="83" t="s">
        <x:v>188</x:v>
      </x:c>
      <x:c r="D27" s="83" t="s">
        <x:v>189</x:v>
      </x:c>
      <x:c r="E27" s="83" t="s">
        <x:v>190</x:v>
      </x:c>
      <x:c r="F27" s="82" t="s">
        <x:v>119</x:v>
      </x:c>
      <x:c r="G27" s="136">
        <x:v>8858435585</x:v>
      </x:c>
      <x:c r="H27" s="136">
        <x:v>1</x:v>
      </x:c>
      <x:c r="I27" s="133">
        <x:v>10024</x:v>
      </x:c>
      <x:c r="J27" s="133">
        <x:v>1003</x:v>
      </x:c>
      <x:c r="K27" s="82" t="s">
        <x:v>120</x:v>
      </x:c>
      <x:c r="L27" s="83" t="str">
        <x:v>베타: 스냅샷·누적 저장과 보상 연결 적용 필요</x:v>
      </x:c>
    </x:row>
    <x:row r="28" ht="28" customHeight="1">
      <x:c r="A28" s="134">
        <x:v>10024</x:v>
      </x:c>
      <x:c r="B28" s="85" t="s">
        <x:v>191</x:v>
      </x:c>
      <x:c r="C28" s="86" t="s">
        <x:v>192</x:v>
      </x:c>
      <x:c r="D28" s="86" t="s">
        <x:v>193</x:v>
      </x:c>
      <x:c r="E28" s="86" t="s">
        <x:v>190</x:v>
      </x:c>
      <x:c r="F28" s="85" t="s">
        <x:v>119</x:v>
      </x:c>
      <x:c r="G28" s="137">
        <x:v>9126871041</x:v>
      </x:c>
      <x:c r="H28" s="137">
        <x:v>1</x:v>
      </x:c>
      <x:c r="I28" s="134">
        <x:v>10025</x:v>
      </x:c>
      <x:c r="J28" s="134">
        <x:v>1003</x:v>
      </x:c>
      <x:c r="K28" s="85" t="s">
        <x:v>120</x:v>
      </x:c>
      <x:c r="L28" s="86" t="str">
        <x:v>베타: 스냅샷·누적 저장과 보상 연결 적용 필요</x:v>
      </x:c>
    </x:row>
    <x:row r="29" ht="52" customHeight="1">
      <x:c r="A29" s="133">
        <x:v>10025</x:v>
      </x:c>
      <x:c r="B29" s="82" t="s">
        <x:v>194</x:v>
      </x:c>
      <x:c r="C29" s="83" t="s">
        <x:v>195</x:v>
      </x:c>
      <x:c r="D29" s="83" t="str">
        <x:v>스테이지 2-11 보스 클리어</x:v>
      </x:c>
      <x:c r="E29" s="83" t="s">
        <x:v>118</x:v>
      </x:c>
      <x:c r="F29" s="82" t="s">
        <x:v>119</x:v>
      </x:c>
      <x:c r="G29" s="136" t="n">
        <x:v>8590065675</x:v>
      </x:c>
      <x:c r="H29" s="136">
        <x:v>1</x:v>
      </x:c>
      <x:c r="I29" s="133" t="n">
        <x:v>10028</x:v>
      </x:c>
      <x:c r="J29" s="133">
        <x:v>1004</x:v>
      </x:c>
      <x:c r="K29" s="82" t="s">
        <x:v>120</x:v>
      </x:c>
      <x:c r="L29" s="83" t="str">
        <x:v>베타: 1-10 체계 수정. 최초 클리어 라이트닝 파편 1 별도 지급. 폐기 G26·G27을 건너뜀</x:v>
      </x:c>
    </x:row>
    <x:row r="30" ht="52" customHeight="1">
      <x:c r="A30" s="135">
        <x:v>10026</x:v>
      </x:c>
      <x:c r="B30" s="89" t="s">
        <x:v>196</x:v>
      </x:c>
      <x:c r="C30" s="90" t="str">
        <x:v>[폐기] 신 스킬 장착</x:v>
      </x:c>
      <x:c r="D30" s="90" t="s">
        <x:v>197</x:v>
      </x:c>
      <x:c r="E30" s="90" t="s">
        <x:v>198</x:v>
      </x:c>
      <x:c r="F30" s="89" t="s">
        <x:v>119</x:v>
      </x:c>
      <x:c r="G30" s="138">
        <x:v>0</x:v>
      </x:c>
      <x:c r="H30" s="138">
        <x:v>1</x:v>
      </x:c>
      <x:c r="I30" s="135" t="n">
        <x:v>0</x:v>
      </x:c>
      <x:c r="J30" s="135" t="n">
        <x:v>0</x:v>
      </x:c>
      <x:c r="K30" s="89" t="str">
        <x:v>None</x:v>
      </x:c>
      <x:c r="L30" s="90" t="str">
        <x:v>폐기: 신 스킬 전면 삭제. ID는 이력용 예약이며 임포트·노출·완료 집계·보상에서 제외</x:v>
      </x:c>
    </x:row>
    <x:row r="31" ht="52" customHeight="1">
      <x:c r="A31" s="135">
        <x:v>10027</x:v>
      </x:c>
      <x:c r="B31" s="89" t="s">
        <x:v>199</x:v>
      </x:c>
      <x:c r="C31" s="90" t="str">
        <x:v>[폐기] 신 스킬 시전</x:v>
      </x:c>
      <x:c r="D31" s="90" t="s">
        <x:v>200</x:v>
      </x:c>
      <x:c r="E31" s="90" t="s">
        <x:v>201</x:v>
      </x:c>
      <x:c r="F31" s="89" t="s">
        <x:v>202</x:v>
      </x:c>
      <x:c r="G31" s="138">
        <x:v>0</x:v>
      </x:c>
      <x:c r="H31" s="138">
        <x:v>1</x:v>
      </x:c>
      <x:c r="I31" s="135" t="n">
        <x:v>0</x:v>
      </x:c>
      <x:c r="J31" s="135" t="n">
        <x:v>0</x:v>
      </x:c>
      <x:c r="K31" s="89" t="str">
        <x:v>None</x:v>
      </x:c>
      <x:c r="L31" s="90" t="str">
        <x:v>폐기: 신 스킬 전면 삭제. ID는 이력용 예약이며 임포트·노출·완료 집계·보상에서 제외</x:v>
      </x:c>
    </x:row>
    <x:row r="32" ht="40" customHeight="1">
      <x:c r="A32" s="134">
        <x:v>10028</x:v>
      </x:c>
      <x:c r="B32" s="85" t="s">
        <x:v>203</x:v>
      </x:c>
      <x:c r="C32" s="86" t="s">
        <x:v>204</x:v>
      </x:c>
      <x:c r="D32" s="86" t="s">
        <x:v>205</x:v>
      </x:c>
      <x:c r="E32" s="86" t="s">
        <x:v>206</x:v>
      </x:c>
      <x:c r="F32" s="85" t="s">
        <x:v>119</x:v>
      </x:c>
      <x:c r="G32" s="137">
        <x:v>0</x:v>
      </x:c>
      <x:c r="H32" s="137">
        <x:v>1</x:v>
      </x:c>
      <x:c r="I32" s="134">
        <x:v>10029</x:v>
      </x:c>
      <x:c r="J32" s="134">
        <x:v>1006</x:v>
      </x:c>
      <x:c r="K32" s="85" t="s">
        <x:v>120</x:v>
      </x:c>
      <x:c r="L32" s="86" t="str">
        <x:v>베타: 가장 높은 각성 단계. 1각 파편 1; 10각 누적 55</x:v>
      </x:c>
    </x:row>
    <x:row r="33" ht="40" customHeight="1">
      <x:c r="A33" s="133">
        <x:v>10029</x:v>
      </x:c>
      <x:c r="B33" s="82" t="s">
        <x:v>100</x:v>
      </x:c>
      <x:c r="C33" s="83" t="s">
        <x:v>207</x:v>
      </x:c>
      <x:c r="D33" s="83" t="s">
        <x:v>208</x:v>
      </x:c>
      <x:c r="E33" s="83" t="s">
        <x:v>209</x:v>
      </x:c>
      <x:c r="F33" s="82" t="s">
        <x:v>119</x:v>
      </x:c>
      <x:c r="G33" s="136">
        <x:v>0</x:v>
      </x:c>
      <x:c r="H33" s="136">
        <x:v>10</x:v>
      </x:c>
      <x:c r="I33" s="133">
        <x:v>10030</x:v>
      </x:c>
      <x:c r="J33" s="133">
        <x:v>1003</x:v>
      </x:c>
      <x:c r="K33" s="82" t="s">
        <x:v>120</x:v>
      </x:c>
      <x:c r="L33" s="83" t="str">
        <x:v>베타: 계정 레벨은 환생에도 보존. CurrentState 스냅샷</x:v>
      </x:c>
    </x:row>
    <x:row r="34" ht="40" customHeight="1">
      <x:c r="A34" s="134">
        <x:v>10030</x:v>
      </x:c>
      <x:c r="B34" s="85" t="s">
        <x:v>96</x:v>
      </x:c>
      <x:c r="C34" s="86" t="s">
        <x:v>210</x:v>
      </x:c>
      <x:c r="D34" s="86" t="s">
        <x:v>211</x:v>
      </x:c>
      <x:c r="E34" s="86" t="s">
        <x:v>212</x:v>
      </x:c>
      <x:c r="F34" s="85" t="str">
        <x:v>LifetimeTotal</x:v>
      </x:c>
      <x:c r="G34" s="137">
        <x:v>0</x:v>
      </x:c>
      <x:c r="H34" s="137">
        <x:v>1</x:v>
      </x:c>
      <x:c r="I34" s="134">
        <x:v>0</x:v>
      </x:c>
      <x:c r="J34" s="134">
        <x:v>1007</x:v>
      </x:c>
      <x:c r="K34" s="85" t="s">
        <x:v>137</x:v>
      </x:c>
      <x:c r="L34" s="86" t="str">
        <x:v>베타: 서버 환생 성공 1회. 재접속 중복 이벤트 제외; 유물 해금 없음</x:v>
      </x:c>
    </x:row>
  </x:sheetData>
  <x:mergeCells>
    <x:mergeCell ref="A2:L2"/>
    <x:mergeCell ref="A1:L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E9E7A"/>
  </x:sheetPr>
  <x:sheetViews>
    <x:sheetView showGridLines="0" workbookViewId="0">
      <x:pane ySplit="4" topLeftCell="A5" activePane="bottomLeft" state="frozen"/>
    </x:sheetView>
  </x:sheetViews>
  <x:sheetFormatPr defaultRowHeight="16.5"/>
  <x:cols>
    <x:col min="1" max="1" width="8" customWidth="1"/>
    <x:col min="2" max="2" width="10" customWidth="1"/>
    <x:col min="3" max="3" width="8" customWidth="1"/>
    <x:col min="4" max="4" width="24" customWidth="1"/>
    <x:col min="5" max="5" width="16" customWidth="1"/>
    <x:col min="6" max="6" width="13" customWidth="1"/>
    <x:col min="7" max="8" width="10" customWidth="1"/>
    <x:col min="9" max="9" width="14" customWidth="1"/>
    <x:col min="10" max="10" width="22" customWidth="1"/>
  </x:cols>
  <x:sheetData>
    <x:row r="1" ht="34" customHeight="1">
      <x:c r="A1" s="78" t="s">
        <x:v>213</x:v>
      </x:c>
      <x:c r="B1" s="88"/>
      <x:c r="C1" s="88"/>
      <x:c r="D1" s="88"/>
      <x:c r="E1" s="88"/>
      <x:c r="F1" s="88"/>
      <x:c r="G1" s="88"/>
      <x:c r="H1" s="88"/>
      <x:c r="I1" s="88"/>
      <x:c r="J1" s="88"/>
    </x:row>
    <x:row r="2" ht="62" customHeight="1">
      <x:c r="A2" s="80" t="str">
        <x:v>일일 10분 / 추가 20~30분 목표. 일일 5/7, 주간 5/6 완료 보상. 폐기·보류 행은 집계 제외. KST 일일 00:00·월요일 00:00 리셋.</x:v>
      </x:c>
      <x:c r="B2" s="88"/>
      <x:c r="C2" s="88"/>
      <x:c r="D2" s="88"/>
      <x:c r="E2" s="88"/>
      <x:c r="F2" s="88"/>
      <x:c r="G2" s="88"/>
      <x:c r="H2" s="88"/>
      <x:c r="I2" s="88"/>
      <x:c r="J2" s="88"/>
    </x:row>
    <x:row r="4" ht="22" customHeight="1">
      <x:c r="A4" s="81" t="s">
        <x:v>20</x:v>
      </x:c>
      <x:c r="B4" s="81" t="s">
        <x:v>103</x:v>
      </x:c>
      <x:c r="C4" s="81" t="s">
        <x:v>104</x:v>
      </x:c>
      <x:c r="D4" s="81" t="s">
        <x:v>106</x:v>
      </x:c>
      <x:c r="E4" s="81" t="s">
        <x:v>107</x:v>
      </x:c>
      <x:c r="F4" s="81" t="s">
        <x:v>108</x:v>
      </x:c>
      <x:c r="G4" s="81" t="s">
        <x:v>109</x:v>
      </x:c>
      <x:c r="H4" s="81" t="s">
        <x:v>110</x:v>
      </x:c>
      <x:c r="I4" s="81" t="s">
        <x:v>112</x:v>
      </x:c>
      <x:c r="J4" s="81" t="s">
        <x:v>114</x:v>
      </x:c>
    </x:row>
    <x:row r="5" ht="28" customHeight="1">
      <x:c r="A5" s="82" t="s">
        <x:v>9</x:v>
      </x:c>
      <x:c r="B5" s="133">
        <x:v>20001</x:v>
      </x:c>
      <x:c r="C5" s="82" t="s">
        <x:v>214</x:v>
      </x:c>
      <x:c r="D5" s="83" t="s">
        <x:v>215</x:v>
      </x:c>
      <x:c r="E5" s="83" t="s">
        <x:v>123</x:v>
      </x:c>
      <x:c r="F5" s="82" t="s">
        <x:v>202</x:v>
      </x:c>
      <x:c r="G5" s="136">
        <x:v>0</x:v>
      </x:c>
      <x:c r="H5" s="136">
        <x:v>200</x:v>
      </x:c>
      <x:c r="I5" s="133">
        <x:v>2001</x:v>
      </x:c>
      <x:c r="J5" s="83" t="str">
        <x:v>베타: 서버 승인 이벤트만 집계. 오프라인 가상 처치는 제외</x:v>
      </x:c>
    </x:row>
    <x:row r="6" ht="40" customHeight="1">
      <x:c r="A6" s="85" t="s">
        <x:v>9</x:v>
      </x:c>
      <x:c r="B6" s="134">
        <x:v>20002</x:v>
      </x:c>
      <x:c r="C6" s="85" t="s">
        <x:v>216</x:v>
      </x:c>
      <x:c r="D6" s="86" t="str">
        <x:v>보스 1회 처치</x:v>
      </x:c>
      <x:c r="E6" s="86" t="s">
        <x:v>217</x:v>
      </x:c>
      <x:c r="F6" s="85" t="s">
        <x:v>202</x:v>
      </x:c>
      <x:c r="G6" s="137">
        <x:v>0</x:v>
      </x:c>
      <x:c r="H6" s="137" t="n">
        <x:v>1</x:v>
      </x:c>
      <x:c r="I6" s="134">
        <x:v>2002</x:v>
      </x:c>
      <x:c r="J6" s="86" t="str">
        <x:v>베타: 메인 재도전 또는 루비 보스. 이미 깬 보스 무료 재도전 가능; 미믹 제외</x:v>
      </x:c>
    </x:row>
    <x:row r="7" ht="40" customHeight="1">
      <x:c r="A7" s="82" t="s">
        <x:v>9</x:v>
      </x:c>
      <x:c r="B7" s="133">
        <x:v>20003</x:v>
      </x:c>
      <x:c r="C7" s="82" t="s">
        <x:v>218</x:v>
      </x:c>
      <x:c r="D7" s="83" t="str">
        <x:v>온라인 전투 시간 420초</x:v>
      </x:c>
      <x:c r="E7" s="83" t="str">
        <x:v>BattleTime</x:v>
      </x:c>
      <x:c r="F7" s="82" t="s">
        <x:v>202</x:v>
      </x:c>
      <x:c r="G7" s="136">
        <x:v>0</x:v>
      </x:c>
      <x:c r="H7" s="136" t="n">
        <x:v>420</x:v>
      </x:c>
      <x:c r="I7" s="133">
        <x:v>2003</x:v>
      </x:c>
      <x:c r="J7" s="83" t="str">
        <x:v>베타 대체: 골드 강화 10회 → 전투 7분. 메뉴·로딩·오프라인 제외; 서버 누적</x:v>
      </x:c>
    </x:row>
    <x:row r="8" ht="28" customHeight="1">
      <x:c r="A8" s="85" t="s">
        <x:v>9</x:v>
      </x:c>
      <x:c r="B8" s="134">
        <x:v>20004</x:v>
      </x:c>
      <x:c r="C8" s="85" t="s">
        <x:v>86</x:v>
      </x:c>
      <x:c r="D8" s="86" t="str">
        <x:v>장착 마탑 자동 스킬 5회 시전</x:v>
      </x:c>
      <x:c r="E8" s="86" t="str">
        <x:v>SkillCast</x:v>
      </x:c>
      <x:c r="F8" s="85" t="s">
        <x:v>202</x:v>
      </x:c>
      <x:c r="G8" s="137">
        <x:v>0</x:v>
      </x:c>
      <x:c r="H8" s="137" t="n">
        <x:v>5</x:v>
      </x:c>
      <x:c r="I8" s="134">
        <x:v>2003</x:v>
      </x:c>
      <x:c r="J8" s="86" t="str">
        <x:v>베타 대체: 마탑 강화 소비 요구 제거. 1-5 최초 무료 스킬 제공</x:v>
      </x:c>
    </x:row>
    <x:row r="9" ht="28" customHeight="1">
      <x:c r="A9" s="82" t="s">
        <x:v>9</x:v>
      </x:c>
      <x:c r="B9" s="133">
        <x:v>20005</x:v>
      </x:c>
      <x:c r="C9" s="82" t="s">
        <x:v>219</x:v>
      </x:c>
      <x:c r="D9" s="83" t="str">
        <x:v>던전 1회 입장</x:v>
      </x:c>
      <x:c r="E9" s="83" t="str">
        <x:v>DungeonEnter</x:v>
      </x:c>
      <x:c r="F9" s="82" t="s">
        <x:v>202</x:v>
      </x:c>
      <x:c r="G9" s="136">
        <x:v>0</x:v>
      </x:c>
      <x:c r="H9" s="136">
        <x:v>1</x:v>
      </x:c>
      <x:c r="I9" s="133">
        <x:v>2004</x:v>
      </x:c>
      <x:c r="J9" s="83" t="str">
        <x:v>베타: 첫 적 생성 및 입장권 확정 차감 시 1회. 실패해도 인정</x:v>
      </x:c>
    </x:row>
    <x:row r="10" ht="40" customHeight="1">
      <x:c r="A10" s="85" t="s">
        <x:v>9</x:v>
      </x:c>
      <x:c r="B10" s="134">
        <x:v>20006</x:v>
      </x:c>
      <x:c r="C10" s="85" t="s">
        <x:v>220</x:v>
      </x:c>
      <x:c r="D10" s="86" t="str">
        <x:v>뽑기 1회 사용 (선택)</x:v>
      </x:c>
      <x:c r="E10" s="86" t="s">
        <x:v>136</x:v>
      </x:c>
      <x:c r="F10" s="85" t="s">
        <x:v>202</x:v>
      </x:c>
      <x:c r="G10" s="137">
        <x:v>0</x:v>
      </x:c>
      <x:c r="H10" s="137" t="n">
        <x:v>1</x:v>
      </x:c>
      <x:c r="I10" s="134">
        <x:v>2001</x:v>
      </x:c>
      <x:c r="J10" s="86" t="str">
        <x:v>베타: 선택 목표. 보상을 얻으려고 뽑기를 강제하지 않음; 10연차는 10회</x:v>
      </x:c>
    </x:row>
    <x:row r="11" ht="28" customHeight="1">
      <x:c r="A11" s="89" t="s">
        <x:v>9</x:v>
      </x:c>
      <x:c r="B11" s="135">
        <x:v>20007</x:v>
      </x:c>
      <x:c r="C11" s="89" t="s">
        <x:v>221</x:v>
      </x:c>
      <x:c r="D11" s="90" t="str">
        <x:v>[폐기] 신 스킬 3회 시전</x:v>
      </x:c>
      <x:c r="E11" s="90" t="s">
        <x:v>201</x:v>
      </x:c>
      <x:c r="F11" s="89" t="s">
        <x:v>202</x:v>
      </x:c>
      <x:c r="G11" s="138">
        <x:v>0</x:v>
      </x:c>
      <x:c r="H11" s="138">
        <x:v>3</x:v>
      </x:c>
      <x:c r="I11" s="135" t="n">
        <x:v>0</x:v>
      </x:c>
      <x:c r="J11" s="90" t="str">
        <x:v>폐기: 신 스킬 콘텐츠 삭제. ID 예약·집계 제외</x:v>
      </x:c>
    </x:row>
    <x:row r="12" ht="28" customHeight="1">
      <x:c r="A12" s="97" t="s">
        <x:v>9</x:v>
      </x:c>
      <x:c r="B12" s="139">
        <x:v>20008</x:v>
      </x:c>
      <x:c r="C12" s="97" t="s">
        <x:v>222</x:v>
      </x:c>
      <x:c r="D12" s="98" t="str">
        <x:v>[보류] 광고 1회 시청</x:v>
      </x:c>
      <x:c r="E12" s="98" t="s">
        <x:v>223</x:v>
      </x:c>
      <x:c r="F12" s="97" t="s">
        <x:v>202</x:v>
      </x:c>
      <x:c r="G12" s="141">
        <x:v>0</x:v>
      </x:c>
      <x:c r="H12" s="141">
        <x:v>1</x:v>
      </x:c>
      <x:c r="I12" s="139" t="n">
        <x:v>0</x:v>
      </x:c>
      <x:c r="J12" s="98" t="str">
        <x:v>보류: 광고 SDK 미연동. 일일 필수 루틴과 완료 분모에서 제외</x:v>
      </x:c>
    </x:row>
    <x:row r="13" ht="40" customHeight="1">
      <x:c r="A13" s="82" t="s">
        <x:v>9</x:v>
      </x:c>
      <x:c r="B13" s="133">
        <x:v>20009</x:v>
      </x:c>
      <x:c r="C13" s="82" t="s">
        <x:v>101</x:v>
      </x:c>
      <x:c r="D13" s="83" t="str">
        <x:v>오프라인 보상 수령 (선택)</x:v>
      </x:c>
      <x:c r="E13" s="83" t="s">
        <x:v>224</x:v>
      </x:c>
      <x:c r="F13" s="82" t="s">
        <x:v>202</x:v>
      </x:c>
      <x:c r="G13" s="136">
        <x:v>0</x:v>
      </x:c>
      <x:c r="H13" s="136">
        <x:v>1</x:v>
      </x:c>
      <x:c r="I13" s="133">
        <x:v>2001</x:v>
      </x:c>
      <x:c r="J13" s="83" t="str">
        <x:v>베타: 보상 원장 승인 ClaimId 1회. 수령 가능 보상 없으면 다른 목표로 완료</x:v>
      </x:c>
    </x:row>
    <x:row r="14" ht="40" customHeight="1">
      <x:c r="A14" s="85" t="s">
        <x:v>9</x:v>
      </x:c>
      <x:c r="B14" s="134">
        <x:v>20010</x:v>
      </x:c>
      <x:c r="C14" s="85" t="s">
        <x:v>225</x:v>
      </x:c>
      <x:c r="D14" s="86" t="str">
        <x:v>일일 기본 목표 7개 중 5개 완료</x:v>
      </x:c>
      <x:c r="E14" s="86" t="s">
        <x:v>226</x:v>
      </x:c>
      <x:c r="F14" s="85" t="s">
        <x:v>119</x:v>
      </x:c>
      <x:c r="G14" s="137">
        <x:v>1</x:v>
      </x:c>
      <x:c r="H14" s="137" t="n">
        <x:v>5</x:v>
      </x:c>
      <x:c r="I14" s="134">
        <x:v>2005</x:v>
      </x:c>
      <x:c r="J14" s="86" t="str">
        <x:v>베타: 자기 자신·폐기·보류 제외. 달성 개수이며 보상 수령 개수 아님. 일일은 1-11 이후 해금</x:v>
      </x:c>
    </x:row>
    <x:row r="15" ht="28" customHeight="1">
      <x:c r="A15" s="92" t="s">
        <x:v>12</x:v>
      </x:c>
      <x:c r="B15" s="140">
        <x:v>30001</x:v>
      </x:c>
      <x:c r="C15" s="92" t="s">
        <x:v>227</x:v>
      </x:c>
      <x:c r="D15" s="93" t="str">
        <x:v>온라인 몬스터 6,000마리 처치</x:v>
      </x:c>
      <x:c r="E15" s="93" t="s">
        <x:v>123</x:v>
      </x:c>
      <x:c r="F15" s="92" t="s">
        <x:v>202</x:v>
      </x:c>
      <x:c r="G15" s="142">
        <x:v>0</x:v>
      </x:c>
      <x:c r="H15" s="142" t="n">
        <x:v>6000</x:v>
      </x:c>
      <x:c r="I15" s="140">
        <x:v>3001</x:v>
      </x:c>
      <x:c r="J15" s="93" t="str">
        <x:v>베타: 서버 승인 이벤트만 집계. 오프라인 가상 처치는 제외</x:v>
      </x:c>
    </x:row>
    <x:row r="16" ht="28" customHeight="1">
      <x:c r="A16" s="85" t="s">
        <x:v>12</x:v>
      </x:c>
      <x:c r="B16" s="134">
        <x:v>30002</x:v>
      </x:c>
      <x:c r="C16" s="85" t="s">
        <x:v>228</x:v>
      </x:c>
      <x:c r="D16" s="86" t="str">
        <x:v>보스 14회 처치</x:v>
      </x:c>
      <x:c r="E16" s="86" t="s">
        <x:v>217</x:v>
      </x:c>
      <x:c r="F16" s="85" t="s">
        <x:v>202</x:v>
      </x:c>
      <x:c r="G16" s="137">
        <x:v>0</x:v>
      </x:c>
      <x:c r="H16" s="137" t="n">
        <x:v>14</x:v>
      </x:c>
      <x:c r="I16" s="134">
        <x:v>3002</x:v>
      </x:c>
      <x:c r="J16" s="86" t="str">
        <x:v>베타: 서버 승인 이벤트만 집계. 오프라인 가상 처치는 제외</x:v>
      </x:c>
    </x:row>
    <x:row r="17" ht="28" customHeight="1">
      <x:c r="A17" s="82" t="s">
        <x:v>12</x:v>
      </x:c>
      <x:c r="B17" s="133">
        <x:v>30003</x:v>
      </x:c>
      <x:c r="C17" s="82" t="s">
        <x:v>229</x:v>
      </x:c>
      <x:c r="D17" s="83" t="str">
        <x:v>던전 10회 클리어</x:v>
      </x:c>
      <x:c r="E17" s="83" t="s">
        <x:v>190</x:v>
      </x:c>
      <x:c r="F17" s="82" t="s">
        <x:v>202</x:v>
      </x:c>
      <x:c r="G17" s="136">
        <x:v>0</x:v>
      </x:c>
      <x:c r="H17" s="136" t="n">
        <x:v>10</x:v>
      </x:c>
      <x:c r="I17" s="133">
        <x:v>3003</x:v>
      </x:c>
      <x:c r="J17" s="83" t="str">
        <x:v>베타: 서버 승인 이벤트만 집계. 오프라인 가상 처치는 제외</x:v>
      </x:c>
    </x:row>
    <x:row r="18" ht="40" customHeight="1">
      <x:c r="A18" s="85" t="s">
        <x:v>12</x:v>
      </x:c>
      <x:c r="B18" s="134">
        <x:v>30004</x:v>
      </x:c>
      <x:c r="C18" s="85" t="s">
        <x:v>230</x:v>
      </x:c>
      <x:c r="D18" s="86" t="str">
        <x:v>온라인 전투 시간 12,600초 (210분)</x:v>
      </x:c>
      <x:c r="E18" s="86" t="str">
        <x:v>BattleTime</x:v>
      </x:c>
      <x:c r="F18" s="85" t="s">
        <x:v>202</x:v>
      </x:c>
      <x:c r="G18" s="137">
        <x:v>0</x:v>
      </x:c>
      <x:c r="H18" s="137" t="n">
        <x:v>12600</x:v>
      </x:c>
      <x:c r="I18" s="134">
        <x:v>3001</x:v>
      </x:c>
      <x:c r="J18" s="86" t="str">
        <x:v>베타 대체: 뽑기 30회 → 주간 전투 누적. 일일과 중복 집계; 추가 전투 약 23분/일</x:v>
      </x:c>
    </x:row>
    <x:row r="19" ht="40" customHeight="1">
      <x:c r="A19" s="82" t="s">
        <x:v>12</x:v>
      </x:c>
      <x:c r="B19" s="133">
        <x:v>30005</x:v>
      </x:c>
      <x:c r="C19" s="82" t="s">
        <x:v>231</x:v>
      </x:c>
      <x:c r="D19" s="83" t="str">
        <x:v>메인 일반 웨이브 70회 클리어</x:v>
      </x:c>
      <x:c r="E19" s="83" t="str">
        <x:v>MainWaveClear</x:v>
      </x:c>
      <x:c r="F19" s="82" t="s">
        <x:v>202</x:v>
      </x:c>
      <x:c r="G19" s="136">
        <x:v>0</x:v>
      </x:c>
      <x:c r="H19" s="136" t="n">
        <x:v>70</x:v>
      </x:c>
      <x:c r="I19" s="133">
        <x:v>3001</x:v>
      </x:c>
      <x:c r="J19" s="83" t="str">
        <x:v>베타 대체: 골드 강화 200회 제거. 반복 일반 웨이브 인정, 던전·보스 제외</x:v>
      </x:c>
    </x:row>
    <x:row r="20" ht="40" customHeight="1">
      <x:c r="A20" s="85" t="s">
        <x:v>12</x:v>
      </x:c>
      <x:c r="B20" s="134">
        <x:v>30006</x:v>
      </x:c>
      <x:c r="C20" s="85" t="s">
        <x:v>97</x:v>
      </x:c>
      <x:c r="D20" s="86" t="str">
        <x:v>환생 3회 (선택)</x:v>
      </x:c>
      <x:c r="E20" s="86" t="s">
        <x:v>212</x:v>
      </x:c>
      <x:c r="F20" s="85" t="s">
        <x:v>202</x:v>
      </x:c>
      <x:c r="G20" s="137">
        <x:v>0</x:v>
      </x:c>
      <x:c r="H20" s="137">
        <x:v>3</x:v>
      </x:c>
      <x:c r="I20" s="134">
        <x:v>3004</x:v>
      </x:c>
      <x:c r="J20" s="86" t="str">
        <x:v>베타: 선택 목표. 서버 완료 횟수만 인정; 완료 보상에 환생 필수 아님</x:v>
      </x:c>
    </x:row>
    <x:row r="21" ht="28" customHeight="1">
      <x:c r="A21" s="82" t="s">
        <x:v>12</x:v>
      </x:c>
      <x:c r="B21" s="133">
        <x:v>30007</x:v>
      </x:c>
      <x:c r="C21" s="82" t="s">
        <x:v>232</x:v>
      </x:c>
      <x:c r="D21" s="83" t="str">
        <x:v>주간 기본 목표 6개 중 5개 완료</x:v>
      </x:c>
      <x:c r="E21" s="83" t="s">
        <x:v>226</x:v>
      </x:c>
      <x:c r="F21" s="82" t="s">
        <x:v>119</x:v>
      </x:c>
      <x:c r="G21" s="136">
        <x:v>2</x:v>
      </x:c>
      <x:c r="H21" s="136" t="n">
        <x:v>5</x:v>
      </x:c>
      <x:c r="I21" s="133">
        <x:v>3005</x:v>
      </x:c>
      <x:c r="J21" s="83" t="str">
        <x:v>베타: 완료 보상 자기 자신 제외. 5/6이므로 환생 없이 달성 가능</x:v>
      </x:c>
    </x:row>
    <x:row r="23" ht="44" customHeight="1">
      <x:c r="A23" s="96" t="str">
        <x:v>일일 최대: 고대 주화 100 · 비전 지식 30 · 전직 파편 3 · 기준 골드 6분. 무소비 5개 루틴: 동일 고정 재화 + 골드 2분.</x:v>
      </x:c>
      <x:c r="B23" s="88"/>
      <x:c r="C23" s="88"/>
      <x:c r="D23" s="88"/>
      <x:c r="E23" s="88"/>
      <x:c r="F23" s="88"/>
      <x:c r="G23" s="88"/>
      <x:c r="H23" s="88"/>
      <x:c r="I23" s="88"/>
      <x:c r="J23" s="88"/>
    </x:row>
    <x:row r="24" ht="44" customHeight="1">
      <x:c r="A24" s="96" t="str">
        <x:v>주간 최대: 고대 주화 400 · 전직 파편 15 · 비전 지식 100. 선택 환생 제외 시 주화 300. 일일 보상과 별도 합산.</x:v>
      </x:c>
      <x:c r="B24" s="88"/>
      <x:c r="C24" s="88"/>
      <x:c r="D24" s="88"/>
      <x:c r="E24" s="88"/>
      <x:c r="F24" s="88"/>
      <x:c r="G24" s="88"/>
      <x:c r="H24" s="88"/>
      <x:c r="I24" s="88"/>
      <x:c r="J24" s="88"/>
    </x:row>
  </x:sheetData>
  <x:mergeCells>
    <x:mergeCell ref="A1:J1"/>
    <x:mergeCell ref="A23:J23"/>
    <x:mergeCell ref="A24:J24"/>
    <x:mergeCell ref="A2:J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B06000"/>
  </x:sheetPr>
  <x:sheetViews>
    <x:sheetView showGridLines="0" workbookViewId="0">
      <x:pane ySplit="4" topLeftCell="A5" activePane="bottomLeft" state="frozen"/>
    </x:sheetView>
  </x:sheetViews>
  <x:sheetFormatPr defaultRowHeight="16.5"/>
  <x:cols>
    <x:col min="1" max="1" width="11" customWidth="1"/>
    <x:col min="2" max="2" width="10" customWidth="1"/>
    <x:col min="3" max="3" width="6" customWidth="1"/>
    <x:col min="4" max="4" width="26" customWidth="1"/>
    <x:col min="5" max="5" width="20" customWidth="1"/>
    <x:col min="6" max="6" width="13" customWidth="1"/>
    <x:col min="7" max="7" width="14" customWidth="1"/>
    <x:col min="8" max="9" width="12" customWidth="1"/>
    <x:col min="10" max="10" width="14" customWidth="1"/>
    <x:col min="11" max="11" width="20" customWidth="1"/>
  </x:cols>
  <x:sheetData>
    <x:row r="1" ht="34" customHeight="1">
      <x:c r="A1" s="78" t="s">
        <x:v>16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62" customHeight="1">
      <x:c r="A2" s="80" t="str">
        <x:v>59개 ID 보존. 폐기 5·보류 5·활성 49. 영구 기록/최고 스냅샷. 보류·폐기 제외 후 같은 계열 활성 단계 연결; 이미 지급한 ID 중복 지급 금지.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</x:row>
    <x:row r="4" ht="22" customHeight="1">
      <x:c r="A4" s="81" t="s">
        <x:v>233</x:v>
      </x:c>
      <x:c r="B4" s="81" t="s">
        <x:v>103</x:v>
      </x:c>
      <x:c r="C4" s="81" t="s">
        <x:v>234</x:v>
      </x:c>
      <x:c r="D4" s="81" t="s">
        <x:v>106</x:v>
      </x:c>
      <x:c r="E4" s="81" t="s">
        <x:v>107</x:v>
      </x:c>
      <x:c r="F4" s="81" t="s">
        <x:v>108</x:v>
      </x:c>
      <x:c r="G4" s="81" t="s">
        <x:v>109</x:v>
      </x:c>
      <x:c r="H4" s="81" t="s">
        <x:v>110</x:v>
      </x:c>
      <x:c r="I4" s="81" t="s">
        <x:v>111</x:v>
      </x:c>
      <x:c r="J4" s="81" t="s">
        <x:v>112</x:v>
      </x:c>
      <x:c r="K4" s="81" t="s">
        <x:v>114</x:v>
      </x:c>
    </x:row>
    <x:row r="5" ht="28" customHeight="1">
      <x:c r="A5" s="83" t="s">
        <x:v>65</x:v>
      </x:c>
      <x:c r="B5" s="133">
        <x:v>40101</x:v>
      </x:c>
      <x:c r="C5" s="82" t="s">
        <x:v>235</x:v>
      </x:c>
      <x:c r="D5" s="83" t="str">
        <x:v>1-11 보스 클리어</x:v>
      </x:c>
      <x:c r="E5" s="83" t="s">
        <x:v>118</x:v>
      </x:c>
      <x:c r="F5" s="82" t="s">
        <x:v>119</x:v>
      </x:c>
      <x:c r="G5" s="136" t="n">
        <x:v>8590000139</x:v>
      </x:c>
      <x:c r="H5" s="136">
        <x:v>1</x:v>
      </x:c>
      <x:c r="I5" s="133">
        <x:v>40102</x:v>
      </x:c>
      <x:c r="J5" s="133">
        <x:v>4001</x:v>
      </x:c>
      <x:c r="K5" s="83" t="str">
        <x:v>베타: 도달이 아닌 클리어 플래그; 환생 후에도 유지</x:v>
      </x:c>
    </x:row>
    <x:row r="6" ht="28" customHeight="1">
      <x:c r="A6" s="86" t="s">
        <x:v>65</x:v>
      </x:c>
      <x:c r="B6" s="134">
        <x:v>40102</x:v>
      </x:c>
      <x:c r="C6" s="85" t="s">
        <x:v>236</x:v>
      </x:c>
      <x:c r="D6" s="86" t="str">
        <x:v>2-11 보스 클리어</x:v>
      </x:c>
      <x:c r="E6" s="86" t="s">
        <x:v>118</x:v>
      </x:c>
      <x:c r="F6" s="85" t="s">
        <x:v>119</x:v>
      </x:c>
      <x:c r="G6" s="137" t="n">
        <x:v>8590065675</x:v>
      </x:c>
      <x:c r="H6" s="137">
        <x:v>1</x:v>
      </x:c>
      <x:c r="I6" s="134">
        <x:v>40103</x:v>
      </x:c>
      <x:c r="J6" s="134">
        <x:v>4002</x:v>
      </x:c>
      <x:c r="K6" s="86" t="str">
        <x:v>베타: 도달이 아닌 클리어 플래그; 환생 후에도 유지</x:v>
      </x:c>
    </x:row>
    <x:row r="7" ht="40" customHeight="1">
      <x:c r="A7" s="83" t="s">
        <x:v>65</x:v>
      </x:c>
      <x:c r="B7" s="133">
        <x:v>40103</x:v>
      </x:c>
      <x:c r="C7" s="82" t="s">
        <x:v>237</x:v>
      </x:c>
      <x:c r="D7" s="83" t="str">
        <x:v>3-11 보스 클리어</x:v>
      </x:c>
      <x:c r="E7" s="83" t="s">
        <x:v>118</x:v>
      </x:c>
      <x:c r="F7" s="82" t="s">
        <x:v>119</x:v>
      </x:c>
      <x:c r="G7" s="136" t="n">
        <x:v>8590131211</x:v>
      </x:c>
      <x:c r="H7" s="136">
        <x:v>1</x:v>
      </x:c>
      <x:c r="I7" s="133" t="n">
        <x:v>0</x:v>
      </x:c>
      <x:c r="J7" s="133">
        <x:v>4003</x:v>
      </x:c>
      <x:c r="K7" s="83" t="str">
        <x:v>베타 대체: 구 5-10 목표를 확정 콘텐츠 3-11로 변경. 이후 10·20스테이지 행은 보류</x:v>
      </x:c>
    </x:row>
    <x:row r="8" ht="40" customHeight="1">
      <x:c r="A8" s="98" t="s">
        <x:v>65</x:v>
      </x:c>
      <x:c r="B8" s="139">
        <x:v>40104</x:v>
      </x:c>
      <x:c r="C8" s="97" t="s">
        <x:v>238</x:v>
      </x:c>
      <x:c r="D8" s="98" t="str">
        <x:v>10-11 보스 클리어</x:v>
      </x:c>
      <x:c r="E8" s="98" t="s">
        <x:v>118</x:v>
      </x:c>
      <x:c r="F8" s="97" t="s">
        <x:v>119</x:v>
      </x:c>
      <x:c r="G8" s="141" t="n">
        <x:v>8590589963</x:v>
      </x:c>
      <x:c r="H8" s="141">
        <x:v>1</x:v>
      </x:c>
      <x:c r="I8" s="139">
        <x:v>40105</x:v>
      </x:c>
      <x:c r="J8" s="139">
        <x:v>4004</x:v>
      </x:c>
      <x:c r="K8" s="98" t="str">
        <x:v>보류: 4스테이지 이후 콘셉트 미정. TargetId는 명시하되 베타 등록·지급 제외</x:v>
      </x:c>
    </x:row>
    <x:row r="9" ht="40" customHeight="1">
      <x:c r="A9" s="98" t="s">
        <x:v>65</x:v>
      </x:c>
      <x:c r="B9" s="139">
        <x:v>40105</x:v>
      </x:c>
      <x:c r="C9" s="97" t="s">
        <x:v>239</x:v>
      </x:c>
      <x:c r="D9" s="98" t="str">
        <x:v>20-11 보스 클리어</x:v>
      </x:c>
      <x:c r="E9" s="98" t="s">
        <x:v>118</x:v>
      </x:c>
      <x:c r="F9" s="97" t="s">
        <x:v>119</x:v>
      </x:c>
      <x:c r="G9" s="141" t="n">
        <x:v>8591245323</x:v>
      </x:c>
      <x:c r="H9" s="141">
        <x:v>1</x:v>
      </x:c>
      <x:c r="I9" s="139">
        <x:v>0</x:v>
      </x:c>
      <x:c r="J9" s="139">
        <x:v>4005</x:v>
      </x:c>
      <x:c r="K9" s="98" t="str">
        <x:v>보류: 4스테이지 이후 콘셉트 미정. TargetId는 명시하되 베타 등록·지급 제외</x:v>
      </x:c>
    </x:row>
    <x:row r="10" ht="40" customHeight="1">
      <x:c r="A10" s="100" t="s">
        <x:v>69</x:v>
      </x:c>
      <x:c r="B10" s="143">
        <x:v>40201</x:v>
      </x:c>
      <x:c r="C10" s="101" t="s">
        <x:v>235</x:v>
      </x:c>
      <x:c r="D10" s="100" t="str">
        <x:v>온라인 몬스터 1,000마리 처치</x:v>
      </x:c>
      <x:c r="E10" s="100" t="s">
        <x:v>123</x:v>
      </x:c>
      <x:c r="F10" s="101" t="s">
        <x:v>240</x:v>
      </x:c>
      <x:c r="G10" s="146">
        <x:v>0</x:v>
      </x:c>
      <x:c r="H10" s="146">
        <x:v>1000</x:v>
      </x:c>
      <x:c r="I10" s="143">
        <x:v>40202</x:v>
      </x:c>
      <x:c r="J10" s="143">
        <x:v>4001</x:v>
      </x:c>
      <x:c r="K10" s="100" t="str">
        <x:v>베타: 온라인 누적. 30킬/분·30분/일 기준 장기 기록; 오프라인 제외</x:v>
      </x:c>
    </x:row>
    <x:row r="11" ht="40" customHeight="1">
      <x:c r="A11" s="83" t="s">
        <x:v>69</x:v>
      </x:c>
      <x:c r="B11" s="133">
        <x:v>40202</x:v>
      </x:c>
      <x:c r="C11" s="82" t="s">
        <x:v>236</x:v>
      </x:c>
      <x:c r="D11" s="83" t="str">
        <x:v>온라인 몬스터 10,000마리 처치</x:v>
      </x:c>
      <x:c r="E11" s="83" t="s">
        <x:v>123</x:v>
      </x:c>
      <x:c r="F11" s="82" t="s">
        <x:v>240</x:v>
      </x:c>
      <x:c r="G11" s="136">
        <x:v>0</x:v>
      </x:c>
      <x:c r="H11" s="136">
        <x:v>10000</x:v>
      </x:c>
      <x:c r="I11" s="133">
        <x:v>40203</x:v>
      </x:c>
      <x:c r="J11" s="133">
        <x:v>4002</x:v>
      </x:c>
      <x:c r="K11" s="83" t="str">
        <x:v>베타: 온라인 누적. 30킬/분·30분/일 기준 장기 기록; 오프라인 제외</x:v>
      </x:c>
    </x:row>
    <x:row r="12" ht="40" customHeight="1">
      <x:c r="A12" s="86" t="s">
        <x:v>69</x:v>
      </x:c>
      <x:c r="B12" s="134">
        <x:v>40203</x:v>
      </x:c>
      <x:c r="C12" s="85" t="s">
        <x:v>237</x:v>
      </x:c>
      <x:c r="D12" s="86" t="str">
        <x:v>온라인 몬스터 50,000마리 처치</x:v>
      </x:c>
      <x:c r="E12" s="86" t="s">
        <x:v>123</x:v>
      </x:c>
      <x:c r="F12" s="85" t="s">
        <x:v>240</x:v>
      </x:c>
      <x:c r="G12" s="137">
        <x:v>0</x:v>
      </x:c>
      <x:c r="H12" s="137" t="n">
        <x:v>50000</x:v>
      </x:c>
      <x:c r="I12" s="134">
        <x:v>40204</x:v>
      </x:c>
      <x:c r="J12" s="134">
        <x:v>4003</x:v>
      </x:c>
      <x:c r="K12" s="86" t="str">
        <x:v>베타: 온라인 누적. 30킬/분·30분/일 기준 장기 기록; 오프라인 제외</x:v>
      </x:c>
    </x:row>
    <x:row r="13" ht="40" customHeight="1">
      <x:c r="A13" s="83" t="s">
        <x:v>69</x:v>
      </x:c>
      <x:c r="B13" s="133">
        <x:v>40204</x:v>
      </x:c>
      <x:c r="C13" s="82" t="s">
        <x:v>238</x:v>
      </x:c>
      <x:c r="D13" s="83" t="str">
        <x:v>온라인 몬스터 100,000마리 처치</x:v>
      </x:c>
      <x:c r="E13" s="83" t="s">
        <x:v>123</x:v>
      </x:c>
      <x:c r="F13" s="82" t="s">
        <x:v>240</x:v>
      </x:c>
      <x:c r="G13" s="136">
        <x:v>0</x:v>
      </x:c>
      <x:c r="H13" s="136" t="n">
        <x:v>100000</x:v>
      </x:c>
      <x:c r="I13" s="133">
        <x:v>40205</x:v>
      </x:c>
      <x:c r="J13" s="133">
        <x:v>4004</x:v>
      </x:c>
      <x:c r="K13" s="83" t="str">
        <x:v>베타: 온라인 누적. 30킬/분·30분/일 기준 장기 기록; 오프라인 제외</x:v>
      </x:c>
    </x:row>
    <x:row r="14" ht="40" customHeight="1">
      <x:c r="A14" s="86" t="s">
        <x:v>69</x:v>
      </x:c>
      <x:c r="B14" s="134">
        <x:v>40205</x:v>
      </x:c>
      <x:c r="C14" s="85" t="s">
        <x:v>239</x:v>
      </x:c>
      <x:c r="D14" s="86" t="str">
        <x:v>온라인 몬스터 250,000마리 처치</x:v>
      </x:c>
      <x:c r="E14" s="86" t="s">
        <x:v>123</x:v>
      </x:c>
      <x:c r="F14" s="85" t="s">
        <x:v>240</x:v>
      </x:c>
      <x:c r="G14" s="137">
        <x:v>0</x:v>
      </x:c>
      <x:c r="H14" s="137" t="n">
        <x:v>250000</x:v>
      </x:c>
      <x:c r="I14" s="134">
        <x:v>0</x:v>
      </x:c>
      <x:c r="J14" s="134">
        <x:v>4005</x:v>
      </x:c>
      <x:c r="K14" s="86" t="str">
        <x:v>베타: 온라인 누적. 30킬/분·30분/일 기준 장기 기록; 오프라인 제외</x:v>
      </x:c>
    </x:row>
    <x:row r="15" ht="40" customHeight="1">
      <x:c r="A15" s="93" t="s">
        <x:v>73</x:v>
      </x:c>
      <x:c r="B15" s="140">
        <x:v>40301</x:v>
      </x:c>
      <x:c r="C15" s="92" t="s">
        <x:v>235</x:v>
      </x:c>
      <x:c r="D15" s="93" t="s">
        <x:v>241</x:v>
      </x:c>
      <x:c r="E15" s="93" t="s">
        <x:v>217</x:v>
      </x:c>
      <x:c r="F15" s="92" t="s">
        <x:v>240</x:v>
      </x:c>
      <x:c r="G15" s="142">
        <x:v>0</x:v>
      </x:c>
      <x:c r="H15" s="142">
        <x:v>10</x:v>
      </x:c>
      <x:c r="I15" s="140">
        <x:v>40302</x:v>
      </x:c>
      <x:c r="J15" s="140">
        <x:v>4001</x:v>
      </x:c>
      <x:c r="K15" s="93" t="str">
        <x:v>베타: 보스 인스턴스 사망 1회. 던전 클리어 중복 이벤트 제외</x:v>
      </x:c>
    </x:row>
    <x:row r="16" ht="40" customHeight="1">
      <x:c r="A16" s="86" t="s">
        <x:v>73</x:v>
      </x:c>
      <x:c r="B16" s="134">
        <x:v>40302</x:v>
      </x:c>
      <x:c r="C16" s="85" t="s">
        <x:v>236</x:v>
      </x:c>
      <x:c r="D16" s="86" t="s">
        <x:v>242</x:v>
      </x:c>
      <x:c r="E16" s="86" t="s">
        <x:v>217</x:v>
      </x:c>
      <x:c r="F16" s="85" t="s">
        <x:v>240</x:v>
      </x:c>
      <x:c r="G16" s="137">
        <x:v>0</x:v>
      </x:c>
      <x:c r="H16" s="137">
        <x:v>100</x:v>
      </x:c>
      <x:c r="I16" s="134">
        <x:v>40303</x:v>
      </x:c>
      <x:c r="J16" s="134">
        <x:v>4002</x:v>
      </x:c>
      <x:c r="K16" s="86" t="str">
        <x:v>베타: 보스 인스턴스 사망 1회. 던전 클리어 중복 이벤트 제외</x:v>
      </x:c>
    </x:row>
    <x:row r="17" ht="40" customHeight="1">
      <x:c r="A17" s="83" t="s">
        <x:v>73</x:v>
      </x:c>
      <x:c r="B17" s="133">
        <x:v>40303</x:v>
      </x:c>
      <x:c r="C17" s="82" t="s">
        <x:v>237</x:v>
      </x:c>
      <x:c r="D17" s="83" t="str">
        <x:v>보스 500회 처치</x:v>
      </x:c>
      <x:c r="E17" s="83" t="s">
        <x:v>217</x:v>
      </x:c>
      <x:c r="F17" s="82" t="s">
        <x:v>240</x:v>
      </x:c>
      <x:c r="G17" s="136">
        <x:v>0</x:v>
      </x:c>
      <x:c r="H17" s="136" t="n">
        <x:v>500</x:v>
      </x:c>
      <x:c r="I17" s="133">
        <x:v>40304</x:v>
      </x:c>
      <x:c r="J17" s="133">
        <x:v>4003</x:v>
      </x:c>
      <x:c r="K17" s="83" t="str">
        <x:v>베타: 보스 인스턴스 사망 1회. 던전 클리어 중복 이벤트 제외</x:v>
      </x:c>
    </x:row>
    <x:row r="18" ht="40" customHeight="1">
      <x:c r="A18" s="86" t="s">
        <x:v>73</x:v>
      </x:c>
      <x:c r="B18" s="134">
        <x:v>40304</x:v>
      </x:c>
      <x:c r="C18" s="85" t="s">
        <x:v>238</x:v>
      </x:c>
      <x:c r="D18" s="86" t="str">
        <x:v>보스 2,000회 처치</x:v>
      </x:c>
      <x:c r="E18" s="86" t="s">
        <x:v>217</x:v>
      </x:c>
      <x:c r="F18" s="85" t="s">
        <x:v>240</x:v>
      </x:c>
      <x:c r="G18" s="137">
        <x:v>0</x:v>
      </x:c>
      <x:c r="H18" s="137" t="n">
        <x:v>2000</x:v>
      </x:c>
      <x:c r="I18" s="134">
        <x:v>0</x:v>
      </x:c>
      <x:c r="J18" s="134">
        <x:v>4004</x:v>
      </x:c>
      <x:c r="K18" s="86" t="str">
        <x:v>베타: 보스 인스턴스 사망 1회. 던전 클리어 중복 이벤트 제외</x:v>
      </x:c>
    </x:row>
    <x:row r="19" ht="52" customHeight="1">
      <x:c r="A19" s="93" t="s">
        <x:v>76</x:v>
      </x:c>
      <x:c r="B19" s="140">
        <x:v>40401</x:v>
      </x:c>
      <x:c r="C19" s="92" t="s">
        <x:v>235</x:v>
      </x:c>
      <x:c r="D19" s="93" t="str">
        <x:v>골드 강화 레벨 합계 10</x:v>
      </x:c>
      <x:c r="E19" s="93" t="s">
        <x:v>126</x:v>
      </x:c>
      <x:c r="F19" s="92" t="str">
        <x:v>CurrentState</x:v>
      </x:c>
      <x:c r="G19" s="142">
        <x:v>0</x:v>
      </x:c>
      <x:c r="H19" s="142" t="n">
        <x:v>10</x:v>
      </x:c>
      <x:c r="I19" s="140">
        <x:v>40402</x:v>
      </x:c>
      <x:c r="J19" s="140">
        <x:v>4001</x:v>
      </x:c>
      <x:c r="K19" s="93" t="str">
        <x:v>베타: ATK+HP 현재 레벨 합계. 총상한 600이지만 베타 업적은 합계300까지만 요구. 환생 보존</x:v>
      </x:c>
    </x:row>
    <x:row r="20" ht="52" customHeight="1">
      <x:c r="A20" s="86" t="s">
        <x:v>76</x:v>
      </x:c>
      <x:c r="B20" s="134">
        <x:v>40402</x:v>
      </x:c>
      <x:c r="C20" s="85" t="s">
        <x:v>236</x:v>
      </x:c>
      <x:c r="D20" s="86" t="str">
        <x:v>골드 강화 레벨 합계 50</x:v>
      </x:c>
      <x:c r="E20" s="86" t="s">
        <x:v>126</x:v>
      </x:c>
      <x:c r="F20" s="85" t="str">
        <x:v>CurrentState</x:v>
      </x:c>
      <x:c r="G20" s="137">
        <x:v>0</x:v>
      </x:c>
      <x:c r="H20" s="137" t="n">
        <x:v>50</x:v>
      </x:c>
      <x:c r="I20" s="134">
        <x:v>40403</x:v>
      </x:c>
      <x:c r="J20" s="134">
        <x:v>4002</x:v>
      </x:c>
      <x:c r="K20" s="86" t="str">
        <x:v>베타: ATK+HP 현재 레벨 합계. 총상한 600이지만 베타 업적은 합계300까지만 요구. 환생 보존</x:v>
      </x:c>
    </x:row>
    <x:row r="21" ht="52" customHeight="1">
      <x:c r="A21" s="83" t="s">
        <x:v>76</x:v>
      </x:c>
      <x:c r="B21" s="133">
        <x:v>40403</x:v>
      </x:c>
      <x:c r="C21" s="82" t="s">
        <x:v>237</x:v>
      </x:c>
      <x:c r="D21" s="83" t="str">
        <x:v>골드 강화 레벨 합계 100</x:v>
      </x:c>
      <x:c r="E21" s="83" t="s">
        <x:v>126</x:v>
      </x:c>
      <x:c r="F21" s="82" t="str">
        <x:v>CurrentState</x:v>
      </x:c>
      <x:c r="G21" s="136">
        <x:v>0</x:v>
      </x:c>
      <x:c r="H21" s="136" t="n">
        <x:v>100</x:v>
      </x:c>
      <x:c r="I21" s="133">
        <x:v>40404</x:v>
      </x:c>
      <x:c r="J21" s="133">
        <x:v>4003</x:v>
      </x:c>
      <x:c r="K21" s="83" t="str">
        <x:v>베타: ATK+HP 현재 레벨 합계. 총상한 600이지만 베타 업적은 합계300까지만 요구. 환생 보존</x:v>
      </x:c>
    </x:row>
    <x:row r="22" ht="52" customHeight="1">
      <x:c r="A22" s="86" t="s">
        <x:v>76</x:v>
      </x:c>
      <x:c r="B22" s="134">
        <x:v>40404</x:v>
      </x:c>
      <x:c r="C22" s="85" t="s">
        <x:v>238</x:v>
      </x:c>
      <x:c r="D22" s="86" t="str">
        <x:v>골드 강화 레벨 합계 200</x:v>
      </x:c>
      <x:c r="E22" s="86" t="s">
        <x:v>126</x:v>
      </x:c>
      <x:c r="F22" s="85" t="str">
        <x:v>CurrentState</x:v>
      </x:c>
      <x:c r="G22" s="137">
        <x:v>0</x:v>
      </x:c>
      <x:c r="H22" s="137" t="n">
        <x:v>200</x:v>
      </x:c>
      <x:c r="I22" s="134">
        <x:v>40405</x:v>
      </x:c>
      <x:c r="J22" s="134">
        <x:v>4004</x:v>
      </x:c>
      <x:c r="K22" s="86" t="str">
        <x:v>베타: ATK+HP 현재 레벨 합계. 총상한 600이지만 베타 업적은 합계300까지만 요구. 환생 보존</x:v>
      </x:c>
    </x:row>
    <x:row r="23" ht="52" customHeight="1">
      <x:c r="A23" s="83" t="s">
        <x:v>76</x:v>
      </x:c>
      <x:c r="B23" s="133">
        <x:v>40405</x:v>
      </x:c>
      <x:c r="C23" s="82" t="s">
        <x:v>239</x:v>
      </x:c>
      <x:c r="D23" s="83" t="str">
        <x:v>골드 강화 레벨 합계 300</x:v>
      </x:c>
      <x:c r="E23" s="83" t="s">
        <x:v>126</x:v>
      </x:c>
      <x:c r="F23" s="82" t="str">
        <x:v>CurrentState</x:v>
      </x:c>
      <x:c r="G23" s="136">
        <x:v>0</x:v>
      </x:c>
      <x:c r="H23" s="136" t="n">
        <x:v>300</x:v>
      </x:c>
      <x:c r="I23" s="133">
        <x:v>0</x:v>
      </x:c>
      <x:c r="J23" s="133">
        <x:v>4005</x:v>
      </x:c>
      <x:c r="K23" s="83" t="str">
        <x:v>베타: ATK+HP 현재 레벨 합계. 총상한 600이지만 베타 업적은 합계300까지만 요구. 환생 보존</x:v>
      </x:c>
    </x:row>
    <x:row r="24" ht="22" customHeight="1">
      <x:c r="A24" s="100" t="s">
        <x:v>80</x:v>
      </x:c>
      <x:c r="B24" s="143">
        <x:v>40501</x:v>
      </x:c>
      <x:c r="C24" s="101" t="s">
        <x:v>235</x:v>
      </x:c>
      <x:c r="D24" s="100" t="s">
        <x:v>243</x:v>
      </x:c>
      <x:c r="E24" s="100" t="s">
        <x:v>152</x:v>
      </x:c>
      <x:c r="F24" s="101" t="s">
        <x:v>240</x:v>
      </x:c>
      <x:c r="G24" s="146">
        <x:v>0</x:v>
      </x:c>
      <x:c r="H24" s="146">
        <x:v>10</x:v>
      </x:c>
      <x:c r="I24" s="143">
        <x:v>40502</x:v>
      </x:c>
      <x:c r="J24" s="143">
        <x:v>4001</x:v>
      </x:c>
      <x:c r="K24" s="100"/>
    </x:row>
    <x:row r="25" ht="22" customHeight="1">
      <x:c r="A25" s="83" t="s">
        <x:v>80</x:v>
      </x:c>
      <x:c r="B25" s="133">
        <x:v>40502</x:v>
      </x:c>
      <x:c r="C25" s="82" t="s">
        <x:v>236</x:v>
      </x:c>
      <x:c r="D25" s="83" t="s">
        <x:v>244</x:v>
      </x:c>
      <x:c r="E25" s="83" t="s">
        <x:v>152</x:v>
      </x:c>
      <x:c r="F25" s="82" t="s">
        <x:v>240</x:v>
      </x:c>
      <x:c r="G25" s="136">
        <x:v>0</x:v>
      </x:c>
      <x:c r="H25" s="136">
        <x:v>100</x:v>
      </x:c>
      <x:c r="I25" s="133">
        <x:v>40503</x:v>
      </x:c>
      <x:c r="J25" s="133">
        <x:v>4002</x:v>
      </x:c>
      <x:c r="K25" s="83"/>
    </x:row>
    <x:row r="26" ht="22" customHeight="1">
      <x:c r="A26" s="86" t="s">
        <x:v>80</x:v>
      </x:c>
      <x:c r="B26" s="134">
        <x:v>40503</x:v>
      </x:c>
      <x:c r="C26" s="85" t="s">
        <x:v>237</x:v>
      </x:c>
      <x:c r="D26" s="86" t="s">
        <x:v>245</x:v>
      </x:c>
      <x:c r="E26" s="86" t="s">
        <x:v>152</x:v>
      </x:c>
      <x:c r="F26" s="85" t="s">
        <x:v>240</x:v>
      </x:c>
      <x:c r="G26" s="137">
        <x:v>0</x:v>
      </x:c>
      <x:c r="H26" s="137">
        <x:v>1000</x:v>
      </x:c>
      <x:c r="I26" s="134">
        <x:v>40504</x:v>
      </x:c>
      <x:c r="J26" s="134">
        <x:v>4003</x:v>
      </x:c>
      <x:c r="K26" s="86"/>
    </x:row>
    <x:row r="27" ht="40" customHeight="1">
      <x:c r="A27" s="83" t="s">
        <x:v>80</x:v>
      </x:c>
      <x:c r="B27" s="133">
        <x:v>40504</x:v>
      </x:c>
      <x:c r="C27" s="82" t="s">
        <x:v>238</x:v>
      </x:c>
      <x:c r="D27" s="83" t="str">
        <x:v>보유 장비 강화 레벨 합계 10</x:v>
      </x:c>
      <x:c r="E27" s="83" t="str">
        <x:v>EquipmentEnhance</x:v>
      </x:c>
      <x:c r="F27" s="82" t="str">
        <x:v>CurrentState</x:v>
      </x:c>
      <x:c r="G27" s="136">
        <x:v>0</x:v>
      </x:c>
      <x:c r="H27" s="136">
        <x:v>10</x:v>
      </x:c>
      <x:c r="I27" s="133">
        <x:v>40505</x:v>
      </x:c>
      <x:c r="J27" s="133">
        <x:v>4004</x:v>
      </x:c>
      <x:c r="K27" s="83" t="str">
        <x:v>베타 대체: 폐기 합성 10회 → 강화 합계 10. 최고 달성 스냅샷 보존</x:v>
      </x:c>
    </x:row>
    <x:row r="28" ht="22" customHeight="1">
      <x:c r="A28" s="86" t="s">
        <x:v>80</x:v>
      </x:c>
      <x:c r="B28" s="134">
        <x:v>40505</x:v>
      </x:c>
      <x:c r="C28" s="85" t="s">
        <x:v>239</x:v>
      </x:c>
      <x:c r="D28" s="86" t="s">
        <x:v>246</x:v>
      </x:c>
      <x:c r="E28" s="86" t="s">
        <x:v>141</x:v>
      </x:c>
      <x:c r="F28" s="85" t="s">
        <x:v>119</x:v>
      </x:c>
      <x:c r="G28" s="137">
        <x:v>3</x:v>
      </x:c>
      <x:c r="H28" s="137">
        <x:v>1</x:v>
      </x:c>
      <x:c r="I28" s="134">
        <x:v>0</x:v>
      </x:c>
      <x:c r="J28" s="134">
        <x:v>4005</x:v>
      </x:c>
      <x:c r="K28" s="86" t="s">
        <x:v>247</x:v>
      </x:c>
    </x:row>
    <x:row r="29" ht="22" customHeight="1">
      <x:c r="A29" s="93" t="s">
        <x:v>83</x:v>
      </x:c>
      <x:c r="B29" s="140">
        <x:v>40601</x:v>
      </x:c>
      <x:c r="C29" s="92" t="s">
        <x:v>235</x:v>
      </x:c>
      <x:c r="D29" s="93" t="s">
        <x:v>248</x:v>
      </x:c>
      <x:c r="E29" s="93" t="s">
        <x:v>160</x:v>
      </x:c>
      <x:c r="F29" s="92" t="s">
        <x:v>119</x:v>
      </x:c>
      <x:c r="G29" s="142">
        <x:v>1</x:v>
      </x:c>
      <x:c r="H29" s="142">
        <x:v>1</x:v>
      </x:c>
      <x:c r="I29" s="140">
        <x:v>40602</x:v>
      </x:c>
      <x:c r="J29" s="140">
        <x:v>4001</x:v>
      </x:c>
      <x:c r="K29" s="93"/>
    </x:row>
    <x:row r="30" ht="22" customHeight="1">
      <x:c r="A30" s="86" t="s">
        <x:v>83</x:v>
      </x:c>
      <x:c r="B30" s="134">
        <x:v>40602</x:v>
      </x:c>
      <x:c r="C30" s="85" t="s">
        <x:v>236</x:v>
      </x:c>
      <x:c r="D30" s="86" t="s">
        <x:v>249</x:v>
      </x:c>
      <x:c r="E30" s="86" t="s">
        <x:v>160</x:v>
      </x:c>
      <x:c r="F30" s="85" t="s">
        <x:v>119</x:v>
      </x:c>
      <x:c r="G30" s="137">
        <x:v>1</x:v>
      </x:c>
      <x:c r="H30" s="137">
        <x:v>3</x:v>
      </x:c>
      <x:c r="I30" s="134">
        <x:v>40603</x:v>
      </x:c>
      <x:c r="J30" s="134">
        <x:v>4002</x:v>
      </x:c>
      <x:c r="K30" s="86"/>
    </x:row>
    <x:row r="31" ht="22" customHeight="1">
      <x:c r="A31" s="83" t="s">
        <x:v>83</x:v>
      </x:c>
      <x:c r="B31" s="133">
        <x:v>40603</x:v>
      </x:c>
      <x:c r="C31" s="82" t="s">
        <x:v>237</x:v>
      </x:c>
      <x:c r="D31" s="83" t="s">
        <x:v>250</x:v>
      </x:c>
      <x:c r="E31" s="83" t="s">
        <x:v>160</x:v>
      </x:c>
      <x:c r="F31" s="82" t="s">
        <x:v>119</x:v>
      </x:c>
      <x:c r="G31" s="136">
        <x:v>2</x:v>
      </x:c>
      <x:c r="H31" s="136">
        <x:v>1</x:v>
      </x:c>
      <x:c r="I31" s="133">
        <x:v>40604</x:v>
      </x:c>
      <x:c r="J31" s="133">
        <x:v>4003</x:v>
      </x:c>
      <x:c r="K31" s="83"/>
    </x:row>
    <x:row r="32" ht="22" customHeight="1">
      <x:c r="A32" s="86" t="s">
        <x:v>83</x:v>
      </x:c>
      <x:c r="B32" s="134">
        <x:v>40604</x:v>
      </x:c>
      <x:c r="C32" s="85" t="s">
        <x:v>238</x:v>
      </x:c>
      <x:c r="D32" s="86" t="s">
        <x:v>251</x:v>
      </x:c>
      <x:c r="E32" s="86" t="s">
        <x:v>160</x:v>
      </x:c>
      <x:c r="F32" s="85" t="s">
        <x:v>119</x:v>
      </x:c>
      <x:c r="G32" s="137">
        <x:v>2</x:v>
      </x:c>
      <x:c r="H32" s="137">
        <x:v>3</x:v>
      </x:c>
      <x:c r="I32" s="134">
        <x:v>0</x:v>
      </x:c>
      <x:c r="J32" s="134">
        <x:v>4004</x:v>
      </x:c>
      <x:c r="K32" s="86"/>
    </x:row>
    <x:row r="33" ht="28" customHeight="1">
      <x:c r="A33" s="103" t="s">
        <x:v>252</x:v>
      </x:c>
      <x:c r="B33" s="144">
        <x:v>40701</x:v>
      </x:c>
      <x:c r="C33" s="104" t="s">
        <x:v>235</x:v>
      </x:c>
      <x:c r="D33" s="103" t="s">
        <x:v>253</x:v>
      </x:c>
      <x:c r="E33" s="103" t="s">
        <x:v>254</x:v>
      </x:c>
      <x:c r="F33" s="104" t="s">
        <x:v>119</x:v>
      </x:c>
      <x:c r="G33" s="147">
        <x:v>0</x:v>
      </x:c>
      <x:c r="H33" s="147">
        <x:v>1</x:v>
      </x:c>
      <x:c r="I33" s="144">
        <x:v>40702</x:v>
      </x:c>
      <x:c r="J33" s="144">
        <x:v>4001</x:v>
      </x:c>
      <x:c r="K33" s="103" t="str">
        <x:v>보류: 명명 파티 시스템 미구현. 베타 지급·완료 분모 제외</x:v>
      </x:c>
    </x:row>
    <x:row r="34" ht="40" customHeight="1">
      <x:c r="A34" s="98" t="s">
        <x:v>252</x:v>
      </x:c>
      <x:c r="B34" s="139">
        <x:v>40702</x:v>
      </x:c>
      <x:c r="C34" s="97" t="s">
        <x:v>236</x:v>
      </x:c>
      <x:c r="D34" s="98" t="s">
        <x:v>255</x:v>
      </x:c>
      <x:c r="E34" s="98" t="s">
        <x:v>254</x:v>
      </x:c>
      <x:c r="F34" s="97" t="str">
        <x:v>LifetimeTotal</x:v>
      </x:c>
      <x:c r="G34" s="141">
        <x:v>0</x:v>
      </x:c>
      <x:c r="H34" s="141">
        <x:v>4</x:v>
      </x:c>
      <x:c r="I34" s="139">
        <x:v>40703</x:v>
      </x:c>
      <x:c r="J34" s="139">
        <x:v>4003</x:v>
      </x:c>
      <x:c r="K34" s="98" t="str">
        <x:v>보류: 조합 4종은 동시에 달성 불가. 서로 다른 조합 ID의 역대 집합 수로 판정</x:v>
      </x:c>
    </x:row>
    <x:row r="35" ht="28" customHeight="1">
      <x:c r="A35" s="98" t="s">
        <x:v>252</x:v>
      </x:c>
      <x:c r="B35" s="139">
        <x:v>40703</x:v>
      </x:c>
      <x:c r="C35" s="97" t="s">
        <x:v>237</x:v>
      </x:c>
      <x:c r="D35" s="98" t="s">
        <x:v>256</x:v>
      </x:c>
      <x:c r="E35" s="98" t="s">
        <x:v>254</x:v>
      </x:c>
      <x:c r="F35" s="97" t="s">
        <x:v>119</x:v>
      </x:c>
      <x:c r="G35" s="141">
        <x:v>1</x:v>
      </x:c>
      <x:c r="H35" s="141">
        <x:v>1</x:v>
      </x:c>
      <x:c r="I35" s="139">
        <x:v>0</x:v>
      </x:c>
      <x:c r="J35" s="139">
        <x:v>4004</x:v>
      </x:c>
      <x:c r="K35" s="98" t="str">
        <x:v>보류: 명명 파티 시스템 미구현. 베타 지급·완료 분모 제외</x:v>
      </x:c>
    </x:row>
    <x:row r="36" ht="22" customHeight="1">
      <x:c r="A36" s="100" t="s">
        <x:v>87</x:v>
      </x:c>
      <x:c r="B36" s="143">
        <x:v>40801</x:v>
      </x:c>
      <x:c r="C36" s="101" t="s">
        <x:v>235</x:v>
      </x:c>
      <x:c r="D36" s="100" t="s">
        <x:v>257</x:v>
      </x:c>
      <x:c r="E36" s="100" t="s">
        <x:v>258</x:v>
      </x:c>
      <x:c r="F36" s="101" t="s">
        <x:v>119</x:v>
      </x:c>
      <x:c r="G36" s="146">
        <x:v>0</x:v>
      </x:c>
      <x:c r="H36" s="146">
        <x:v>3</x:v>
      </x:c>
      <x:c r="I36" s="143">
        <x:v>40802</x:v>
      </x:c>
      <x:c r="J36" s="143">
        <x:v>4001</x:v>
      </x:c>
      <x:c r="K36" s="100" t="s">
        <x:v>259</x:v>
      </x:c>
    </x:row>
    <x:row r="37" ht="40" customHeight="1">
      <x:c r="A37" s="83" t="s">
        <x:v>87</x:v>
      </x:c>
      <x:c r="B37" s="133">
        <x:v>40802</x:v>
      </x:c>
      <x:c r="C37" s="82" t="s">
        <x:v>236</x:v>
      </x:c>
      <x:c r="D37" s="83" t="str">
        <x:v>마탑 강화 레벨 합계 50</x:v>
      </x:c>
      <x:c r="E37" s="83" t="s">
        <x:v>173</x:v>
      </x:c>
      <x:c r="F37" s="82" t="str">
        <x:v>CurrentState</x:v>
      </x:c>
      <x:c r="G37" s="136">
        <x:v>0</x:v>
      </x:c>
      <x:c r="H37" s="136">
        <x:v>50</x:v>
      </x:c>
      <x:c r="I37" s="133">
        <x:v>40803</x:v>
      </x:c>
      <x:c r="J37" s="133">
        <x:v>4002</x:v>
      </x:c>
      <x:c r="K37" s="83" t="str">
        <x:v>베타: 최고 합계 저장. 초기화 반복으로 새 기록이 늘지 않음; 3종 총상한 300</x:v>
      </x:c>
    </x:row>
    <x:row r="38" ht="40" customHeight="1">
      <x:c r="A38" s="86" t="s">
        <x:v>87</x:v>
      </x:c>
      <x:c r="B38" s="134">
        <x:v>40803</x:v>
      </x:c>
      <x:c r="C38" s="85" t="s">
        <x:v>237</x:v>
      </x:c>
      <x:c r="D38" s="86" t="str">
        <x:v>마탑 강화 레벨 합계 150</x:v>
      </x:c>
      <x:c r="E38" s="86" t="s">
        <x:v>173</x:v>
      </x:c>
      <x:c r="F38" s="85" t="str">
        <x:v>CurrentState</x:v>
      </x:c>
      <x:c r="G38" s="137">
        <x:v>0</x:v>
      </x:c>
      <x:c r="H38" s="137" t="n">
        <x:v>150</x:v>
      </x:c>
      <x:c r="I38" s="134">
        <x:v>40804</x:v>
      </x:c>
      <x:c r="J38" s="134">
        <x:v>4003</x:v>
      </x:c>
      <x:c r="K38" s="86" t="str">
        <x:v>베타: 최고 합계 저장. 초기화 반복으로 새 기록이 늘지 않음; 3종 총상한 300</x:v>
      </x:c>
    </x:row>
    <x:row r="39" ht="22" customHeight="1">
      <x:c r="A39" s="83" t="s">
        <x:v>87</x:v>
      </x:c>
      <x:c r="B39" s="133">
        <x:v>40804</x:v>
      </x:c>
      <x:c r="C39" s="82" t="s">
        <x:v>238</x:v>
      </x:c>
      <x:c r="D39" s="83" t="s">
        <x:v>260</x:v>
      </x:c>
      <x:c r="E39" s="83" t="s">
        <x:v>206</x:v>
      </x:c>
      <x:c r="F39" s="82" t="s">
        <x:v>119</x:v>
      </x:c>
      <x:c r="G39" s="136">
        <x:v>0</x:v>
      </x:c>
      <x:c r="H39" s="136">
        <x:v>5</x:v>
      </x:c>
      <x:c r="I39" s="133">
        <x:v>40805</x:v>
      </x:c>
      <x:c r="J39" s="133">
        <x:v>4004</x:v>
      </x:c>
      <x:c r="K39" s="83" t="s">
        <x:v>261</x:v>
      </x:c>
    </x:row>
    <x:row r="40" ht="28" customHeight="1">
      <x:c r="A40" s="86" t="s">
        <x:v>87</x:v>
      </x:c>
      <x:c r="B40" s="134">
        <x:v>40805</x:v>
      </x:c>
      <x:c r="C40" s="85" t="s">
        <x:v>239</x:v>
      </x:c>
      <x:c r="D40" s="86" t="s">
        <x:v>262</x:v>
      </x:c>
      <x:c r="E40" s="86" t="s">
        <x:v>206</x:v>
      </x:c>
      <x:c r="F40" s="85" t="s">
        <x:v>119</x:v>
      </x:c>
      <x:c r="G40" s="137">
        <x:v>0</x:v>
      </x:c>
      <x:c r="H40" s="137">
        <x:v>10</x:v>
      </x:c>
      <x:c r="I40" s="134">
        <x:v>0</x:v>
      </x:c>
      <x:c r="J40" s="134">
        <x:v>4005</x:v>
      </x:c>
      <x:c r="K40" s="86" t="str">
        <x:v>베타: 0→10각 파편 누적 55개. 기존 168개 오기 수정</x:v>
      </x:c>
    </x:row>
    <x:row r="41" ht="40" customHeight="1">
      <x:c r="A41" s="106" t="s">
        <x:v>263</x:v>
      </x:c>
      <x:c r="B41" s="145">
        <x:v>40901</x:v>
      </x:c>
      <x:c r="C41" s="107" t="s">
        <x:v>235</x:v>
      </x:c>
      <x:c r="D41" s="106" t="str">
        <x:v>[폐기] 신 스킬 카드 1종 수집</x:v>
      </x:c>
      <x:c r="E41" s="106" t="s">
        <x:v>264</x:v>
      </x:c>
      <x:c r="F41" s="107" t="s">
        <x:v>119</x:v>
      </x:c>
      <x:c r="G41" s="148">
        <x:v>0</x:v>
      </x:c>
      <x:c r="H41" s="148">
        <x:v>1</x:v>
      </x:c>
      <x:c r="I41" s="145" t="n">
        <x:v>0</x:v>
      </x:c>
      <x:c r="J41" s="145" t="n">
        <x:v>0</x:v>
      </x:c>
      <x:c r="K41" s="106" t="str">
        <x:v>폐기: 신 스킬 관련 업적. ID 예약·노출·지급·전체 완료 집계 제외</x:v>
      </x:c>
    </x:row>
    <x:row r="42" ht="40" customHeight="1">
      <x:c r="A42" s="90" t="s">
        <x:v>263</x:v>
      </x:c>
      <x:c r="B42" s="135">
        <x:v>40902</x:v>
      </x:c>
      <x:c r="C42" s="89" t="s">
        <x:v>236</x:v>
      </x:c>
      <x:c r="D42" s="90" t="str">
        <x:v>[폐기] 신 스킬 카드 4종 수집</x:v>
      </x:c>
      <x:c r="E42" s="90" t="s">
        <x:v>264</x:v>
      </x:c>
      <x:c r="F42" s="89" t="s">
        <x:v>119</x:v>
      </x:c>
      <x:c r="G42" s="138">
        <x:v>0</x:v>
      </x:c>
      <x:c r="H42" s="138">
        <x:v>4</x:v>
      </x:c>
      <x:c r="I42" s="135" t="n">
        <x:v>0</x:v>
      </x:c>
      <x:c r="J42" s="135" t="n">
        <x:v>0</x:v>
      </x:c>
      <x:c r="K42" s="90" t="str">
        <x:v>폐기: 신 스킬 관련 업적. ID 예약·노출·지급·전체 완료 집계 제외</x:v>
      </x:c>
    </x:row>
    <x:row r="43" ht="40" customHeight="1">
      <x:c r="A43" s="90" t="s">
        <x:v>263</x:v>
      </x:c>
      <x:c r="B43" s="135">
        <x:v>40903</x:v>
      </x:c>
      <x:c r="C43" s="89" t="s">
        <x:v>237</x:v>
      </x:c>
      <x:c r="D43" s="90" t="str">
        <x:v>[폐기] 신화 등급 카드 1종 보유</x:v>
      </x:c>
      <x:c r="E43" s="90" t="s">
        <x:v>264</x:v>
      </x:c>
      <x:c r="F43" s="89" t="s">
        <x:v>119</x:v>
      </x:c>
      <x:c r="G43" s="138">
        <x:v>3</x:v>
      </x:c>
      <x:c r="H43" s="138">
        <x:v>1</x:v>
      </x:c>
      <x:c r="I43" s="135" t="n">
        <x:v>0</x:v>
      </x:c>
      <x:c r="J43" s="135" t="n">
        <x:v>0</x:v>
      </x:c>
      <x:c r="K43" s="90" t="str">
        <x:v>폐기: 신 스킬 관련 업적. ID 예약·노출·지급·전체 완료 집계 제외</x:v>
      </x:c>
    </x:row>
    <x:row r="44" ht="40" customHeight="1">
      <x:c r="A44" s="90" t="s">
        <x:v>263</x:v>
      </x:c>
      <x:c r="B44" s="135">
        <x:v>40904</x:v>
      </x:c>
      <x:c r="C44" s="89" t="s">
        <x:v>238</x:v>
      </x:c>
      <x:c r="D44" s="90" t="str">
        <x:v>[폐기] 신 스킬 카드 8종 수집</x:v>
      </x:c>
      <x:c r="E44" s="90" t="s">
        <x:v>264</x:v>
      </x:c>
      <x:c r="F44" s="89" t="s">
        <x:v>119</x:v>
      </x:c>
      <x:c r="G44" s="138">
        <x:v>0</x:v>
      </x:c>
      <x:c r="H44" s="138">
        <x:v>8</x:v>
      </x:c>
      <x:c r="I44" s="135" t="n">
        <x:v>0</x:v>
      </x:c>
      <x:c r="J44" s="135" t="n">
        <x:v>0</x:v>
      </x:c>
      <x:c r="K44" s="90" t="str">
        <x:v>폐기: 신 스킬 관련 업적. ID 예약·노출·지급·전체 완료 집계 제외</x:v>
      </x:c>
    </x:row>
    <x:row r="45" ht="40" customHeight="1">
      <x:c r="A45" s="90" t="s">
        <x:v>263</x:v>
      </x:c>
      <x:c r="B45" s="135">
        <x:v>40905</x:v>
      </x:c>
      <x:c r="C45" s="89" t="s">
        <x:v>239</x:v>
      </x:c>
      <x:c r="D45" s="90" t="str">
        <x:v>[폐기] 신 스킬 카드 레벨 10</x:v>
      </x:c>
      <x:c r="E45" s="90" t="s">
        <x:v>265</x:v>
      </x:c>
      <x:c r="F45" s="89" t="s">
        <x:v>119</x:v>
      </x:c>
      <x:c r="G45" s="138">
        <x:v>0</x:v>
      </x:c>
      <x:c r="H45" s="138">
        <x:v>10</x:v>
      </x:c>
      <x:c r="I45" s="135">
        <x:v>0</x:v>
      </x:c>
      <x:c r="J45" s="135" t="n">
        <x:v>0</x:v>
      </x:c>
      <x:c r="K45" s="90" t="str">
        <x:v>폐기: 신 스킬 관련 업적. ID 예약·노출·지급·전체 완료 집계 제외</x:v>
      </x:c>
    </x:row>
    <x:row r="46" ht="22" customHeight="1">
      <x:c r="A46" s="100" t="s">
        <x:v>91</x:v>
      </x:c>
      <x:c r="B46" s="143">
        <x:v>41001</x:v>
      </x:c>
      <x:c r="C46" s="101" t="s">
        <x:v>235</x:v>
      </x:c>
      <x:c r="D46" s="100" t="s">
        <x:v>266</x:v>
      </x:c>
      <x:c r="E46" s="100" t="s">
        <x:v>190</x:v>
      </x:c>
      <x:c r="F46" s="101" t="s">
        <x:v>240</x:v>
      </x:c>
      <x:c r="G46" s="146">
        <x:v>0</x:v>
      </x:c>
      <x:c r="H46" s="146">
        <x:v>1</x:v>
      </x:c>
      <x:c r="I46" s="143">
        <x:v>41002</x:v>
      </x:c>
      <x:c r="J46" s="143">
        <x:v>4001</x:v>
      </x:c>
      <x:c r="K46" s="100"/>
    </x:row>
    <x:row r="47" ht="22" customHeight="1">
      <x:c r="A47" s="83" t="s">
        <x:v>91</x:v>
      </x:c>
      <x:c r="B47" s="133">
        <x:v>41002</x:v>
      </x:c>
      <x:c r="C47" s="82" t="s">
        <x:v>236</x:v>
      </x:c>
      <x:c r="D47" s="83" t="s">
        <x:v>267</x:v>
      </x:c>
      <x:c r="E47" s="83" t="s">
        <x:v>190</x:v>
      </x:c>
      <x:c r="F47" s="82" t="s">
        <x:v>240</x:v>
      </x:c>
      <x:c r="G47" s="136">
        <x:v>0</x:v>
      </x:c>
      <x:c r="H47" s="136">
        <x:v>50</x:v>
      </x:c>
      <x:c r="I47" s="133">
        <x:v>41003</x:v>
      </x:c>
      <x:c r="J47" s="133">
        <x:v>4002</x:v>
      </x:c>
      <x:c r="K47" s="83"/>
    </x:row>
    <x:row r="48" ht="22" customHeight="1">
      <x:c r="A48" s="86" t="s">
        <x:v>91</x:v>
      </x:c>
      <x:c r="B48" s="134">
        <x:v>41003</x:v>
      </x:c>
      <x:c r="C48" s="85" t="s">
        <x:v>237</x:v>
      </x:c>
      <x:c r="D48" s="86" t="s">
        <x:v>268</x:v>
      </x:c>
      <x:c r="E48" s="86" t="s">
        <x:v>190</x:v>
      </x:c>
      <x:c r="F48" s="85" t="s">
        <x:v>240</x:v>
      </x:c>
      <x:c r="G48" s="137">
        <x:v>0</x:v>
      </x:c>
      <x:c r="H48" s="137">
        <x:v>300</x:v>
      </x:c>
      <x:c r="I48" s="134">
        <x:v>41004</x:v>
      </x:c>
      <x:c r="J48" s="134">
        <x:v>4003</x:v>
      </x:c>
      <x:c r="K48" s="86"/>
    </x:row>
    <x:row r="49" ht="22" customHeight="1">
      <x:c r="A49" s="83" t="s">
        <x:v>91</x:v>
      </x:c>
      <x:c r="B49" s="133">
        <x:v>41004</x:v>
      </x:c>
      <x:c r="C49" s="82" t="s">
        <x:v>238</x:v>
      </x:c>
      <x:c r="D49" s="83" t="s">
        <x:v>269</x:v>
      </x:c>
      <x:c r="E49" s="83" t="s">
        <x:v>190</x:v>
      </x:c>
      <x:c r="F49" s="82" t="s">
        <x:v>119</x:v>
      </x:c>
      <x:c r="G49" s="136">
        <x:v>8858697729</x:v>
      </x:c>
      <x:c r="H49" s="136">
        <x:v>1</x:v>
      </x:c>
      <x:c r="I49" s="133">
        <x:v>41005</x:v>
      </x:c>
      <x:c r="J49" s="133">
        <x:v>4004</x:v>
      </x:c>
      <x:c r="K49" s="83"/>
    </x:row>
    <x:row r="50" ht="22" customHeight="1">
      <x:c r="A50" s="86" t="s">
        <x:v>91</x:v>
      </x:c>
      <x:c r="B50" s="134">
        <x:v>41005</x:v>
      </x:c>
      <x:c r="C50" s="85" t="s">
        <x:v>239</x:v>
      </x:c>
      <x:c r="D50" s="86" t="s">
        <x:v>270</x:v>
      </x:c>
      <x:c r="E50" s="86" t="s">
        <x:v>190</x:v>
      </x:c>
      <x:c r="F50" s="85" t="s">
        <x:v>119</x:v>
      </x:c>
      <x:c r="G50" s="137">
        <x:v>9127133185</x:v>
      </x:c>
      <x:c r="H50" s="137">
        <x:v>1</x:v>
      </x:c>
      <x:c r="I50" s="134">
        <x:v>0</x:v>
      </x:c>
      <x:c r="J50" s="134">
        <x:v>4004</x:v>
      </x:c>
      <x:c r="K50" s="86"/>
    </x:row>
    <x:row r="51" ht="64" customHeight="1">
      <x:c r="A51" s="93" t="s">
        <x:v>94</x:v>
      </x:c>
      <x:c r="B51" s="140">
        <x:v>41101</x:v>
      </x:c>
      <x:c r="C51" s="92" t="s">
        <x:v>235</x:v>
      </x:c>
      <x:c r="D51" s="93" t="s">
        <x:v>271</x:v>
      </x:c>
      <x:c r="E51" s="93" t="s">
        <x:v>136</x:v>
      </x:c>
      <x:c r="F51" s="92" t="s">
        <x:v>240</x:v>
      </x:c>
      <x:c r="G51" s="142">
        <x:v>0</x:v>
      </x:c>
      <x:c r="H51" s="142">
        <x:v>50</x:v>
      </x:c>
      <x:c r="I51" s="140">
        <x:v>41102</x:v>
      </x:c>
      <x:c r="J51" s="140">
        <x:v>4001</x:v>
      </x:c>
      <x:c r="K51" s="93" t="str">
        <x:v>베타: 서버 성공 뽑기 누적. 최고1000회는 무료 주20~22회 기준 약45~50주; 구10000회 장기 과다 목표 축소</x:v>
      </x:c>
    </x:row>
    <x:row r="52" ht="64" customHeight="1">
      <x:c r="A52" s="86" t="s">
        <x:v>94</x:v>
      </x:c>
      <x:c r="B52" s="134">
        <x:v>41102</x:v>
      </x:c>
      <x:c r="C52" s="85" t="s">
        <x:v>236</x:v>
      </x:c>
      <x:c r="D52" s="86" t="str">
        <x:v>뽑기 200회</x:v>
      </x:c>
      <x:c r="E52" s="86" t="s">
        <x:v>136</x:v>
      </x:c>
      <x:c r="F52" s="85" t="s">
        <x:v>240</x:v>
      </x:c>
      <x:c r="G52" s="137">
        <x:v>0</x:v>
      </x:c>
      <x:c r="H52" s="137" t="n">
        <x:v>200</x:v>
      </x:c>
      <x:c r="I52" s="134">
        <x:v>41103</x:v>
      </x:c>
      <x:c r="J52" s="134">
        <x:v>4002</x:v>
      </x:c>
      <x:c r="K52" s="86" t="str">
        <x:v>베타: 서버 성공 뽑기 누적. 최고1000회는 무료 주20~22회 기준 약45~50주; 구10000회 장기 과다 목표 축소</x:v>
      </x:c>
    </x:row>
    <x:row r="53" ht="64" customHeight="1">
      <x:c r="A53" s="83" t="s">
        <x:v>94</x:v>
      </x:c>
      <x:c r="B53" s="133">
        <x:v>41103</x:v>
      </x:c>
      <x:c r="C53" s="82" t="s">
        <x:v>237</x:v>
      </x:c>
      <x:c r="D53" s="83" t="str">
        <x:v>뽑기 500회</x:v>
      </x:c>
      <x:c r="E53" s="83" t="s">
        <x:v>136</x:v>
      </x:c>
      <x:c r="F53" s="82" t="s">
        <x:v>240</x:v>
      </x:c>
      <x:c r="G53" s="136">
        <x:v>0</x:v>
      </x:c>
      <x:c r="H53" s="136" t="n">
        <x:v>500</x:v>
      </x:c>
      <x:c r="I53" s="133">
        <x:v>41104</x:v>
      </x:c>
      <x:c r="J53" s="133">
        <x:v>4003</x:v>
      </x:c>
      <x:c r="K53" s="83" t="str">
        <x:v>베타: 서버 성공 뽑기 누적. 최고1000회는 무료 주20~22회 기준 약45~50주; 구10000회 장기 과다 목표 축소</x:v>
      </x:c>
    </x:row>
    <x:row r="54" ht="64" customHeight="1">
      <x:c r="A54" s="86" t="s">
        <x:v>94</x:v>
      </x:c>
      <x:c r="B54" s="134">
        <x:v>41104</x:v>
      </x:c>
      <x:c r="C54" s="85" t="s">
        <x:v>238</x:v>
      </x:c>
      <x:c r="D54" s="86" t="str">
        <x:v>뽑기 1,000회</x:v>
      </x:c>
      <x:c r="E54" s="86" t="s">
        <x:v>136</x:v>
      </x:c>
      <x:c r="F54" s="85" t="s">
        <x:v>240</x:v>
      </x:c>
      <x:c r="G54" s="137">
        <x:v>0</x:v>
      </x:c>
      <x:c r="H54" s="137" t="n">
        <x:v>1000</x:v>
      </x:c>
      <x:c r="I54" s="134">
        <x:v>0</x:v>
      </x:c>
      <x:c r="J54" s="134">
        <x:v>4004</x:v>
      </x:c>
      <x:c r="K54" s="86" t="str">
        <x:v>베타: 서버 성공 뽑기 누적. 최고1000회는 무료 주20~22회 기준 약45~50주; 구10000회 장기 과다 목표 축소</x:v>
      </x:c>
    </x:row>
    <x:row r="55" ht="52" customHeight="1">
      <x:c r="A55" s="93" t="s">
        <x:v>98</x:v>
      </x:c>
      <x:c r="B55" s="140">
        <x:v>41201</x:v>
      </x:c>
      <x:c r="C55" s="92" t="s">
        <x:v>235</x:v>
      </x:c>
      <x:c r="D55" s="93" t="s">
        <x:v>272</x:v>
      </x:c>
      <x:c r="E55" s="93" t="s">
        <x:v>212</x:v>
      </x:c>
      <x:c r="F55" s="92" t="s">
        <x:v>240</x:v>
      </x:c>
      <x:c r="G55" s="142">
        <x:v>0</x:v>
      </x:c>
      <x:c r="H55" s="142">
        <x:v>1</x:v>
      </x:c>
      <x:c r="I55" s="140">
        <x:v>41202</x:v>
      </x:c>
      <x:c r="J55" s="140">
        <x:v>4001</x:v>
      </x:c>
      <x:c r="K55" s="93" t="str">
        <x:v>베타: 서버 환생 성공 누적. Lv300 상한에서도 최대 요구20회는 달성 가능; 유물 해금 없음</x:v>
      </x:c>
    </x:row>
    <x:row r="56" ht="52" customHeight="1">
      <x:c r="A56" s="86" t="s">
        <x:v>98</x:v>
      </x:c>
      <x:c r="B56" s="134">
        <x:v>41202</x:v>
      </x:c>
      <x:c r="C56" s="85" t="s">
        <x:v>236</x:v>
      </x:c>
      <x:c r="D56" s="86" t="str">
        <x:v>환생 5회</x:v>
      </x:c>
      <x:c r="E56" s="86" t="s">
        <x:v>212</x:v>
      </x:c>
      <x:c r="F56" s="85" t="s">
        <x:v>240</x:v>
      </x:c>
      <x:c r="G56" s="137">
        <x:v>0</x:v>
      </x:c>
      <x:c r="H56" s="137" t="n">
        <x:v>5</x:v>
      </x:c>
      <x:c r="I56" s="134">
        <x:v>41203</x:v>
      </x:c>
      <x:c r="J56" s="134">
        <x:v>4002</x:v>
      </x:c>
      <x:c r="K56" s="86" t="str">
        <x:v>베타: 서버 환생 성공 누적. Lv300 상한에서도 최대 요구20회는 달성 가능; 유물 해금 없음</x:v>
      </x:c>
    </x:row>
    <x:row r="57" ht="52" customHeight="1">
      <x:c r="A57" s="83" t="s">
        <x:v>98</x:v>
      </x:c>
      <x:c r="B57" s="133">
        <x:v>41203</x:v>
      </x:c>
      <x:c r="C57" s="82" t="s">
        <x:v>237</x:v>
      </x:c>
      <x:c r="D57" s="83" t="str">
        <x:v>환생 10회</x:v>
      </x:c>
      <x:c r="E57" s="83" t="s">
        <x:v>212</x:v>
      </x:c>
      <x:c r="F57" s="82" t="s">
        <x:v>240</x:v>
      </x:c>
      <x:c r="G57" s="136">
        <x:v>0</x:v>
      </x:c>
      <x:c r="H57" s="136" t="n">
        <x:v>10</x:v>
      </x:c>
      <x:c r="I57" s="133">
        <x:v>41204</x:v>
      </x:c>
      <x:c r="J57" s="133">
        <x:v>4003</x:v>
      </x:c>
      <x:c r="K57" s="83" t="str">
        <x:v>베타: 서버 환생 성공 누적. Lv300 상한에서도 최대 요구20회는 달성 가능; 유물 해금 없음</x:v>
      </x:c>
    </x:row>
    <x:row r="58" ht="52" customHeight="1">
      <x:c r="A58" s="86" t="s">
        <x:v>98</x:v>
      </x:c>
      <x:c r="B58" s="134">
        <x:v>41204</x:v>
      </x:c>
      <x:c r="C58" s="85" t="s">
        <x:v>238</x:v>
      </x:c>
      <x:c r="D58" s="86" t="str">
        <x:v>환생 20회</x:v>
      </x:c>
      <x:c r="E58" s="86" t="s">
        <x:v>212</x:v>
      </x:c>
      <x:c r="F58" s="85" t="s">
        <x:v>240</x:v>
      </x:c>
      <x:c r="G58" s="137">
        <x:v>0</x:v>
      </x:c>
      <x:c r="H58" s="137" t="n">
        <x:v>20</x:v>
      </x:c>
      <x:c r="I58" s="134">
        <x:v>41205</x:v>
      </x:c>
      <x:c r="J58" s="134">
        <x:v>4004</x:v>
      </x:c>
      <x:c r="K58" s="86" t="str">
        <x:v>베타: 서버 환생 성공 누적. Lv300 상한에서도 최대 요구20회는 달성 가능; 유물 해금 없음</x:v>
      </x:c>
    </x:row>
    <x:row r="59" ht="52" customHeight="1">
      <x:c r="A59" s="83" t="s">
        <x:v>98</x:v>
      </x:c>
      <x:c r="B59" s="133">
        <x:v>41205</x:v>
      </x:c>
      <x:c r="C59" s="82" t="s">
        <x:v>239</x:v>
      </x:c>
      <x:c r="D59" s="83" t="str">
        <x:v>환생 레벨 300 달성</x:v>
      </x:c>
      <x:c r="E59" s="83" t="s">
        <x:v>273</x:v>
      </x:c>
      <x:c r="F59" s="82" t="s">
        <x:v>119</x:v>
      </x:c>
      <x:c r="G59" s="136">
        <x:v>0</x:v>
      </x:c>
      <x:c r="H59" s="136" t="n">
        <x:v>300</x:v>
      </x:c>
      <x:c r="I59" s="133">
        <x:v>0</x:v>
      </x:c>
      <x:c r="J59" s="133">
        <x:v>4005</x:v>
      </x:c>
      <x:c r="K59" s="83" t="str">
        <x:v>베타: 환생 레벨 상한300. 구200회 목표는 상한 내 불가능하여 앞 단계20회로 변경. 시작점 상향 없음</x:v>
      </x:c>
    </x:row>
    <x:row r="60" ht="22" customHeight="1">
      <x:c r="A60" s="100" t="s">
        <x:v>102</x:v>
      </x:c>
      <x:c r="B60" s="143">
        <x:v>41301</x:v>
      </x:c>
      <x:c r="C60" s="101" t="s">
        <x:v>235</x:v>
      </x:c>
      <x:c r="D60" s="100" t="s">
        <x:v>274</x:v>
      </x:c>
      <x:c r="E60" s="100" t="s">
        <x:v>209</x:v>
      </x:c>
      <x:c r="F60" s="101" t="s">
        <x:v>119</x:v>
      </x:c>
      <x:c r="G60" s="146">
        <x:v>0</x:v>
      </x:c>
      <x:c r="H60" s="146">
        <x:v>10</x:v>
      </x:c>
      <x:c r="I60" s="143">
        <x:v>41302</x:v>
      </x:c>
      <x:c r="J60" s="143">
        <x:v>4001</x:v>
      </x:c>
      <x:c r="K60" s="100" t="s">
        <x:v>275</x:v>
      </x:c>
    </x:row>
    <x:row r="61" ht="22" customHeight="1">
      <x:c r="A61" s="83" t="s">
        <x:v>102</x:v>
      </x:c>
      <x:c r="B61" s="133">
        <x:v>41302</x:v>
      </x:c>
      <x:c r="C61" s="82" t="s">
        <x:v>236</x:v>
      </x:c>
      <x:c r="D61" s="83" t="s">
        <x:v>276</x:v>
      </x:c>
      <x:c r="E61" s="83" t="s">
        <x:v>209</x:v>
      </x:c>
      <x:c r="F61" s="82" t="s">
        <x:v>119</x:v>
      </x:c>
      <x:c r="G61" s="136">
        <x:v>0</x:v>
      </x:c>
      <x:c r="H61" s="136">
        <x:v>50</x:v>
      </x:c>
      <x:c r="I61" s="133">
        <x:v>41303</x:v>
      </x:c>
      <x:c r="J61" s="133">
        <x:v>4002</x:v>
      </x:c>
      <x:c r="K61" s="83"/>
    </x:row>
    <x:row r="62" ht="22" customHeight="1">
      <x:c r="A62" s="86" t="s">
        <x:v>102</x:v>
      </x:c>
      <x:c r="B62" s="134">
        <x:v>41303</x:v>
      </x:c>
      <x:c r="C62" s="85" t="s">
        <x:v>237</x:v>
      </x:c>
      <x:c r="D62" s="86" t="s">
        <x:v>277</x:v>
      </x:c>
      <x:c r="E62" s="86" t="s">
        <x:v>209</x:v>
      </x:c>
      <x:c r="F62" s="85" t="s">
        <x:v>119</x:v>
      </x:c>
      <x:c r="G62" s="137">
        <x:v>0</x:v>
      </x:c>
      <x:c r="H62" s="137">
        <x:v>100</x:v>
      </x:c>
      <x:c r="I62" s="134">
        <x:v>41304</x:v>
      </x:c>
      <x:c r="J62" s="134">
        <x:v>4003</x:v>
      </x:c>
      <x:c r="K62" s="86"/>
    </x:row>
    <x:row r="63" ht="22" customHeight="1">
      <x:c r="A63" s="83" t="s">
        <x:v>102</x:v>
      </x:c>
      <x:c r="B63" s="133">
        <x:v>41304</x:v>
      </x:c>
      <x:c r="C63" s="82" t="s">
        <x:v>238</x:v>
      </x:c>
      <x:c r="D63" s="83" t="s">
        <x:v>278</x:v>
      </x:c>
      <x:c r="E63" s="83" t="s">
        <x:v>209</x:v>
      </x:c>
      <x:c r="F63" s="82" t="s">
        <x:v>119</x:v>
      </x:c>
      <x:c r="G63" s="136">
        <x:v>0</x:v>
      </x:c>
      <x:c r="H63" s="136">
        <x:v>200</x:v>
      </x:c>
      <x:c r="I63" s="133">
        <x:v>0</x:v>
      </x:c>
      <x:c r="J63" s="133">
        <x:v>4004</x:v>
      </x:c>
      <x:c r="K63" s="83"/>
    </x:row>
  </x:sheetData>
  <x:mergeCells>
    <x:mergeCell ref="A2:L2"/>
    <x:mergeCell ref="A1:L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44AD"/>
  </x:sheetPr>
  <x:sheetViews>
    <x:sheetView showGridLines="0" workbookViewId="0">
      <x:pane ySplit="4" topLeftCell="A5" activePane="bottomLeft" state="frozen"/>
    </x:sheetView>
  </x:sheetViews>
  <x:sheetFormatPr defaultRowHeight="16.5"/>
  <x:cols>
    <x:col min="1" max="1" width="15" customWidth="1"/>
    <x:col min="2" max="2" width="16" customWidth="1"/>
    <x:col min="3" max="3" width="18" customWidth="1"/>
    <x:col min="4" max="4" width="12" customWidth="1"/>
    <x:col min="5" max="5" width="18" customWidth="1"/>
    <x:col min="6" max="6" width="12" customWidth="1"/>
    <x:col min="7" max="7" width="26" customWidth="1"/>
  </x:cols>
  <x:sheetData>
    <x:row r="1" ht="34" customHeight="1">
      <x:c r="A1" s="78" t="s">
        <x:v>29</x:v>
      </x:c>
      <x:c r="B1" s="88"/>
      <x:c r="C1" s="88"/>
      <x:c r="D1" s="88"/>
      <x:c r="E1" s="88"/>
      <x:c r="F1" s="88"/>
      <x:c r="G1" s="88"/>
    </x:row>
    <x:row r="2" ht="62" customHeight="1">
      <x:c r="A2" s="80" t="str">
        <x:v>카탈로그 보상은 Gold / AncientCoin / ClassFragment / ArcaneKnowledge 4종. 루비는 던전 전용 별도 표; 마석·뽑기권은 보류.</x:v>
      </x:c>
      <x:c r="B2" s="88"/>
      <x:c r="C2" s="88"/>
      <x:c r="D2" s="88"/>
      <x:c r="E2" s="88"/>
      <x:c r="F2" s="88"/>
      <x:c r="G2" s="88"/>
    </x:row>
    <x:row r="4" ht="22" customHeight="1">
      <x:c r="A4" s="81" t="s">
        <x:v>112</x:v>
      </x:c>
      <x:c r="B4" s="81" t="s">
        <x:v>279</x:v>
      </x:c>
      <x:c r="C4" s="81" t="s">
        <x:v>280</x:v>
      </x:c>
      <x:c r="D4" s="81" t="s">
        <x:v>281</x:v>
      </x:c>
      <x:c r="E4" s="81" t="s">
        <x:v>282</x:v>
      </x:c>
      <x:c r="F4" s="81" t="s">
        <x:v>283</x:v>
      </x:c>
      <x:c r="G4" s="81" t="s">
        <x:v>114</x:v>
      </x:c>
    </x:row>
    <x:row r="5" ht="22" customHeight="1">
      <x:c r="A5" s="133">
        <x:v>1001</x:v>
      </x:c>
      <x:c r="B5" s="83" t="s">
        <x:v>284</x:v>
      </x:c>
      <x:c r="C5" s="83" t="s">
        <x:v>285</x:v>
      </x:c>
      <x:c r="D5" s="87" t="n">
        <x:v>50</x:v>
      </x:c>
      <x:c r="E5" s="83"/>
      <x:c r="F5" s="84"/>
      <x:c r="G5" s="83"/>
    </x:row>
    <x:row r="6" ht="22" customHeight="1">
      <x:c r="A6" s="134">
        <x:v>1002</x:v>
      </x:c>
      <x:c r="B6" s="86" t="s">
        <x:v>286</x:v>
      </x:c>
      <x:c r="C6" s="83" t="s">
        <x:v>285</x:v>
      </x:c>
      <x:c r="D6" s="87" t="n">
        <x:v>100</x:v>
      </x:c>
      <x:c r="E6" s="86"/>
      <x:c r="F6" s="87"/>
      <x:c r="G6" s="86"/>
    </x:row>
    <x:row r="7" ht="22" customHeight="1">
      <x:c r="A7" s="133">
        <x:v>1003</x:v>
      </x:c>
      <x:c r="B7" s="83" t="s">
        <x:v>287</x:v>
      </x:c>
      <x:c r="C7" s="83" t="s">
        <x:v>285</x:v>
      </x:c>
      <x:c r="D7" s="84" t="n">
        <x:v>150</x:v>
      </x:c>
      <x:c r="E7" s="83"/>
      <x:c r="F7" s="84"/>
      <x:c r="G7" s="83"/>
    </x:row>
    <x:row r="8" ht="22" customHeight="1">
      <x:c r="A8" s="134">
        <x:v>1004</x:v>
      </x:c>
      <x:c r="B8" s="86" t="s">
        <x:v>288</x:v>
      </x:c>
      <x:c r="C8" s="86" t="s">
        <x:v>285</x:v>
      </x:c>
      <x:c r="D8" s="87" t="n">
        <x:v>100</x:v>
      </x:c>
      <x:c r="E8" s="86"/>
      <x:c r="F8" s="87"/>
      <x:c r="G8" s="86"/>
    </x:row>
    <x:row r="9" ht="22" customHeight="1">
      <x:c r="A9" s="133">
        <x:v>1005</x:v>
      </x:c>
      <x:c r="B9" s="83" t="s">
        <x:v>289</x:v>
      </x:c>
      <x:c r="C9" s="86" t="str">
        <x:v>ClassFragment</x:v>
      </x:c>
      <x:c r="D9" s="84" t="n">
        <x:v>40</x:v>
      </x:c>
      <x:c r="E9" s="83"/>
      <x:c r="F9" s="84"/>
      <x:c r="G9" s="83"/>
    </x:row>
    <x:row r="10" ht="22" customHeight="1">
      <x:c r="A10" s="134">
        <x:v>1006</x:v>
      </x:c>
      <x:c r="B10" s="86" t="s">
        <x:v>290</x:v>
      </x:c>
      <x:c r="C10" s="86" t="s">
        <x:v>291</x:v>
      </x:c>
      <x:c r="D10" s="87" t="n">
        <x:v>20</x:v>
      </x:c>
      <x:c r="E10" s="86"/>
      <x:c r="F10" s="87"/>
      <x:c r="G10" s="86"/>
    </x:row>
    <x:row r="11" ht="22" customHeight="1">
      <x:c r="A11" s="133">
        <x:v>1007</x:v>
      </x:c>
      <x:c r="B11" s="83" t="s">
        <x:v>292</x:v>
      </x:c>
      <x:c r="C11" s="83" t="s">
        <x:v>285</x:v>
      </x:c>
      <x:c r="D11" s="84" t="n">
        <x:v>500</x:v>
      </x:c>
      <x:c r="E11" s="83"/>
      <x:c r="F11" s="84"/>
      <x:c r="G11" s="83"/>
    </x:row>
    <x:row r="12" ht="52" customHeight="1">
      <x:c r="A12" s="134">
        <x:v>2001</x:v>
      </x:c>
      <x:c r="B12" s="86" t="s">
        <x:v>293</x:v>
      </x:c>
      <x:c r="C12" s="86" t="s">
        <x:v>294</x:v>
      </x:c>
      <x:c r="D12" s="87">
        <x:v>0</x:v>
      </x:c>
      <x:c r="E12" s="86"/>
      <x:c r="F12" s="87"/>
      <x:c r="G12" s="86" t="str">
        <x:v>동적: 분당 기준 골드 × 2분. 0은 동적 지급 표식이며 실제 0 지급 금지. 기준은 최고 클리어 일반 웨이브·검증 KPM≤30; 지급 시 1회 확정</x:v>
      </x:c>
    </x:row>
    <x:row r="13" ht="22" customHeight="1">
      <x:c r="A13" s="133">
        <x:v>2002</x:v>
      </x:c>
      <x:c r="B13" s="83" t="s">
        <x:v>295</x:v>
      </x:c>
      <x:c r="C13" s="86" t="str">
        <x:v>ClassFragment</x:v>
      </x:c>
      <x:c r="D13" s="84" t="n">
        <x:v>3</x:v>
      </x:c>
      <x:c r="E13" s="83"/>
      <x:c r="F13" s="84"/>
      <x:c r="G13" s="83"/>
    </x:row>
    <x:row r="14" ht="22" customHeight="1">
      <x:c r="A14" s="134">
        <x:v>2003</x:v>
      </x:c>
      <x:c r="B14" s="86" t="s">
        <x:v>296</x:v>
      </x:c>
      <x:c r="C14" s="86" t="s">
        <x:v>291</x:v>
      </x:c>
      <x:c r="D14" s="87">
        <x:v>5</x:v>
      </x:c>
      <x:c r="E14" s="86"/>
      <x:c r="F14" s="87"/>
      <x:c r="G14" s="86"/>
    </x:row>
    <x:row r="15" ht="22" customHeight="1">
      <x:c r="A15" s="133">
        <x:v>2004</x:v>
      </x:c>
      <x:c r="B15" s="83" t="s">
        <x:v>297</x:v>
      </x:c>
      <x:c r="C15" s="83" t="s">
        <x:v>285</x:v>
      </x:c>
      <x:c r="D15" s="84" t="n">
        <x:v>20</x:v>
      </x:c>
      <x:c r="E15" s="83"/>
      <x:c r="F15" s="84"/>
      <x:c r="G15" s="83"/>
    </x:row>
    <x:row r="16" ht="22" customHeight="1">
      <x:c r="A16" s="134">
        <x:v>2005</x:v>
      </x:c>
      <x:c r="B16" s="86" t="s">
        <x:v>298</x:v>
      </x:c>
      <x:c r="C16" s="86" t="s">
        <x:v>285</x:v>
      </x:c>
      <x:c r="D16" s="87" t="n">
        <x:v>80</x:v>
      </x:c>
      <x:c r="E16" s="86" t="s">
        <x:v>291</x:v>
      </x:c>
      <x:c r="F16" s="87" t="n">
        <x:v>20</x:v>
      </x:c>
      <x:c r="G16" s="86"/>
    </x:row>
    <x:row r="17" ht="22" customHeight="1">
      <x:c r="A17" s="133">
        <x:v>3001</x:v>
      </x:c>
      <x:c r="B17" s="83" t="s">
        <x:v>299</x:v>
      </x:c>
      <x:c r="C17" s="83" t="s">
        <x:v>285</x:v>
      </x:c>
      <x:c r="D17" s="84">
        <x:v>50</x:v>
      </x:c>
      <x:c r="E17" s="83"/>
      <x:c r="F17" s="84"/>
      <x:c r="G17" s="83"/>
    </x:row>
    <x:row r="18" ht="22" customHeight="1">
      <x:c r="A18" s="134">
        <x:v>3002</x:v>
      </x:c>
      <x:c r="B18" s="86" t="s">
        <x:v>300</x:v>
      </x:c>
      <x:c r="C18" s="83" t="str">
        <x:v>ClassFragment</x:v>
      </x:c>
      <x:c r="D18" s="87" t="n">
        <x:v>15</x:v>
      </x:c>
      <x:c r="E18" s="86"/>
      <x:c r="F18" s="87"/>
      <x:c r="G18" s="86"/>
    </x:row>
    <x:row r="19" ht="22" customHeight="1">
      <x:c r="A19" s="133">
        <x:v>3003</x:v>
      </x:c>
      <x:c r="B19" s="83" t="s">
        <x:v>301</x:v>
      </x:c>
      <x:c r="C19" s="83" t="s">
        <x:v>291</x:v>
      </x:c>
      <x:c r="D19" s="84" t="n">
        <x:v>50</x:v>
      </x:c>
      <x:c r="E19" s="83"/>
      <x:c r="F19" s="84"/>
      <x:c r="G19" s="83"/>
    </x:row>
    <x:row r="20" ht="22" customHeight="1">
      <x:c r="A20" s="134">
        <x:v>3004</x:v>
      </x:c>
      <x:c r="B20" s="86" t="s">
        <x:v>302</x:v>
      </x:c>
      <x:c r="C20" s="86" t="s">
        <x:v>285</x:v>
      </x:c>
      <x:c r="D20" s="87">
        <x:v>100</x:v>
      </x:c>
      <x:c r="E20" s="86"/>
      <x:c r="F20" s="87"/>
      <x:c r="G20" s="86"/>
    </x:row>
    <x:row r="21" ht="22" customHeight="1">
      <x:c r="A21" s="133">
        <x:v>3005</x:v>
      </x:c>
      <x:c r="B21" s="83" t="s">
        <x:v>303</x:v>
      </x:c>
      <x:c r="C21" s="83" t="s">
        <x:v>285</x:v>
      </x:c>
      <x:c r="D21" s="84">
        <x:v>150</x:v>
      </x:c>
      <x:c r="E21" s="83" t="s">
        <x:v>291</x:v>
      </x:c>
      <x:c r="F21" s="84" t="n">
        <x:v>50</x:v>
      </x:c>
      <x:c r="G21" s="83"/>
    </x:row>
    <x:row r="22" ht="22" customHeight="1">
      <x:c r="A22" s="134">
        <x:v>4001</x:v>
      </x:c>
      <x:c r="B22" s="86" t="s">
        <x:v>304</x:v>
      </x:c>
      <x:c r="C22" s="86" t="s">
        <x:v>285</x:v>
      </x:c>
      <x:c r="D22" s="87">
        <x:v>50</x:v>
      </x:c>
      <x:c r="E22" s="86"/>
      <x:c r="F22" s="87"/>
      <x:c r="G22" s="86"/>
    </x:row>
    <x:row r="23" ht="22" customHeight="1">
      <x:c r="A23" s="133">
        <x:v>4002</x:v>
      </x:c>
      <x:c r="B23" s="83" t="s">
        <x:v>305</x:v>
      </x:c>
      <x:c r="C23" s="83" t="s">
        <x:v>285</x:v>
      </x:c>
      <x:c r="D23" s="84">
        <x:v>150</x:v>
      </x:c>
      <x:c r="E23" s="83"/>
      <x:c r="F23" s="84"/>
      <x:c r="G23" s="83"/>
    </x:row>
    <x:row r="24" ht="22" customHeight="1">
      <x:c r="A24" s="134">
        <x:v>4003</x:v>
      </x:c>
      <x:c r="B24" s="86" t="s">
        <x:v>306</x:v>
      </x:c>
      <x:c r="C24" s="86" t="s">
        <x:v>285</x:v>
      </x:c>
      <x:c r="D24" s="87">
        <x:v>300</x:v>
      </x:c>
      <x:c r="E24" s="86" t="s">
        <x:v>291</x:v>
      </x:c>
      <x:c r="F24" s="87">
        <x:v>30</x:v>
      </x:c>
      <x:c r="G24" s="86"/>
    </x:row>
    <x:row r="25" ht="28" customHeight="1">
      <x:c r="A25" s="133">
        <x:v>4004</x:v>
      </x:c>
      <x:c r="B25" s="83" t="s">
        <x:v>307</x:v>
      </x:c>
      <x:c r="C25" s="83" t="s">
        <x:v>285</x:v>
      </x:c>
      <x:c r="D25" s="84">
        <x:v>600</x:v>
      </x:c>
      <x:c r="E25" s="83" t="str">
        <x:v>ArcaneKnowledge</x:v>
      </x:c>
      <x:c r="F25" s="84">
        <x:v>50</x:v>
      </x:c>
      <x:c r="G25" s="83" t="str">
        <x:v>베타 정정: 수량 2=50의 재화명이 비어 있던 오류 보완</x:v>
      </x:c>
    </x:row>
    <x:row r="26" ht="22" customHeight="1">
      <x:c r="A26" s="134">
        <x:v>4005</x:v>
      </x:c>
      <x:c r="B26" s="86" t="s">
        <x:v>308</x:v>
      </x:c>
      <x:c r="C26" s="86" t="s">
        <x:v>285</x:v>
      </x:c>
      <x:c r="D26" s="87">
        <x:v>1500</x:v>
      </x:c>
      <x:c r="E26" s="86" t="s">
        <x:v>291</x:v>
      </x:c>
      <x:c r="F26" s="87">
        <x:v>150</x:v>
      </x:c>
      <x:c r="G26" s="86" t="s">
        <x:v>309</x:v>
      </x:c>
    </x:row>
    <x:row r="28" ht="44" customHeight="1">
      <x:c r="A28" s="96" t="str">
        <x:v>루비: 베타 신규 지갑 enum 6 예약, 던전 보상으로 지급. 마석·뽑기권: 미구현 보류, 베타 필수 수급·소모에 사용하지 않음.</x:v>
      </x:c>
      <x:c r="B28" s="88"/>
      <x:c r="C28" s="88"/>
      <x:c r="D28" s="88"/>
      <x:c r="E28" s="88"/>
      <x:c r="F28" s="88"/>
      <x:c r="G28" s="88"/>
    </x:row>
    <x:row r="29" ht="44" customHeight="1">
      <x:c r="A29" s="96" t="str">
        <x:v>무료 마탑 해금·각성 파편: Stage 베타개정의 최초 클리어 보상에서 skillId 지정. 본 표에 임의 통화명으로 넣지 않음.</x:v>
      </x:c>
      <x:c r="B29" s="88"/>
      <x:c r="C29" s="88"/>
      <x:c r="D29" s="88"/>
      <x:c r="E29" s="88"/>
      <x:c r="F29" s="88"/>
      <x:c r="G29" s="88"/>
    </x:row>
  </x:sheetData>
  <x:mergeCells>
    <x:mergeCell ref="A2:G2"/>
    <x:mergeCell ref="A1:G1"/>
    <x:mergeCell ref="A28:G28"/>
    <x:mergeCell ref="A29:G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5221F"/>
  </x:sheetPr>
  <x:sheetViews>
    <x:sheetView showGridLines="0" workbookViewId="0">
      <x:pane ySplit="4" topLeftCell="A5" activePane="bottomLeft" state="frozen"/>
    </x:sheetView>
  </x:sheetViews>
  <x:sheetFormatPr defaultRowHeight="16.5"/>
  <x:cols>
    <x:col min="1" max="1" width="22" customWidth="1"/>
    <x:col min="2" max="2" width="20" customWidth="1"/>
    <x:col min="3" max="3" width="16" customWidth="1"/>
    <x:col min="4" max="4" width="30" customWidth="1"/>
    <x:col min="5" max="5" width="34" customWidth="1"/>
    <x:col min="6" max="6" width="10" customWidth="1"/>
    <x:col min="7" max="7" width="40" customWidth="1"/>
  </x:cols>
  <x:sheetData>
    <x:row r="1" ht="34" customHeight="1">
      <x:c r="A1" s="78" t="s">
        <x:v>310</x:v>
      </x:c>
      <x:c r="B1" s="88"/>
      <x:c r="C1" s="88"/>
      <x:c r="D1" s="88"/>
      <x:c r="E1" s="88"/>
      <x:c r="F1" s="88"/>
      <x:c r="G1" s="88"/>
    </x:row>
    <x:row r="2" ht="62" customHeight="1">
      <x:c r="A2" s="80" t="str">
        <x:v>현재 코드 12개 enum(0~11) 보존. 신규는 예약 ID로 명시, 아직 코드에 미반영. 폐기·보류 목표는 임포트 제외.</x:v>
      </x:c>
      <x:c r="B2" s="88"/>
      <x:c r="C2" s="88"/>
      <x:c r="D2" s="88"/>
      <x:c r="E2" s="88"/>
      <x:c r="F2" s="88"/>
      <x:c r="G2" s="88"/>
    </x:row>
    <x:row r="4" ht="22" customHeight="1">
      <x:c r="A4" s="81" t="s">
        <x:v>107</x:v>
      </x:c>
      <x:c r="B4" s="81" t="s">
        <x:v>311</x:v>
      </x:c>
      <x:c r="C4" s="81" t="s">
        <x:v>312</x:v>
      </x:c>
      <x:c r="D4" s="81" t="s">
        <x:v>313</x:v>
      </x:c>
      <x:c r="E4" s="81" t="s">
        <x:v>314</x:v>
      </x:c>
      <x:c r="F4" s="81" t="s">
        <x:v>53</x:v>
      </x:c>
      <x:c r="G4" s="81" t="s">
        <x:v>315</x:v>
      </x:c>
    </x:row>
    <x:row r="5" ht="28" customHeight="1">
      <x:c r="A5" s="83" t="s">
        <x:v>118</x:v>
      </x:c>
      <x:c r="B5" s="83" t="s">
        <x:v>316</x:v>
      </x:c>
      <x:c r="C5" s="83" t="s">
        <x:v>317</x:v>
      </x:c>
      <x:c r="D5" s="83" t="s">
        <x:v>119</x:v>
      </x:c>
      <x:c r="E5" s="83" t="s">
        <x:v>318</x:v>
      </x:c>
      <x:c r="F5" s="151" t="str">
        <x:v>부분</x:v>
      </x:c>
      <x:c r="G5" s="83" t="str">
        <x:v>현재 maxStage 정수 비교는 콘텐츠 혼동 위험. (타입,단계,웨이브) 클리어 플래그로 교체</x:v>
      </x:c>
    </x:row>
    <x:row r="6" ht="22" customHeight="1">
      <x:c r="A6" s="86" t="s">
        <x:v>123</x:v>
      </x:c>
      <x:c r="B6" s="86" t="s">
        <x:v>319</x:v>
      </x:c>
      <x:c r="C6" s="86" t="s">
        <x:v>320</x:v>
      </x:c>
      <x:c r="D6" s="86" t="s">
        <x:v>321</x:v>
      </x:c>
      <x:c r="E6" s="86" t="s">
        <x:v>322</x:v>
      </x:c>
      <x:c r="F6" s="151" t="s">
        <x:v>323</x:v>
      </x:c>
      <x:c r="G6" s="86" t="s">
        <x:v>324</x:v>
      </x:c>
    </x:row>
    <x:row r="7" ht="28" customHeight="1">
      <x:c r="A7" s="83" t="s">
        <x:v>152</x:v>
      </x:c>
      <x:c r="B7" s="83" t="s">
        <x:v>325</x:v>
      </x:c>
      <x:c r="C7" s="83" t="s">
        <x:v>317</x:v>
      </x:c>
      <x:c r="D7" s="83" t="str">
        <x:v>CurrentState / LifetimeTotal</x:v>
      </x:c>
      <x:c r="E7" s="83" t="s">
        <x:v>326</x:v>
      </x:c>
      <x:c r="F7" s="154" t="s">
        <x:v>56</x:v>
      </x:c>
      <x:c r="G7" s="83" t="str">
        <x:v>보유 수량·서버 승인 신규 획득 각각 분리. 장착 포함; 중복 네트워크 응답 제외</x:v>
      </x:c>
    </x:row>
    <x:row r="8" ht="22" customHeight="1">
      <x:c r="A8" s="86" t="s">
        <x:v>141</x:v>
      </x:c>
      <x:c r="B8" s="86" t="s">
        <x:v>139</x:v>
      </x:c>
      <x:c r="C8" s="86" t="s">
        <x:v>317</x:v>
      </x:c>
      <x:c r="D8" s="86" t="s">
        <x:v>119</x:v>
      </x:c>
      <x:c r="E8" s="86" t="s">
        <x:v>327</x:v>
      </x:c>
      <x:c r="F8" s="154" t="s">
        <x:v>56</x:v>
      </x:c>
      <x:c r="G8" s="86" t="s">
        <x:v>328</x:v>
      </x:c>
    </x:row>
    <x:row r="9" ht="22" customHeight="1">
      <x:c r="A9" s="83" t="s">
        <x:v>136</x:v>
      </x:c>
      <x:c r="B9" s="83" t="s">
        <x:v>329</x:v>
      </x:c>
      <x:c r="C9" s="83" t="s">
        <x:v>320</x:v>
      </x:c>
      <x:c r="D9" s="83" t="s">
        <x:v>321</x:v>
      </x:c>
      <x:c r="E9" s="83" t="s">
        <x:v>330</x:v>
      </x:c>
      <x:c r="F9" s="154" t="s">
        <x:v>56</x:v>
      </x:c>
      <x:c r="G9" s="83" t="s">
        <x:v>331</x:v>
      </x:c>
    </x:row>
    <x:row r="10" ht="28" customHeight="1">
      <x:c r="A10" s="86" t="s">
        <x:v>186</x:v>
      </x:c>
      <x:c r="B10" s="86" t="s">
        <x:v>184</x:v>
      </x:c>
      <x:c r="C10" s="86" t="str">
        <x:v>가이드 일일</x:v>
      </x:c>
      <x:c r="D10" s="86" t="str">
        <x:v>LifetimeTotal / EventCount</x:v>
      </x:c>
      <x:c r="E10" s="86" t="s">
        <x:v>332</x:v>
      </x:c>
      <x:c r="F10" s="154" t="s">
        <x:v>56</x:v>
      </x:c>
      <x:c r="G10" s="86" t="str">
        <x:v>서버 입장 승인·첫 스폰 후 1회. TargetId=0 전체; 아니면 던전 StageId</x:v>
      </x:c>
    </x:row>
    <x:row r="11" ht="22" customHeight="1">
      <x:c r="A11" s="83" t="s">
        <x:v>190</x:v>
      </x:c>
      <x:c r="B11" s="83" t="s">
        <x:v>333</x:v>
      </x:c>
      <x:c r="C11" s="83" t="s">
        <x:v>320</x:v>
      </x:c>
      <x:c r="D11" s="83" t="s">
        <x:v>334</x:v>
      </x:c>
      <x:c r="E11" s="83" t="s">
        <x:v>335</x:v>
      </x:c>
      <x:c r="F11" s="154" t="s">
        <x:v>56</x:v>
      </x:c>
      <x:c r="G11" s="83" t="s">
        <x:v>336</x:v>
      </x:c>
    </x:row>
    <x:row r="12" ht="22" customHeight="1">
      <x:c r="A12" s="86" t="s">
        <x:v>160</x:v>
      </x:c>
      <x:c r="B12" s="86" t="s">
        <x:v>81</x:v>
      </x:c>
      <x:c r="C12" s="86" t="s">
        <x:v>317</x:v>
      </x:c>
      <x:c r="D12" s="86" t="s">
        <x:v>119</x:v>
      </x:c>
      <x:c r="E12" s="86" t="s">
        <x:v>337</x:v>
      </x:c>
      <x:c r="F12" s="154" t="s">
        <x:v>56</x:v>
      </x:c>
      <x:c r="G12" s="86" t="s">
        <x:v>338</x:v>
      </x:c>
    </x:row>
    <x:row r="13" ht="22" customHeight="1">
      <x:c r="A13" s="83" t="s">
        <x:v>170</x:v>
      </x:c>
      <x:c r="B13" s="83" t="s">
        <x:v>339</x:v>
      </x:c>
      <x:c r="C13" s="83" t="s">
        <x:v>6</x:v>
      </x:c>
      <x:c r="D13" s="83" t="s">
        <x:v>119</x:v>
      </x:c>
      <x:c r="E13" s="83" t="s">
        <x:v>340</x:v>
      </x:c>
      <x:c r="F13" s="154" t="s">
        <x:v>56</x:v>
      </x:c>
      <x:c r="G13" s="83" t="s">
        <x:v>341</x:v>
      </x:c>
    </x:row>
    <x:row r="14" ht="28" customHeight="1">
      <x:c r="A14" s="86" t="s">
        <x:v>342</x:v>
      </x:c>
      <x:c r="B14" s="86" t="s">
        <x:v>343</x:v>
      </x:c>
      <x:c r="C14" s="86" t="s">
        <x:v>317</x:v>
      </x:c>
      <x:c r="D14" s="86" t="s">
        <x:v>119</x:v>
      </x:c>
      <x:c r="E14" s="86" t="s">
        <x:v>344</x:v>
      </x:c>
      <x:c r="F14" s="156" t="str">
        <x:v>신규</x:v>
      </x:c>
      <x:c r="G14" s="86" t="str">
        <x:v>LevelUp 기존 2 보존; PlayerLevel 신규 12. 계정 레벨은 환생 보존</x:v>
      </x:c>
    </x:row>
    <x:row r="15" ht="22" customHeight="1">
      <x:c r="A15" s="83" t="s">
        <x:v>345</x:v>
      </x:c>
      <x:c r="B15" s="83" t="s">
        <x:v>346</x:v>
      </x:c>
      <x:c r="C15" s="83" t="s">
        <x:v>79</x:v>
      </x:c>
      <x:c r="D15" s="83" t="s">
        <x:v>79</x:v>
      </x:c>
      <x:c r="E15" s="83" t="s">
        <x:v>79</x:v>
      </x:c>
      <x:c r="F15" s="158" t="s">
        <x:v>347</x:v>
      </x:c>
      <x:c r="G15" s="83" t="s">
        <x:v>348</x:v>
      </x:c>
    </x:row>
    <x:row r="16" ht="22" customHeight="1">
      <x:c r="A16" s="86" t="s">
        <x:v>349</x:v>
      </x:c>
      <x:c r="B16" s="86" t="s">
        <x:v>350</x:v>
      </x:c>
      <x:c r="C16" s="86" t="s">
        <x:v>79</x:v>
      </x:c>
      <x:c r="D16" s="86" t="s">
        <x:v>79</x:v>
      </x:c>
      <x:c r="E16" s="86" t="s">
        <x:v>79</x:v>
      </x:c>
      <x:c r="F16" s="158" t="s">
        <x:v>347</x:v>
      </x:c>
      <x:c r="G16" s="86" t="s">
        <x:v>351</x:v>
      </x:c>
    </x:row>
    <x:row r="17" ht="28" customHeight="1">
      <x:c r="A17" s="83" t="s">
        <x:v>217</x:v>
      </x:c>
      <x:c r="B17" s="83" t="s">
        <x:v>352</x:v>
      </x:c>
      <x:c r="C17" s="83" t="s">
        <x:v>353</x:v>
      </x:c>
      <x:c r="D17" s="83" t="s">
        <x:v>321</x:v>
      </x:c>
      <x:c r="E17" s="83" t="s">
        <x:v>354</x:v>
      </x:c>
      <x:c r="F17" s="156" t="s">
        <x:v>355</x:v>
      </x:c>
      <x:c r="G17" s="83" t="str">
        <x:v>신규 13. 몬스터의 보스 메타를 사용; W11만 검사하면 루비 보스를 놓침</x:v>
      </x:c>
    </x:row>
    <x:row r="18" ht="28" customHeight="1">
      <x:c r="A18" s="86" t="s">
        <x:v>126</x:v>
      </x:c>
      <x:c r="B18" s="86" t="s">
        <x:v>356</x:v>
      </x:c>
      <x:c r="C18" s="86" t="s">
        <x:v>320</x:v>
      </x:c>
      <x:c r="D18" s="86" t="str">
        <x:v>CurrentState</x:v>
      </x:c>
      <x:c r="E18" s="86" t="str">
        <x:v>StatEnhanceManager.OnEnhanceCompleted</x:v>
      </x:c>
      <x:c r="F18" s="156" t="s">
        <x:v>355</x:v>
      </x:c>
      <x:c r="G18" s="86" t="str">
        <x:v>신규 14. 성공 확인 및 레벨 차분. OnEnhanced는 실패·예약·로드에도 발생하므로 집계 금지</x:v>
      </x:c>
    </x:row>
    <x:row r="19" ht="28" customHeight="1">
      <x:c r="A19" s="83" t="s">
        <x:v>357</x:v>
      </x:c>
      <x:c r="B19" s="83" t="s">
        <x:v>358</x:v>
      </x:c>
      <x:c r="C19" s="83" t="s">
        <x:v>317</x:v>
      </x:c>
      <x:c r="D19" s="83" t="s">
        <x:v>321</x:v>
      </x:c>
      <x:c r="E19" s="83" t="s">
        <x:v>359</x:v>
      </x:c>
      <x:c r="F19" s="161" t="str">
        <x:v>폐기</x:v>
      </x:c>
      <x:c r="G19" s="83" t="str">
        <x:v>합성은 코드에서 기획 제외 명시. 새 enum을 할당하지 않고 역사 행만 보존</x:v>
      </x:c>
    </x:row>
    <x:row r="20" ht="22" customHeight="1">
      <x:c r="A20" s="86" t="s">
        <x:v>258</x:v>
      </x:c>
      <x:c r="B20" s="86" t="s">
        <x:v>360</x:v>
      </x:c>
      <x:c r="C20" s="86" t="s">
        <x:v>16</x:v>
      </x:c>
      <x:c r="D20" s="86" t="s">
        <x:v>119</x:v>
      </x:c>
      <x:c r="E20" s="86" t="s">
        <x:v>361</x:v>
      </x:c>
      <x:c r="F20" s="156" t="s">
        <x:v>355</x:v>
      </x:c>
      <x:c r="G20" s="86" t="str">
        <x:v>신규 15. 보유 skillId 종류 수; 베타 풀 3종</x:v>
      </x:c>
    </x:row>
    <x:row r="21" ht="22" customHeight="1">
      <x:c r="A21" s="83" t="s">
        <x:v>173</x:v>
      </x:c>
      <x:c r="B21" s="83" t="s">
        <x:v>362</x:v>
      </x:c>
      <x:c r="C21" s="83" t="s">
        <x:v>320</x:v>
      </x:c>
      <x:c r="D21" s="83" t="str">
        <x:v>CurrentState</x:v>
      </x:c>
      <x:c r="E21" s="83" t="s">
        <x:v>363</x:v>
      </x:c>
      <x:c r="F21" s="156" t="s">
        <x:v>355</x:v>
      </x:c>
      <x:c r="G21" s="83" t="str">
        <x:v>신규 16. 현재 합계·역대 최고 합계. 초기화 반복 누적 제외</x:v>
      </x:c>
    </x:row>
    <x:row r="22" ht="22" customHeight="1">
      <x:c r="A22" s="86" t="s">
        <x:v>206</x:v>
      </x:c>
      <x:c r="B22" s="86" t="s">
        <x:v>364</x:v>
      </x:c>
      <x:c r="C22" s="86" t="s">
        <x:v>317</x:v>
      </x:c>
      <x:c r="D22" s="86" t="s">
        <x:v>119</x:v>
      </x:c>
      <x:c r="E22" s="86" t="s">
        <x:v>365</x:v>
      </x:c>
      <x:c r="F22" s="156" t="s">
        <x:v>355</x:v>
      </x:c>
      <x:c r="G22" s="86" t="str">
        <x:v>신규 17. 보유 스킬 중 가장 높은 각성 단계; 최대 10</x:v>
      </x:c>
    </x:row>
    <x:row r="23" ht="22" customHeight="1">
      <x:c r="A23" s="83" t="s">
        <x:v>198</x:v>
      </x:c>
      <x:c r="B23" s="83" t="s">
        <x:v>366</x:v>
      </x:c>
      <x:c r="C23" s="83" t="s">
        <x:v>6</x:v>
      </x:c>
      <x:c r="D23" s="83" t="s">
        <x:v>119</x:v>
      </x:c>
      <x:c r="E23" s="83" t="s">
        <x:v>367</x:v>
      </x:c>
      <x:c r="F23" s="161" t="str">
        <x:v>폐기</x:v>
      </x:c>
      <x:c r="G23" s="83" t="str">
        <x:v>신 스킬 삭제. 신규 enum 등록·발행·보상 연결 금지</x:v>
      </x:c>
    </x:row>
    <x:row r="24" ht="22" customHeight="1">
      <x:c r="A24" s="86" t="s">
        <x:v>201</x:v>
      </x:c>
      <x:c r="B24" s="86" t="s">
        <x:v>368</x:v>
      </x:c>
      <x:c r="C24" s="86" t="s">
        <x:v>369</x:v>
      </x:c>
      <x:c r="D24" s="86" t="s">
        <x:v>202</x:v>
      </x:c>
      <x:c r="E24" s="86" t="s">
        <x:v>370</x:v>
      </x:c>
      <x:c r="F24" s="161" t="str">
        <x:v>폐기</x:v>
      </x:c>
      <x:c r="G24" s="86" t="str">
        <x:v>신 스킬 삭제. 신규 enum 등록·발행·보상 연결 금지</x:v>
      </x:c>
    </x:row>
    <x:row r="25" ht="22" customHeight="1">
      <x:c r="A25" s="83" t="s">
        <x:v>264</x:v>
      </x:c>
      <x:c r="B25" s="83" t="s">
        <x:v>371</x:v>
      </x:c>
      <x:c r="C25" s="83" t="s">
        <x:v>16</x:v>
      </x:c>
      <x:c r="D25" s="83" t="s">
        <x:v>119</x:v>
      </x:c>
      <x:c r="E25" s="83" t="s">
        <x:v>372</x:v>
      </x:c>
      <x:c r="F25" s="161" t="str">
        <x:v>폐기</x:v>
      </x:c>
      <x:c r="G25" s="83" t="str">
        <x:v>신 스킬 삭제. 신규 enum 등록·발행·보상 연결 금지</x:v>
      </x:c>
    </x:row>
    <x:row r="26" ht="22" customHeight="1">
      <x:c r="A26" s="86" t="s">
        <x:v>265</x:v>
      </x:c>
      <x:c r="B26" s="86" t="s">
        <x:v>373</x:v>
      </x:c>
      <x:c r="C26" s="86" t="s">
        <x:v>16</x:v>
      </x:c>
      <x:c r="D26" s="86" t="s">
        <x:v>119</x:v>
      </x:c>
      <x:c r="E26" s="86" t="s">
        <x:v>374</x:v>
      </x:c>
      <x:c r="F26" s="161" t="str">
        <x:v>폐기</x:v>
      </x:c>
      <x:c r="G26" s="86" t="str">
        <x:v>신 스킬 삭제. 신규 enum 등록·발행·보상 연결 금지</x:v>
      </x:c>
    </x:row>
    <x:row r="27" ht="22" customHeight="1">
      <x:c r="A27" s="83" t="s">
        <x:v>212</x:v>
      </x:c>
      <x:c r="B27" s="83" t="s">
        <x:v>375</x:v>
      </x:c>
      <x:c r="C27" s="83" t="s">
        <x:v>376</x:v>
      </x:c>
      <x:c r="D27" s="83" t="s">
        <x:v>321</x:v>
      </x:c>
      <x:c r="E27" s="83" t="s">
        <x:v>377</x:v>
      </x:c>
      <x:c r="F27" s="156" t="s">
        <x:v>355</x:v>
      </x:c>
      <x:c r="G27" s="83" t="str">
        <x:v>신규 18. 서버 완료 원장 transactionId별 1회</x:v>
      </x:c>
    </x:row>
    <x:row r="28" ht="22" customHeight="1">
      <x:c r="A28" s="86" t="s">
        <x:v>273</x:v>
      </x:c>
      <x:c r="B28" s="86" t="s">
        <x:v>378</x:v>
      </x:c>
      <x:c r="C28" s="86" t="s">
        <x:v>16</x:v>
      </x:c>
      <x:c r="D28" s="86" t="s">
        <x:v>119</x:v>
      </x:c>
      <x:c r="E28" s="86" t="s">
        <x:v>379</x:v>
      </x:c>
      <x:c r="F28" s="156" t="s">
        <x:v>355</x:v>
      </x:c>
      <x:c r="G28" s="86" t="str">
        <x:v>신규 19. 환생 레벨 현재값, 상한 300</x:v>
      </x:c>
    </x:row>
    <x:row r="29" ht="28" customHeight="1">
      <x:c r="A29" s="83" t="s">
        <x:v>254</x:v>
      </x:c>
      <x:c r="B29" s="83" t="s">
        <x:v>380</x:v>
      </x:c>
      <x:c r="C29" s="83" t="s">
        <x:v>16</x:v>
      </x:c>
      <x:c r="D29" s="83" t="str">
        <x:v>LifetimeTotal / CurrentState</x:v>
      </x:c>
      <x:c r="E29" s="83" t="s">
        <x:v>381</x:v>
      </x:c>
      <x:c r="F29" s="158" t="str">
        <x:v>보류</x:v>
      </x:c>
      <x:c r="G29" s="83" t="str">
        <x:v>현재 enum 없음. 조합 4종은 역대 distinct ID 집합; 베타에는 미등록</x:v>
      </x:c>
    </x:row>
    <x:row r="30" ht="22" customHeight="1">
      <x:c r="A30" s="86" t="s">
        <x:v>223</x:v>
      </x:c>
      <x:c r="B30" s="86" t="s">
        <x:v>382</x:v>
      </x:c>
      <x:c r="C30" s="86" t="str">
        <x:v>보류</x:v>
      </x:c>
      <x:c r="D30" s="86" t="s">
        <x:v>202</x:v>
      </x:c>
      <x:c r="E30" s="86" t="s">
        <x:v>383</x:v>
      </x:c>
      <x:c r="F30" s="158" t="str">
        <x:v>보류</x:v>
      </x:c>
      <x:c r="G30" s="86" t="str">
        <x:v>광고 SDK 및 정책 확정 후 별도. 일일 완료 조건 아님</x:v>
      </x:c>
    </x:row>
    <x:row r="31" ht="22" customHeight="1">
      <x:c r="A31" s="83" t="s">
        <x:v>224</x:v>
      </x:c>
      <x:c r="B31" s="83" t="s">
        <x:v>384</x:v>
      </x:c>
      <x:c r="C31" s="83" t="s">
        <x:v>9</x:v>
      </x:c>
      <x:c r="D31" s="83" t="s">
        <x:v>202</x:v>
      </x:c>
      <x:c r="E31" s="83" t="s">
        <x:v>385</x:v>
      </x:c>
      <x:c r="F31" s="156" t="s">
        <x:v>355</x:v>
      </x:c>
      <x:c r="G31" s="83" t="str">
        <x:v>신규 20. 승인된 보상 ClaimId 1회, 단순 버튼 클릭 제외</x:v>
      </x:c>
    </x:row>
    <x:row r="32" ht="28" customHeight="1">
      <x:c r="A32" s="86" t="s">
        <x:v>226</x:v>
      </x:c>
      <x:c r="B32" s="86" t="str">
        <x:v>기본 목표 N개 중 K개 달성</x:v>
      </x:c>
      <x:c r="C32" s="86" t="s">
        <x:v>386</x:v>
      </x:c>
      <x:c r="D32" s="86" t="s">
        <x:v>119</x:v>
      </x:c>
      <x:c r="E32" s="86" t="s">
        <x:v>387</x:v>
      </x:c>
      <x:c r="F32" s="156" t="s">
        <x:v>355</x:v>
      </x:c>
      <x:c r="G32" s="86" t="str">
        <x:v>신규 21. 일일 5/7·주간 5/6. 자신·폐기·보류 제외; 수령 전 달성도 인정</x:v>
      </x:c>
    </x:row>
    <x:row r="34" ht="22" customHeight="1">
      <x:c r="A34" s="132" t="s">
        <x:v>388</x:v>
      </x:c>
    </x:row>
    <x:row r="35" ht="22" customHeight="1">
      <x:c r="A35" s="127" t="s">
        <x:v>389</x:v>
      </x:c>
      <x:c r="B35" s="128" t="s">
        <x:v>323</x:v>
      </x:c>
      <x:c r="C35" s="129" t="s">
        <x:v>56</x:v>
      </x:c>
      <x:c r="D35" s="130" t="s">
        <x:v>355</x:v>
      </x:c>
      <x:c r="E35" s="131" t="s">
        <x:v>347</x:v>
      </x:c>
    </x:row>
    <x:row r="37" ht="37" customHeight="1">
      <x:c r="A37" s="149" t="str">
        <x:v>EquipmentEnhance</x:v>
      </x:c>
      <x:c r="B37" s="149" t="str">
        <x:v>장비 강화 레벨 합계</x:v>
      </x:c>
      <x:c r="C37" s="149" t="str">
        <x:v>업적</x:v>
      </x:c>
      <x:c r="D37" s="149" t="str">
        <x:v>CurrentState</x:v>
      </x:c>
      <x:c r="E37" s="149" t="str">
        <x:v>EquipmentManager 성공 강화 / 보유 스냅샷</x:v>
      </x:c>
      <x:c r="F37" s="164" t="str">
        <x:v>신규</x:v>
      </x:c>
      <x:c r="G37" s="149" t="str">
        <x:v>신규 22. 최고 합계 저장; 장착·가방 중복 참조 제외</x:v>
      </x:c>
    </x:row>
    <x:row r="38" ht="37" customHeight="1">
      <x:c r="A38" s="149" t="str">
        <x:v>BattleTime</x:v>
      </x:c>
      <x:c r="B38" s="149" t="str">
        <x:v>온라인 실제 전투 초</x:v>
      </x:c>
      <x:c r="C38" s="149" t="str">
        <x:v>일일 주간</x:v>
      </x:c>
      <x:c r="D38" s="149" t="str">
        <x:v>EventCount</x:v>
      </x:c>
      <x:c r="E38" s="149" t="str">
        <x:v>서버 검증 battle session 누적</x:v>
      </x:c>
      <x:c r="F38" s="164" t="str">
        <x:v>신규</x:v>
      </x:c>
      <x:c r="G38" s="149" t="str">
        <x:v>신규 23. 메뉴·로딩·백그라운드·오프라인 제외. 동시 세션 중복 금지</x:v>
      </x:c>
    </x:row>
    <x:row r="39" ht="37" customHeight="1">
      <x:c r="A39" s="149" t="str">
        <x:v>MainWaveClear</x:v>
      </x:c>
      <x:c r="B39" s="149" t="str">
        <x:v>메인 일반 웨이브 클리어</x:v>
      </x:c>
      <x:c r="C39" s="149" t="str">
        <x:v>주간</x:v>
      </x:c>
      <x:c r="D39" s="149" t="str">
        <x:v>EventCount</x:v>
      </x:c>
      <x:c r="E39" s="149" t="str">
        <x:v>StageManager 완료 승인</x:v>
      </x:c>
      <x:c r="F39" s="164" t="str">
        <x:v>신규</x:v>
      </x:c>
      <x:c r="G39" s="149" t="str">
        <x:v>신규 24. 반복 일반 허용; 보스·던전 제외</x:v>
      </x:c>
    </x:row>
    <x:row r="40" ht="37" customHeight="1">
      <x:c r="A40" s="149" t="str">
        <x:v>SkillCast</x:v>
      </x:c>
      <x:c r="B40" s="149" t="str">
        <x:v>마탑 자동 스킬 시전</x:v>
      </x:c>
      <x:c r="C40" s="149" t="str">
        <x:v>일일</x:v>
      </x:c>
      <x:c r="D40" s="149" t="str">
        <x:v>EventCount</x:v>
      </x:c>
      <x:c r="E40" s="149" t="str">
        <x:v>MageTower 실제 시전 시작</x:v>
      </x:c>
      <x:c r="F40" s="164" t="str">
        <x:v>신규</x:v>
      </x:c>
      <x:c r="G40" s="149" t="str">
        <x:v>신규 25. 유효 타깃이 있어 시전 시작한 횟수. 캐스트 다중 히트는 1회</x:v>
      </x:c>
    </x:row>
  </x:sheetData>
  <x:mergeCells>
    <x:mergeCell ref="A2:G2"/>
    <x:mergeCell ref="A1:G1"/>
  </x:mergeCells>
  <x:pageMargins left="0.7" right="0.7" top="0.75" bottom="0.75" header="0.3" footer="0.3"/>
</x:worksheet>
</file>