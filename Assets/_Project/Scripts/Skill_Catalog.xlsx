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f4f8dca6df47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2b25563ab4234517"/>
    <x:sheet xmlns:r="http://schemas.openxmlformats.org/officeDocument/2006/relationships" name="Parameters" sheetId="2" r:id="R252594dbfc684dd0"/>
    <x:sheet xmlns:r="http://schemas.openxmlformats.org/officeDocument/2006/relationships" name="Bloom" sheetId="3" r:id="R9949f6ace02f4682"/>
    <x:sheet xmlns:r="http://schemas.openxmlformats.org/officeDocument/2006/relationships" name="Acquisition" sheetId="4" r:id="R55d581f3c3644ed7"/>
    <x:sheet xmlns:r="http://schemas.openxmlformats.org/officeDocument/2006/relationships" name="Growth" sheetId="5" r:id="R0397ae5074cf4a68"/>
    <x:sheet xmlns:r="http://schemas.openxmlformats.org/officeDocument/2006/relationships" name="Assets" sheetId="6" r:id="Rdcad8e5da80041fd"/>
    <x:sheet xmlns:r="http://schemas.openxmlformats.org/officeDocument/2006/relationships" name="Targeting" sheetId="7" r:id="Rf4e5a5af546e4974"/>
    <x:sheet xmlns:r="http://schemas.openxmlformats.org/officeDocument/2006/relationships" name="Guide" sheetId="8" r:id="Rbdb279aa60c54c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9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  <x:font>
      <x:sz val="11"/>
      <x:name val="맑은 고딕"/>
    </x:font>
    <x:font>
      <x:sz val="10"/>
      <x:color rgb="FF6B7280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253E52"/>
      </x:patternFill>
    </x:fill>
    <x:fill>
      <x:patternFill patternType="solid">
        <x:fgColor rgb="FFE5E7EB"/>
      </x:patternFill>
    </x:fill>
  </x:fills>
  <x:borders count="1">
    <x:border/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8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" fillId="3" borderId="0" xfId="0" applyNumberFormat="1" applyFont="1" applyFill="1" applyBorder="1" applyAlignment="1">
      <x:alignment horizontal="center" vertical="center" wrapText="1"/>
    </x:xf>
    <x:xf numFmtId="202" fontId="3" fillId="3" borderId="0" xfId="0" applyNumberFormat="1" applyFont="1" applyFill="1" applyBorder="1" applyAlignment="1">
      <x:alignment vertical="center" wrapText="1"/>
    </x:xf>
    <x:xf numFmtId="201" fontId="8" fillId="3" borderId="0" xfId="0" applyNumberFormat="1" applyFont="1" applyFill="1" applyBorder="1" applyAlignment="1">
      <x:alignment horizontal="center" vertical="center" wrapText="1"/>
    </x:xf>
    <x:xf numFmtId="202" fontId="8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767be2bf094ba4" /><Relationship Type="http://schemas.openxmlformats.org/officeDocument/2006/relationships/theme" Target="/xl/theme/theme1.xml" Id="R55bf2459ace84de7" /><Relationship Type="http://schemas.microsoft.com/office/2022/11/relationships/FeaturePropertyBag" Target="/xl/featurePropertyBag/featurePropertyBag.xml" Id="R82c2df3254324c91" /><Relationship Type="http://schemas.openxmlformats.org/officeDocument/2006/relationships/sharedStrings" Target="/xl/sharedStrings.xml" Id="Rd7c5fe0ebaa943b1" /><Relationship Type="http://schemas.openxmlformats.org/officeDocument/2006/relationships/worksheet" Target="/xl/worksheets/sheet1.xml" Id="R2b25563ab4234517" /><Relationship Type="http://schemas.openxmlformats.org/officeDocument/2006/relationships/worksheet" Target="/xl/worksheets/sheet2.xml" Id="R252594dbfc684dd0" /><Relationship Type="http://schemas.openxmlformats.org/officeDocument/2006/relationships/worksheet" Target="/xl/worksheets/sheet3.xml" Id="R9949f6ace02f4682" /><Relationship Type="http://schemas.openxmlformats.org/officeDocument/2006/relationships/worksheet" Target="/xl/worksheets/sheet4.xml" Id="R55d581f3c3644ed7" /><Relationship Type="http://schemas.openxmlformats.org/officeDocument/2006/relationships/worksheet" Target="/xl/worksheets/sheet5.xml" Id="R0397ae5074cf4a68" /><Relationship Type="http://schemas.openxmlformats.org/officeDocument/2006/relationships/worksheet" Target="/xl/worksheets/sheet6.xml" Id="Rdcad8e5da80041fd" /><Relationship Type="http://schemas.openxmlformats.org/officeDocument/2006/relationships/worksheet" Target="/xl/worksheets/sheet7.xml" Id="Rf4e5a5af546e4974" /><Relationship Type="http://schemas.openxmlformats.org/officeDocument/2006/relationships/worksheet" Target="/xl/worksheets/sheet8.xml" Id="Rbdb279aa60c54c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9" name="Mage_Skills" displayName="Mage_Skills" ref="A1:I10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age_Parameters" displayName="Mage_Parameters" ref="A1:O10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Mage_Bloom" displayName="Mage_Bloom" ref="A1:N10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age_Acquisition" displayName="Mage_Acquisition" ref="A1:J10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" name="Mage_Assets" displayName="Mage_Assets" ref="A1:J10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" name="Mage_Targeting" displayName="Mage_Targeting" ref="A1:D10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6a81b40f5f342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5a404bc63e948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9f09b68380e43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5e7c2d7649541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2e861d7945345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ec304716b734f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399e50245884bf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caf48e4e26674f91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번개를 3회 연속으로 내립니다. 4·8각성마다 같은 패턴의 낙뢰가 1회 추가됩니다. 낙뢰 위치는 서로 간격을 두고 분산됩니다.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무작위 소범위 폭격</x:v>
      </x:c>
      <x:c r="E5" s="9" t="n">
        <x:v>28</x:v>
      </x:c>
      <x:c r="F5" s="9" t="n">
        <x:v>10</x:v>
      </x:c>
      <x:c r="G5" s="9" t="n">
        <x:v>18</x:v>
      </x:c>
      <x:c r="H5" s="9" t="n">
        <x:v>6</x:v>
      </x:c>
      <x:c r="I5" s="5" t="str">
        <x:v>성역보다 조금 넓은 범위의 무작위 지점에 붉은 별빛을 떨어뜨립니다. 적을 추적하지 않으며 작은 착탄 파동 안에 범위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1.4초간 기절시킵니다.</x:v>
      </x:c>
    </x:row>
    <x:row r="8" ht="70" customHeight="1">
      <x:c r="A8" s="9" t="n">
        <x:v>7</x:v>
      </x:c>
      <x:c r="B8" s="5" t="str">
        <x:v>Sanctuary</x:v>
      </x:c>
      <x:c r="C8" s="5" t="str">
        <x:v>회복의 성역</x:v>
      </x:c>
      <x:c r="D8" s="5" t="str">
        <x:v>생존 지원</x:v>
      </x:c>
      <x:c r="E8" s="9" t="n">
        <x:v>45</x:v>
      </x:c>
      <x:c r="F8" s="9" t="n">
        <x:v>18</x:v>
      </x:c>
      <x:c r="G8" s="9" t="n">
        <x:v>6</x:v>
      </x:c>
      <x:c r="H8" s="9" t="n">
        <x:v>3</x:v>
      </x:c>
      <x:c r="I8" s="5" t="str">
        <x:v>성역을 펼쳐 범위 안에서 체력 비율이 가장 낮은 왕국군을 반복해서 회복합니다.</x:v>
      </x:c>
    </x:row>
    <x:row r="9" ht="70" customHeight="1">
      <x:c r="A9" s="27" t="n">
        <x:v>8</x:v>
      </x:c>
      <x:c r="B9" s="28" t="str">
        <x:v>Meteor</x:v>
      </x:c>
      <x:c r="C9" s="28" t="str">
        <x:v>독립 운석 삭제</x:v>
      </x:c>
      <x:c r="D9" s="28" t="str">
        <x:v>ID 3 개화로 통합</x:v>
      </x:c>
      <x:c r="E9" s="27" t="n">
        <x:v>0</x:v>
      </x:c>
      <x:c r="F9" s="27" t="n">
        <x:v>0</x:v>
      </x:c>
      <x:c r="G9" s="27" t="n">
        <x:v>0</x:v>
      </x:c>
      <x:c r="H9" s="27" t="n">
        <x:v>0</x:v>
      </x:c>
      <x:c r="I9" s="28" t="str">
        <x:v>ID 8은 비활성 보존 ID입니다. 로스터·장착·뽑기에 나오지 않으며 유성우의 개화 메테오로 통합했습니다.</x:v>
      </x:c>
    </x:row>
    <x:row r="10" ht="70" customHeight="1">
      <x:c r="A10" s="9" t="n">
        <x:v>9</x:v>
      </x:c>
      <x:c r="B10" s="5" t="str">
        <x:v>VoidRift</x:v>
      </x:c>
      <x:c r="C10" s="5" t="str">
        <x:v>공허 균열</x:v>
      </x:c>
      <x:c r="D10" s="5" t="str">
        <x:v>흡인과 붕괴</x:v>
      </x:c>
      <x:c r="E10" s="9" t="n">
        <x:v>42</x:v>
      </x:c>
      <x:c r="F10" s="9" t="n">
        <x:v>20</x:v>
      </x:c>
      <x:c r="G10" s="9" t="n">
        <x:v>5</x:v>
      </x:c>
      <x:c r="H10" s="9" t="n">
        <x:v>6</x:v>
      </x:c>
      <x:c r="I10" s="5" t="str">
        <x:v>균열보다 50% 넓은 범위의 적을 끌어당깁니다. 균열 안에서 지속 피해를 주고 닫힐 때 폭발합니다. 보스는 끌어당기지 못합니다.</x:v>
      </x:c>
    </x:row>
    <x:row r="11" ht="70" customHeight="1">
      <x:c r="A11" s="9"/>
      <x:c r="B11" s="5"/>
      <x:c r="C11" s="5"/>
      <x:c r="D11" s="5"/>
      <x:c r="E11" s="9"/>
      <x:c r="F11" s="9"/>
      <x:c r="G11" s="9"/>
      <x:c r="H11" s="9"/>
      <x:c r="I11" s="5"/>
    </x:row>
  </x:sheetData>
  <x:pageMargins left="0.7" right="0.7" top="0.75" bottom="0.75" header="0.3" footer="0.3"/>
  <x:tableParts count="1">
    <x:tablePart xmlns:r="http://schemas.openxmlformats.org/officeDocument/2006/relationships" r:id="R36a81b40f5f3428a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0.5</x:v>
      </x:c>
      <x:c r="E2" s="18" t="n">
        <x:v>0.16666666666666666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2.16</x:v>
      </x:c>
      <x:c r="E5" s="18" t="n">
        <x:v>0.12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1.4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/>
    </x:row>
    <x:row r="8" ht="34" customHeight="1">
      <x:c r="A8" s="9" t="n">
        <x:v>7</x:v>
      </x:c>
      <x:c r="B8" s="16" t="str">
        <x:f>'Skills'!B8</x:f>
        <x:v>Sanctuary</x:v>
      </x:c>
      <x:c r="C8" s="18" t="n">
        <x:v>2.6</x:v>
      </x:c>
      <x:c r="D8" s="18" t="n">
        <x:v>4.199999809265137</x:v>
      </x:c>
      <x:c r="E8" s="18" t="n">
        <x:v>0.699999988079071</x:v>
      </x:c>
      <x:c r="F8" s="18" t="n">
        <x:v>0</x:v>
      </x:c>
      <x:c r="G8" s="18" t="n">
        <x:v>0</x:v>
      </x:c>
      <x:c r="H8" s="18" t="n">
        <x:v>0</x:v>
      </x:c>
      <x:c r="I8" s="17" t="b">
        <x:v>1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Parrying_SFX</x:v>
      </x:c>
      <x:c r="O8" s="5"/>
    </x:row>
    <x:row r="9" ht="34" customHeight="1">
      <x:c r="A9" s="27" t="n">
        <x:v>8</x:v>
      </x:c>
      <x:c r="B9" s="28" t="str">
        <x:f>'Skills'!B9</x:f>
        <x:v>Meteor</x:v>
      </x:c>
      <x:c r="C9" s="32" t="n">
        <x:v>1.5499999523162842</x:v>
      </x:c>
      <x:c r="D9" s="32" t="n">
        <x:v>0.800000011920929</x:v>
      </x:c>
      <x:c r="E9" s="32" t="n">
        <x:v>0.800000011920929</x:v>
      </x:c>
      <x:c r="F9" s="32" t="n">
        <x:v>0</x:v>
      </x:c>
      <x:c r="G9" s="32" t="n">
        <x:v>0</x:v>
      </x:c>
      <x:c r="H9" s="32" t="n">
        <x:v>0.13461539149284363</x:v>
      </x:c>
      <x:c r="I9" s="33" t="b">
        <x:v>0</x:v>
      </x:c>
      <x:c r="J9" s="28" t="str">
        <x:v>충돌 1회 + 잔열 2회</x:v>
      </x:c>
      <x:c r="K9" s="27" t="n">
        <x:v>0</x:v>
      </x:c>
      <x:c r="L9" s="27" t="n">
        <x:v>100</x:v>
      </x:c>
      <x:c r="M9" s="27" t="n">
        <x:v>10</x:v>
      </x:c>
      <x:c r="N9" s="28" t="str">
        <x:v>Fire_Tornado_SFX</x:v>
      </x:c>
      <x:c r="O9" s="28"/>
    </x:row>
    <x:row r="10" ht="34" customHeight="1">
      <x:c r="A10" s="9" t="n">
        <x:v>9</x:v>
      </x:c>
      <x:c r="B10" s="16" t="str">
        <x:f>'Skills'!B10</x:f>
        <x:v>VoidRift</x:v>
      </x:c>
      <x:c r="C10" s="18" t="n">
        <x:v>1.2999999523162842</x:v>
      </x:c>
      <x:c r="D10" s="18" t="n">
        <x:v>3</x:v>
      </x:c>
      <x:c r="E10" s="18" t="n">
        <x:v>0.6000000238418579</x:v>
      </x:c>
      <x:c r="F10" s="18" t="n">
        <x:v>0.8500000238418579</x:v>
      </x:c>
      <x:c r="G10" s="18" t="n">
        <x:v>0.20000000298023224</x:v>
      </x:c>
      <x:c r="H10" s="18" t="n">
        <x:v>4.285714149475098</x:v>
      </x:c>
      <x:c r="I10" s="17" t="b">
        <x:v>0</x:v>
      </x:c>
      <x:c r="J10" s="5" t="str">
        <x:v>반복 피해 + 마지막 붕괴</x:v>
      </x:c>
      <x:c r="K10" s="9" t="n">
        <x:v>1</x:v>
      </x:c>
      <x:c r="L10" s="9" t="n">
        <x:v>100</x:v>
      </x:c>
      <x:c r="M10" s="9" t="n">
        <x:v>10</x:v>
      </x:c>
      <x:c r="N10" s="5" t="str">
        <x:v>Charge_Shot_SFX</x:v>
      </x:c>
      <x:c r="O10" s="5"/>
    </x:row>
    <x:row r="11" ht="34" customHeight="1">
      <x:c r="A11" s="9"/>
      <x:c r="B11" s="16"/>
      <x:c r="C11" s="18"/>
      <x:c r="D11" s="18"/>
      <x:c r="E11" s="18"/>
      <x:c r="F11" s="18"/>
      <x:c r="G11" s="18"/>
      <x:c r="H11" s="18"/>
      <x:c r="I11" s="9"/>
      <x:c r="J11" s="5"/>
      <x:c r="K11" s="9"/>
      <x:c r="L11" s="9"/>
      <x:c r="M11" s="9"/>
      <x:c r="N11" s="5"/>
      <x:c r="O11" s="5"/>
    </x:row>
  </x:sheetData>
  <x:pageMargins left="0.7" right="0.7" top="0.75" bottom="0.75" header="0.3" footer="0.3"/>
  <x:tableParts count="1">
    <x:tablePart xmlns:r="http://schemas.openxmlformats.org/officeDocument/2006/relationships" r:id="R05a404bc63e948f8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CrowdOrFieldTickMultiplier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650%를 줍니다. 기절 효과는 없습니다.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0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110" customHeight="1">
      <x:c r="A5" s="9" t="n">
        <x:v>3</x:v>
      </x:c>
      <x:c r="B5" s="16" t="str">
        <x:f>'Skills'!C5</x:f>
        <x:v>유성우</x:v>
      </x:c>
      <x:c r="C5" s="5" t="str">
        <x:v>메테오</x:v>
      </x:c>
      <x:c r="D5" s="5" t="str">
        <x:v>거대한 운석이 1.5초 낙하해 피해 2000%를 줍니다.
균열 장판이 3.5초 동안 0.5초마다 피해 200%를 주고, 안의 적을 60% 감속합니다.
쿨타임 1.6배. 장판 밖에서는 약 0.12초 안에 감속이 해제되고 더 약한 기존 감속이 복구됩니다.</x:v>
      </x:c>
      <x:c r="E5" s="9" t="n">
        <x:v>10</x:v>
      </x:c>
      <x:c r="F5" s="9" t="n">
        <x:v>1.6</x:v>
      </x:c>
      <x:c r="G5" s="9" t="n">
        <x:v>20</x:v>
      </x:c>
      <x:c r="H5" s="5" t="n">
        <x:v>2</x:v>
      </x:c>
      <x:c r="I5" s="9" t="n">
        <x:v>0</x:v>
      </x:c>
      <x:c r="J5" s="5" t="n">
        <x:v>10</x:v>
      </x:c>
      <x:c r="K5" s="5"/>
      <x:c r="L5" s="5"/>
      <x:c r="M5" s="5" t="n">
        <x:v>1.75</x:v>
      </x:c>
      <x:c r="N5" s="5" t="n">
        <x:v>1.75</x:v>
      </x:c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7</x:v>
      </x:c>
      <x:c r="B8" s="16" t="str">
        <x:f>'Skills'!C8</x:f>
        <x:v>회복의 성역</x:v>
      </x:c>
      <x:c r="C8" s="5" t="str">
        <x:v>미정</x:v>
      </x:c>
      <x:c r="D8" s="5" t="str">
        <x:v>회복량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27" t="n">
        <x:v>8</x:v>
      </x:c>
      <x:c r="B9" s="28" t="str">
        <x:f>'Skills'!C9</x:f>
        <x:v>독립 운석 삭제</x:v>
      </x:c>
      <x:c r="C9" s="28" t="str">
        <x:v>통합됨</x:v>
      </x:c>
      <x:c r="D9" s="28" t="str">
        <x:v>ID 3 메테오 개화 항목을 사용합니다.</x:v>
      </x:c>
      <x:c r="E9" s="27" t="n">
        <x:v>10</x:v>
      </x:c>
      <x:c r="F9" s="27" t="n">
        <x:v>1</x:v>
      </x:c>
      <x:c r="G9" s="27" t="n">
        <x:v>1.149999976158142</x:v>
      </x:c>
      <x:c r="H9" s="28"/>
      <x:c r="I9" s="27" t="n">
        <x:v>0</x:v>
      </x:c>
      <x:c r="J9" s="28"/>
      <x:c r="K9" s="28"/>
      <x:c r="L9" s="28"/>
      <x:c r="M9" s="28"/>
      <x:c r="N9" s="28"/>
    </x:row>
    <x:row r="10" ht="90" customHeight="1">
      <x:c r="A10" s="9" t="n">
        <x:v>9</x:v>
      </x:c>
      <x:c r="B10" s="16" t="str">
        <x:f>'Skills'!C10</x:f>
        <x:v>공허 균열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/>
      <x:c r="B11" s="16"/>
      <x:c r="C11" s="5"/>
      <x:c r="D11" s="5"/>
      <x:c r="E11" s="9"/>
      <x:c r="F11" s="9"/>
      <x:c r="G11" s="9"/>
      <x:c r="H11" s="5"/>
      <x:c r="I11" s="9"/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49f09b68380e4338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0.0625</x:v>
      </x:c>
      <x:c r="E2" s="9" t="n">
        <x:v>55</x:v>
      </x:c>
      <x:c r="F2" s="5" t="n">
        <x:f>ROUNDUP(E2/C2,0)</x:f>
        <x:v>2</x:v>
      </x:c>
      <x:c r="G2" s="20" t="n">
        <x:f>F2/D2</x:f>
        <x:v>32</x:v>
      </x:c>
      <x:c r="H2" s="20" t="n">
        <x:f>(F2+1)/D2</x:f>
        <x:v>48</x:v>
      </x:c>
      <x:c r="I2" s="20" t="n">
        <x:f>H2/21</x:f>
        <x:v>2.2857142857142856</x:v>
      </x:c>
      <x:c r="J2" s="9" t="n">
        <x:v>84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0.0625</x:v>
      </x:c>
      <x:c r="E3" s="9" t="n">
        <x:v>55</x:v>
      </x:c>
      <x:c r="F3" s="5" t="n">
        <x:f>ROUNDUP(E3/C3,0)</x:f>
        <x:v>2</x:v>
      </x:c>
      <x:c r="G3" s="20" t="n">
        <x:f>F3/D3</x:f>
        <x:v>32</x:v>
      </x:c>
      <x:c r="H3" s="20" t="n">
        <x:f>(F3+1)/D3</x:f>
        <x:v>48</x:v>
      </x:c>
      <x:c r="I3" s="20" t="n">
        <x:f>H3/21</x:f>
        <x:v>2.2857142857142856</x:v>
      </x:c>
      <x:c r="J3" s="9" t="n">
        <x:v>84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0.0625</x:v>
      </x:c>
      <x:c r="E4" s="9" t="n">
        <x:v>55</x:v>
      </x:c>
      <x:c r="F4" s="5" t="n">
        <x:f>ROUNDUP(E4/C4,0)</x:f>
        <x:v>2</x:v>
      </x:c>
      <x:c r="G4" s="20" t="n">
        <x:f>F4/D4</x:f>
        <x:v>32</x:v>
      </x:c>
      <x:c r="H4" s="20" t="n">
        <x:f>(F4+1)/D4</x:f>
        <x:v>48</x:v>
      </x:c>
      <x:c r="I4" s="20" t="n">
        <x:f>H4/21</x:f>
        <x:v>2.2857142857142856</x:v>
      </x:c>
      <x:c r="J4" s="9" t="n">
        <x:v>84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0.0625</x:v>
      </x:c>
      <x:c r="E5" s="9" t="n">
        <x:v>55</x:v>
      </x:c>
      <x:c r="F5" s="5" t="n">
        <x:f>ROUNDUP(E5/C5,0)</x:f>
        <x:v>2</x:v>
      </x:c>
      <x:c r="G5" s="20" t="n">
        <x:f>F5/D5</x:f>
        <x:v>32</x:v>
      </x:c>
      <x:c r="H5" s="20" t="n">
        <x:f>(F5+1)/D5</x:f>
        <x:v>48</x:v>
      </x:c>
      <x:c r="I5" s="20" t="n">
        <x:f>H5/21</x:f>
        <x:v>2.2857142857142856</x:v>
      </x:c>
      <x:c r="J5" s="9" t="n">
        <x:v>84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0.0625</x:v>
      </x:c>
      <x:c r="E6" s="9" t="n">
        <x:v>55</x:v>
      </x:c>
      <x:c r="F6" s="5" t="n">
        <x:f>ROUNDUP(E6/C6,0)</x:f>
        <x:v>2</x:v>
      </x:c>
      <x:c r="G6" s="20" t="n">
        <x:f>F6/D6</x:f>
        <x:v>32</x:v>
      </x:c>
      <x:c r="H6" s="20" t="n">
        <x:f>(F6+1)/D6</x:f>
        <x:v>48</x:v>
      </x:c>
      <x:c r="I6" s="20" t="n">
        <x:f>H6/21</x:f>
        <x:v>2.2857142857142856</x:v>
      </x:c>
      <x:c r="J6" s="9" t="n">
        <x:v>84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0.0625</x:v>
      </x:c>
      <x:c r="E7" s="9" t="n">
        <x:v>55</x:v>
      </x:c>
      <x:c r="F7" s="5" t="n">
        <x:f>ROUNDUP(E7/C7,0)</x:f>
        <x:v>2</x:v>
      </x:c>
      <x:c r="G7" s="20" t="n">
        <x:f>F7/D7</x:f>
        <x:v>32</x:v>
      </x:c>
      <x:c r="H7" s="20" t="n">
        <x:f>(F7+1)/D7</x:f>
        <x:v>48</x:v>
      </x:c>
      <x:c r="I7" s="20" t="n">
        <x:f>H7/21</x:f>
        <x:v>2.2857142857142856</x:v>
      </x:c>
      <x:c r="J7" s="9" t="n">
        <x:v>84</x:v>
      </x:c>
    </x:row>
    <x:row r="8" ht="34" customHeight="1">
      <x:c r="A8" s="9" t="n">
        <x:v>7</x:v>
      </x:c>
      <x:c r="B8" s="16" t="str">
        <x:f>'Skills'!C8</x:f>
        <x:v>회복의 성역</x:v>
      </x:c>
      <x:c r="C8" s="9" t="n">
        <x:v>30</x:v>
      </x:c>
      <x:c r="D8" s="19" t="n">
        <x:v>0.0625</x:v>
      </x:c>
      <x:c r="E8" s="9" t="n">
        <x:v>55</x:v>
      </x:c>
      <x:c r="F8" s="5" t="n">
        <x:f>ROUNDUP(E8/C8,0)</x:f>
        <x:v>2</x:v>
      </x:c>
      <x:c r="G8" s="20" t="n">
        <x:f>F8/D8</x:f>
        <x:v>32</x:v>
      </x:c>
      <x:c r="H8" s="20" t="n">
        <x:f>(F8+1)/D8</x:f>
        <x:v>48</x:v>
      </x:c>
      <x:c r="I8" s="20" t="n">
        <x:f>H8/21</x:f>
        <x:v>2.2857142857142856</x:v>
      </x:c>
      <x:c r="J8" s="9" t="n">
        <x:v>84</x:v>
      </x:c>
    </x:row>
    <x:row r="9" ht="34" customHeight="1">
      <x:c r="A9" s="27" t="n">
        <x:v>8</x:v>
      </x:c>
      <x:c r="B9" s="28" t="str">
        <x:f>'Skills'!C9</x:f>
        <x:v>독립 운석 삭제</x:v>
      </x:c>
      <x:c r="C9" s="27" t="n">
        <x:v>0</x:v>
      </x:c>
      <x:c r="D9" s="36" t="n">
        <x:v>0</x:v>
      </x:c>
      <x:c r="E9" s="27" t="n">
        <x:v>0</x:v>
      </x:c>
      <x:c r="F9" s="28" t="n">
        <x:v>0</x:v>
      </x:c>
      <x:c r="G9" s="37" t="n">
        <x:v>0</x:v>
      </x:c>
      <x:c r="H9" s="37" t="n">
        <x:v>0</x:v>
      </x:c>
      <x:c r="I9" s="37" t="n">
        <x:v>0</x:v>
      </x:c>
      <x:c r="J9" s="27" t="n">
        <x:v>0</x:v>
      </x:c>
    </x:row>
    <x:row r="10" ht="34" customHeight="1">
      <x:c r="A10" s="9" t="n">
        <x:v>9</x:v>
      </x:c>
      <x:c r="B10" s="16" t="str">
        <x:f>'Skills'!C10</x:f>
        <x:v>공허 균열</x:v>
      </x:c>
      <x:c r="C10" s="9" t="n">
        <x:v>30</x:v>
      </x:c>
      <x:c r="D10" s="19" t="n">
        <x:v>0.0625</x:v>
      </x:c>
      <x:c r="E10" s="9" t="n">
        <x:v>55</x:v>
      </x:c>
      <x:c r="F10" s="5" t="n">
        <x:f>ROUNDUP(E10/C10,0)</x:f>
        <x:v>2</x:v>
      </x:c>
      <x:c r="G10" s="20" t="n">
        <x:f>F10/D10</x:f>
        <x:v>32</x:v>
      </x:c>
      <x:c r="H10" s="20" t="n">
        <x:f>(F10+1)/D10</x:f>
        <x:v>48</x:v>
      </x:c>
      <x:c r="I10" s="20" t="n">
        <x:f>H10/21</x:f>
        <x:v>2.2857142857142856</x:v>
      </x:c>
      <x:c r="J10" s="9" t="n">
        <x:v>84</x:v>
      </x:c>
    </x:row>
    <x:row r="11" ht="34" customHeight="1">
      <x:c r="A11" s="9"/>
      <x:c r="B11" s="16"/>
      <x:c r="C11" s="9"/>
      <x:c r="D11" s="19"/>
      <x:c r="E11" s="9"/>
      <x:c r="F11" s="5"/>
      <x:c r="G11" s="20"/>
      <x:c r="H11" s="20"/>
      <x:c r="I11" s="20"/>
      <x:c r="J11" s="9"/>
    </x:row>
  </x:sheetData>
  <x:pageMargins left="0.7" right="0.7" top="0.75" bottom="0.75" header="0.3" footer="0.3"/>
  <x:tableParts count="1">
    <x:tablePart xmlns:r="http://schemas.openxmlformats.org/officeDocument/2006/relationships" r:id="Rc5e7c2d7649541c7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82e861d794534565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  <x:col min="11" max="11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  <x:c r="K1" t="str">
        <x:v>BloomSecondaryPrefabPath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/>
      <x:c r="H2" s="5"/>
      <x:c r="I2" s="5" t="str">
        <x:v>Assets/_Project/Prefabs/VFX/MageTower/LightningBloomStrike.prefab</x:v>
      </x:c>
      <x:c r="J2" s="5" t="str">
        <x:v>Assets/_Project/Prefabs/VFX/MageTower/LightningBloomCloud.prefab</x:v>
      </x:c>
      <x:c r="K2" t="str"/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/>
      <x:c r="H3" s="5"/>
      <x:c r="I3" s="5" t="str">
        <x:v>Assets/_Project/Prefabs/VFX/MageTower/IceBloomCrystal.prefab</x:v>
      </x:c>
      <x:c r="J3" s="5" t="str">
        <x:v>Assets/_Project/Prefabs/VFX/MageTower/IceBloomWarning.prefab</x:v>
      </x:c>
      <x:c r="K3" t="str"/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/>
      <x:c r="H4" s="5"/>
      <x:c r="I4" s="5"/>
      <x:c r="J4" s="5"/>
      <x:c r="K4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/>
      <x:c r="H5" s="5" t="str">
        <x:v>Assets/_Project/Prefabs/VFX/MageTower/StarfallPulse.prefab</x:v>
      </x:c>
      <x:c r="I5" s="5" t="str">
        <x:v>Assets/_Project/Prefabs/VFX/MageTower/Meteor.prefab</x:v>
      </x:c>
      <x:c r="J5" s="5"/>
      <x:c r="K5" t="str">
        <x:v>Assets/_Project/Prefabs/VFX/MageTower/MeteorCrater.prefab</x:v>
      </x:c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/>
      <x:c r="H6" s="5"/>
      <x:c r="I6" s="5"/>
      <x:c r="J6" s="5"/>
      <x:c r="K6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/>
      <x:c r="I7" s="5"/>
      <x:c r="J7" s="5"/>
      <x:c r="K7" t="str"/>
    </x:row>
    <x:row r="8" ht="34" customHeight="1">
      <x:c r="A8" s="9" t="n">
        <x:v>7</x:v>
      </x:c>
      <x:c r="B8" s="16" t="str">
        <x:f>'Skills'!B8</x:f>
        <x:v>Sanctuary</x:v>
      </x:c>
      <x:c r="C8" s="5" t="str">
        <x:v>Assets/MageTower/SO/Sanctuary/MageTowerSkill_Sanctuary.asset</x:v>
      </x:c>
      <x:c r="D8" s="5" t="str">
        <x:v>Assets/_Project/Art/Icons/MageTower/Sanctuary.png</x:v>
      </x:c>
      <x:c r="E8" s="5" t="str">
        <x:v>Assets/_Project/Art/Icons/MageTower/Sanctuary_Bloom.png</x:v>
      </x:c>
      <x:c r="F8" s="5" t="str">
        <x:v>Assets/_Project/Prefabs/VFX/MageTower/Sanctuary.prefab</x:v>
      </x:c>
      <x:c r="G8" s="5"/>
      <x:c r="H8" s="5" t="str">
        <x:v>Assets/_Project/Prefabs/VFX/MageTower/SanctuaryHeal.prefab</x:v>
      </x:c>
      <x:c r="I8" s="5"/>
      <x:c r="J8" s="5"/>
      <x:c r="K8" t="str"/>
    </x:row>
    <x:row r="9" ht="34" customHeight="1">
      <x:c r="A9" s="27" t="n">
        <x:v>8</x:v>
      </x:c>
      <x:c r="B9" s="28" t="str">
        <x:f>'Skills'!B9</x:f>
        <x:v>Meteor</x:v>
      </x:c>
      <x:c r="C9" s="28" t="str">
        <x:v>Assets/MageTower/SO/Meteor/MageTowerSkill_Meteor.asset</x:v>
      </x:c>
      <x:c r="D9" s="28" t="str">
        <x:v>Assets/_Project/Art/Icons/MageTower/Meteor.png</x:v>
      </x:c>
      <x:c r="E9" s="28" t="str">
        <x:v>Assets/_Project/Art/Icons/MageTower/Meteor_Bloom.png</x:v>
      </x:c>
      <x:c r="F9" s="28" t="str">
        <x:v>Assets/_Project/Prefabs/VFX/MageTower/Meteor.prefab</x:v>
      </x:c>
      <x:c r="G9" s="28" t="str"/>
      <x:c r="H9" s="28" t="str">
        <x:v>Assets/_Project/Prefabs/VFX/MageTower/MeteorCrater.prefab</x:v>
      </x:c>
      <x:c r="I9" s="28"/>
      <x:c r="J9" s="28"/>
      <x:c r="K9" t="str"/>
    </x:row>
    <x:row r="10" ht="34" customHeight="1">
      <x:c r="A10" s="9" t="n">
        <x:v>9</x:v>
      </x:c>
      <x:c r="B10" s="16" t="str">
        <x:f>'Skills'!B10</x:f>
        <x:v>VoidRift</x:v>
      </x:c>
      <x:c r="C10" s="5" t="str">
        <x:v>Assets/MageTower/SO/VoidRift/MageTowerSkill_VoidRift.asset</x:v>
      </x:c>
      <x:c r="D10" s="5" t="str">
        <x:v>Assets/_Project/Art/Icons/MageTower/VoidRift.png</x:v>
      </x:c>
      <x:c r="E10" s="5" t="str">
        <x:v>Assets/_Project/Art/Icons/MageTower/VoidRift_Bloom.png</x:v>
      </x:c>
      <x:c r="F10" s="5" t="str">
        <x:v>Assets/_Project/Prefabs/VFX/MageTower/VoidRift.prefab</x:v>
      </x:c>
      <x:c r="G10" s="5"/>
      <x:c r="H10" s="5" t="str">
        <x:v>Assets/_Project/Prefabs/VFX/MageTower/VoidCollapse.prefab</x:v>
      </x:c>
      <x:c r="I10" s="5"/>
      <x:c r="J10" s="5"/>
      <x:c r="K10" t="str"/>
    </x:row>
    <x:row r="11" ht="34" customHeight="1">
      <x:c r="A11" s="9"/>
      <x:c r="B11" s="16"/>
      <x:c r="C11" s="5"/>
      <x:c r="D11" s="5"/>
      <x:c r="E11" s="5"/>
      <x:c r="F11" s="5"/>
      <x:c r="G11" s="5"/>
      <x:c r="H11" s="5"/>
      <x:c r="I11" s="5"/>
      <x:c r="J11" s="5"/>
    </x:row>
  </x:sheetData>
  <x:pageMargins left="0.7" right="0.7" top="0.75" bottom="0.75" header="0.3" footer="0.3"/>
  <x:tableParts count="1">
    <x:tablePart xmlns:r="http://schemas.openxmlformats.org/officeDocument/2006/relationships" r:id="R8ec304716b734fa4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일반: 첫 중심 이후 1.15 이내 분산, 기존 낙뢰와 0.45 이상 간격을 우선 확보. 낙뢰마다 반경 0.55, 조준 반경 1.7.
약 0.167초 간격으로 A0 3회, A4 4회, A8 5회. 매 타격 약한 흔들림, 천벌 타격 때 강한 흔들림.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145" customHeight="1">
      <x:c r="A5" s="9" t="n">
        <x:v>3</x:v>
      </x:c>
      <x:c r="B5" s="5" t="str">
        <x:v>전장 중심의 고정 타원 범위 · 적을 지정하거나 추적하지 않음</x:v>
      </x:c>
      <x:c r="C5" s="5" t="str">
        <x:v>기본: 반경 3, Y축 0.65배 타원 안 균등 난수. 18개/A4 19개/A8 20개, 0.12초 간격, 비행 0.48초.
착탄 파동 반경 0.55(Y 0.65배), 최대 6체. 기본형 드래그 불가.
메테오: 1.5초 낙하, 접촉 후 0.09초에 충돌 피해. 충돌 반경 1.75(Y 0.65배).
장판 반경 1.25(Y 0.42배), 3.5초, 0.5초마다 피해 200%/총 7틱, 적 60% 감속. 메테오는 드래그 가능.</x:v>
      </x:c>
      <x:c r="D5" s="5" t="str">
        <x:v>별빛·운석·폭발 전면 / 작은 파동·갈색 지면·붉은 균열 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7</x:v>
      </x:c>
      <x:c r="B8" s="5" t="str">
        <x:v>생존 아군 중 HP 비율 최저</x:v>
      </x:c>
      <x:c r="C8" s="5" t="str">
        <x:v>매 회복마다 대상 재선정</x:v>
      </x:c>
      <x:c r="D8" s="5" t="str">
        <x:v>한 번 등장 후 지속시간 동안 회복 파동. 종료 시 한 번 퇴장</x:v>
      </x:c>
    </x:row>
    <x:row r="9" ht="76" customHeight="1">
      <x:c r="A9" s="27" t="n">
        <x:v>8</x:v>
      </x:c>
      <x:c r="B9" s="28" t="str">
        <x:v>비활성 보존 ID</x:v>
      </x:c>
      <x:c r="C9" s="28" t="str">
        <x:v>ID 3 기본 유성우 / 개화 메테오를 참조.</x:v>
      </x:c>
      <x:c r="D9" s="28" t="str">
        <x:v>운석과 폭발 전면 · 잔열 후면</x:v>
      </x:c>
    </x:row>
    <x:row r="10" ht="76" customHeight="1">
      <x:c r="A10" s="9" t="n">
        <x:v>9</x:v>
      </x:c>
      <x:c r="B10" s="5" t="str">
        <x:v>공중 균열, 피해 반경 1.3, 흡입 반경 1.95 월드 단위</x:v>
      </x:c>
      <x:c r="C10" s="5" t="str">
        <x:v>흡입은 보이는 균열보다 50% 넓게 적용. 피해·붕괴 반경 유지</x:v>
      </x:c>
      <x:c r="D10" s="5" t="str">
        <x:v>지속 균열 후면 · 붕괴 전면</x:v>
      </x:c>
    </x:row>
    <x:row r="11" ht="76" customHeight="1">
      <x:c r="A11" s="9"/>
      <x:c r="B11" s="5"/>
      <x:c r="C11" s="5"/>
      <x:c r="D11" s="5"/>
    </x:row>
  </x:sheetData>
  <x:pageMargins left="0.7" right="0.7" top="0.75" bottom="0.75" header="0.3" footer="0.3"/>
  <x:tableParts count="1">
    <x:tablePart xmlns:r="http://schemas.openxmlformats.org/officeDocument/2006/relationships" r:id="R4399e50245884bf9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0.14.0 운영 개정 2026-09-20. 활성 8종, ID 0–5·7·9. ID 6·8은 재사용하지 않습니다. 회색 ID 8 행은 통합 이력을 표시합니다.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E 0~100은 비전 지식, A 0~10은 동일 스킬 파편. A4/A8 기본 타격 +1(화염 회오리 +2틱), A마다 효과량 +5%와 쿨타임 -2%. 메테오는 운석 1회와 3.5초 잔열로 고정됩니다.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스킬 50%, 비전 지식 10개 30%·20개 15%·50개 5%. 활성 8종은 각각 6.25%입니다.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 55파편. 미보유 특정 스킬은 해금 1회와 중복 2회가 필요하여 평균 48회, 주당 21회 기준 약 2.29주입니다. 기존 파편과 최초 보상은 제외합니다.</x:v>
      </x:c>
    </x:row>
    <x:row r="14" ht="62" customHeight="1">
      <x:c r="A14" s="5" t="str">
        <x:v>확률 편차</x:v>
      </x:c>
      <x:c r="B14" s="5" t="str">
        <x:v>미보유에서 개화까지의 P90은 음이항 계산 기준 84회입니다. 천장이나 기간 보장은 없습니다.</x:v>
      </x:c>
    </x:row>
    <x:row r="15" ht="84" customHeight="1">
      <x:c r="A15" s="5" t="str">
        <x:v>특수 개화</x:v>
      </x:c>
      <x:c r="B15" s="5" t="str">
        <x:v>천벌: 2초 예고, 반경 2.1, 최대 10체. 만년빙정: 적 1체면 빙정, 다수면 8개×2회, 기절 없음. 메테오: 유성우 대신 거대 운석·3.5초 균열 장판·적 60% 감속. 세 형태 모두 A10에서 전환합니다.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기본/개화 아이콘과 이름을 전환합니다. 일반 라이트닝은 세 가닥, 천벌은 기존 구도의 보라색 뇌운/낙뢰. 메테오는 운석과 뜨거운 균열, 만년빙정은 여러 송곳과 큰 중심 빙정입니다.</x:v>
      </x:c>
    </x:row>
    <x:row r="18" ht="84" customHeight="1">
      <x:c r="A18" s="5" t="str">
        <x:v>타격 연출</x:v>
      </x:c>
      <x:c r="B18" s="5" t="str">
        <x:v>낙뢰마다 약한 흔들림, 천벌·메테오 충돌 시 절제된 강한 흔들림. 화면 흔들림 설정을 따르며 연속 흔들림을 합산하지 않습니다. 지속 장판·작은 착탄 파동은 후면입니다.</x:v>
      </x:c>
    </x:row>
    <x:row r="19" ht="84" customHeight="1">
      <x:c r="A19" s="5" t="str">
        <x:v>외부 원본</x:v>
      </x:c>
      <x:c r="B19" s="5" t="str">
        <x:v>ExternalAssets 원본 보존. 아트 공정 AI/comfyui/mage-vfx/revision1~6. v6은 기존 도트를 결정론적으로 재조합하고 Comfy의 색상 행렬·16색 양자화로 아이콘을 마감했습니다.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천벌·만년빙정·메테오 외 5종은 전용 메커니즘 미정이며 피해 또는 회복량이 15% 증가합니다.</x:v>
      </x:c>
    </x:row>
    <x:row r="23" ht="68" customHeight="1">
      <x:c r="A23" s="24" t="str">
        <x:v>왕국군 공격 계수</x:v>
      </x:c>
      <x:c r="B23" s="24" t="str">
        <x:v>시전당 1회 효과량 = round(기본 효과량×1.04^E×(1+0.05A)) + round(출전 3인 ATK 합×기본 효과량/400×(1+0.005E+0.025A)). 사망한 출전 병사도 합산하고 시전 시작 시 고정합니다.</x:v>
      </x:c>
    </x:row>
    <x:row r="24" ht="68" customHeight="1">
      <x:c r="A24" s="24" t="str">
        <x:v>수동 시전</x:v>
      </x:c>
      <x:c r="B24" s="24" t="str">
        <x:v>자동 OFF에서 우측 스테이지 표시 위에 장착 스킬을 나열합니다. ON이면 대응하는 퇴장 애니메이션. 준비 점등·시계 방향 쿨다운 음영·남은 초를 표시합니다.</x:v>
      </x:c>
    </x:row>
    <x:row r="25" ht="68" customHeight="1">
      <x:c r="A25" s="24" t="str">
        <x:v>조준 구도</x:v>
      </x:c>
      <x:c r="B25" s="24" t="str">
        <x:v>유성우 기본형과 얼음 송곳은 드래그/쿨타임 소비가 없습니다. 메테오는 지점 시전 가능. 작은 파동·메테오 장판은 보이는 타원과 동일한 발 위치 판정을 사용합니다.</x:v>
      </x:c>
    </x:row>
    <x:row r="26" ht="68" customHeight="1">
      <x:c r="A26" s="24" t="str">
        <x:v>각성 안내</x:v>
      </x:c>
      <x:c r="B26" s="24" t="str">
        <x:v>A4/A8 추가 타격·틱과 다음 각성 수치를 표시합니다. 메테오에는 유성우 기본형의 추가 낙하 수를 적용하지 않습니다.</x:v>
      </x:c>
    </x:row>
    <x:row r="27" ht="68" customHeight="1">
      <x:c r="A27" s="24" t="str">
        <x:v>성역 연출</x:v>
      </x:c>
      <x:c r="B27" s="24" t="str">
        <x:v>반경 2.6. 한 번 상승한 불투명 문양을 유지하며 발밑 지면 파동으로 회복하고 종료 때 한 번 하강합니다.</x:v>
      </x:c>
    </x:row>
    <x:row r="28" ht="68" customHeight="1">
      <x:c r="A28" s="24" t="str">
        <x:v>픽셀과 레이어</x:v>
      </x:c>
      <x:c r="B28" s="24" t="str">
        <x:v>핵심 VFX 목표 32px/월드 단위, 4~6색·Point·ASTC4×4. 단발 타격은 전면, 독 늪·잔열·흡인 등 지속 장판은 후면입니다. 이펙트가 큰 경우 원본 논리 해상도도 함께 높입니다.</x:v>
      </x:c>
    </x:row>
    <x:row r="29" ht="110" customHeight="1">
      <x:c r="A29" t="str">
        <x:v>운석 통합</x:v>
      </x:c>
      <x:c r="B29" t="str">
        <x:v>높은 E/A를 보존. 낮은 E의 실제 비전 지식 지출을 전액 환급, 낮은 A에 쓴 파편과 남은 파편을 합산. 둘 다 보유했으면 중복 보유 30파편 추가. 기존 내역을 보관하고 한 번만 적용. 기존 운석 슬롯은 유성우가 없을 때 교체하며, 이미 장착했다면 해당 슬롯만 비웁니다.</x:v>
      </x:c>
    </x:row>
  </x:sheetData>
  <x:pageMargins left="0.7" right="0.7" top="0.75" bottom="0.75" header="0.3" footer="0.3"/>
  <x:tableParts count="1">
    <x:tablePart xmlns:r="http://schemas.openxmlformats.org/officeDocument/2006/relationships" r:id="Rcaf48e4e26674f91"/>
  </x:tableParts>
</x:worksheet>
</file>