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e9d6194944f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c98ca8b488ab43a8"/>
    <x:sheet xmlns:r="http://schemas.openxmlformats.org/officeDocument/2006/relationships" name="Parameters" sheetId="2" r:id="R62aef14d353e4d9f"/>
    <x:sheet xmlns:r="http://schemas.openxmlformats.org/officeDocument/2006/relationships" name="Bloom" sheetId="3" r:id="Rb654bd1f2e1a45ca"/>
    <x:sheet xmlns:r="http://schemas.openxmlformats.org/officeDocument/2006/relationships" name="Acquisition" sheetId="4" r:id="R1af024dc59e64e53"/>
    <x:sheet xmlns:r="http://schemas.openxmlformats.org/officeDocument/2006/relationships" name="Growth" sheetId="5" r:id="R375048e3161446f3"/>
    <x:sheet xmlns:r="http://schemas.openxmlformats.org/officeDocument/2006/relationships" name="Assets" sheetId="6" r:id="Rcfbc5a9b1bad4e0f"/>
    <x:sheet xmlns:r="http://schemas.openxmlformats.org/officeDocument/2006/relationships" name="Targeting" sheetId="7" r:id="R185f5fb4a3294e29"/>
    <x:sheet xmlns:r="http://schemas.openxmlformats.org/officeDocument/2006/relationships" name="Guide" sheetId="8" r:id="R3011c7e3fdc546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8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  <x:font>
      <x:sz val="11"/>
      <x:name val="맑은 고딕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74f03b439440f7" /><Relationship Type="http://schemas.openxmlformats.org/officeDocument/2006/relationships/theme" Target="/xl/theme/theme1.xml" Id="R430026c74e7a46ab" /><Relationship Type="http://schemas.microsoft.com/office/2022/11/relationships/FeaturePropertyBag" Target="/xl/featurePropertyBag/featurePropertyBag.xml" Id="Rd4f65714e4b3495b" /><Relationship Type="http://schemas.openxmlformats.org/officeDocument/2006/relationships/sharedStrings" Target="/xl/sharedStrings.xml" Id="Rd2cd0262144245d3" /><Relationship Type="http://schemas.openxmlformats.org/officeDocument/2006/relationships/worksheet" Target="/xl/worksheets/sheet1.xml" Id="Rc98ca8b488ab43a8" /><Relationship Type="http://schemas.openxmlformats.org/officeDocument/2006/relationships/worksheet" Target="/xl/worksheets/sheet2.xml" Id="R62aef14d353e4d9f" /><Relationship Type="http://schemas.openxmlformats.org/officeDocument/2006/relationships/worksheet" Target="/xl/worksheets/sheet3.xml" Id="Rb654bd1f2e1a45ca" /><Relationship Type="http://schemas.openxmlformats.org/officeDocument/2006/relationships/worksheet" Target="/xl/worksheets/sheet4.xml" Id="R1af024dc59e64e53" /><Relationship Type="http://schemas.openxmlformats.org/officeDocument/2006/relationships/worksheet" Target="/xl/worksheets/sheet5.xml" Id="R375048e3161446f3" /><Relationship Type="http://schemas.openxmlformats.org/officeDocument/2006/relationships/worksheet" Target="/xl/worksheets/sheet6.xml" Id="Rcfbc5a9b1bad4e0f" /><Relationship Type="http://schemas.openxmlformats.org/officeDocument/2006/relationships/worksheet" Target="/xl/worksheets/sheet7.xml" Id="R185f5fb4a3294e29" /><Relationship Type="http://schemas.openxmlformats.org/officeDocument/2006/relationships/worksheet" Target="/xl/worksheets/sheet8.xml" Id="R3011c7e3fdc546e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9" name="Mage_Skills" displayName="Mage_Skills" ref="A1:I10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Mage_Parameters" displayName="Mage_Parameters" ref="A1:O10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Mage_Bloom" displayName="Mage_Bloom" ref="A1:N10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Mage_Acquisition" displayName="Mage_Acquisition" ref="A1:J10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3" name="Mage_Assets" displayName="Mage_Assets" ref="A1:J10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" name="Mage_Targeting" displayName="Mage_Targeting" ref="A1:D10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8de710b36ea45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9950523d99c4e5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05d4a9ac971422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ff2ded0646a447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139623cfc134f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5af9039f411450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be0ed84f3b141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e36db18132344b88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번개를 3회 연속으로 내립니다. 4·8각성마다 같은 패턴의 낙뢰가 1회 추가됩니다.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전장 낙하</x:v>
      </x:c>
      <x:c r="E5" s="9" t="n">
        <x:v>28</x:v>
      </x:c>
      <x:c r="F5" s="9" t="n">
        <x:v>10</x:v>
      </x:c>
      <x:c r="G5" s="9" t="n">
        <x:v>18</x:v>
      </x:c>
      <x:c r="H5" s="9" t="n">
        <x:v>1</x:v>
      </x:c>
      <x:c r="I5" s="5" t="str">
        <x:v>전장 곳곳의 적에게 별빛을 차례로 떨어뜨립니다. 별빛이 닿은 적에게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늪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맹독 늪을 펼쳐 범위 안의 적에게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1.4초간 기절시킵니다.</x:v>
      </x:c>
    </x:row>
    <x:row r="8" ht="70" customHeight="1">
      <x:c r="A8" s="9" t="n">
        <x:v>7</x:v>
      </x:c>
      <x:c r="B8" s="5" t="str">
        <x:v>Sanctuary</x:v>
      </x:c>
      <x:c r="C8" s="5" t="str">
        <x:v>회복의 성역</x:v>
      </x:c>
      <x:c r="D8" s="5" t="str">
        <x:v>생존 지원</x:v>
      </x:c>
      <x:c r="E8" s="9" t="n">
        <x:v>45</x:v>
      </x:c>
      <x:c r="F8" s="9" t="n">
        <x:v>18</x:v>
      </x:c>
      <x:c r="G8" s="9" t="n">
        <x:v>6</x:v>
      </x:c>
      <x:c r="H8" s="9" t="n">
        <x:v>3</x:v>
      </x:c>
      <x:c r="I8" s="5" t="str">
        <x:v>성역을 펼쳐 범위 안에서 체력 비율이 가장 낮은 왕국군을 반복해서 회복합니다.</x:v>
      </x:c>
    </x:row>
    <x:row r="9" ht="70" customHeight="1">
      <x:c r="A9" s="9" t="n">
        <x:v>8</x:v>
      </x:c>
      <x:c r="B9" s="5" t="str">
        <x:v>Meteor</x:v>
      </x:c>
      <x:c r="C9" s="5" t="str">
        <x:v>운석 낙하</x:v>
      </x:c>
      <x:c r="D9" s="5" t="str">
        <x:v>예고 폭발</x:v>
      </x:c>
      <x:c r="E9" s="9" t="n">
        <x:v>260</x:v>
      </x:c>
      <x:c r="F9" s="9" t="n">
        <x:v>16</x:v>
      </x:c>
      <x:c r="G9" s="9" t="n">
        <x:v>1</x:v>
      </x:c>
      <x:c r="H9" s="9" t="n">
        <x:v>6</x:v>
      </x:c>
      <x:c r="I9" s="5" t="str">
        <x:v>운석을 떨어뜨려 주변 적을 공격합니다. 착탄 지점의 잔열이 두 번 더 피해를 줍니다.</x:v>
      </x:c>
    </x:row>
    <x:row r="10" ht="70" customHeight="1">
      <x:c r="A10" s="9" t="n">
        <x:v>9</x:v>
      </x:c>
      <x:c r="B10" s="5" t="str">
        <x:v>VoidRift</x:v>
      </x:c>
      <x:c r="C10" s="5" t="str">
        <x:v>공허 균열</x:v>
      </x:c>
      <x:c r="D10" s="5" t="str">
        <x:v>흡인과 붕괴</x:v>
      </x:c>
      <x:c r="E10" s="9" t="n">
        <x:v>42</x:v>
      </x:c>
      <x:c r="F10" s="9" t="n">
        <x:v>20</x:v>
      </x:c>
      <x:c r="G10" s="9" t="n">
        <x:v>5</x:v>
      </x:c>
      <x:c r="H10" s="9" t="n">
        <x:v>6</x:v>
      </x:c>
      <x:c r="I10" s="5" t="str">
        <x:v>균열보다 50% 넓은 범위의 적을 끌어당깁니다. 균열 안에서 지속 피해를 주고 닫힐 때 폭발합니다. 보스는 끌어당기지 못합니다.</x:v>
      </x:c>
    </x:row>
    <x:row r="11" ht="70" customHeight="1">
      <x:c r="A11" s="9"/>
      <x:c r="B11" s="5"/>
      <x:c r="C11" s="5"/>
      <x:c r="D11" s="5"/>
      <x:c r="E11" s="9"/>
      <x:c r="F11" s="9"/>
      <x:c r="G11" s="9"/>
      <x:c r="H11" s="9"/>
      <x:c r="I11" s="5"/>
    </x:row>
  </x:sheetData>
  <x:pageMargins left="0.7" right="0.7" top="0.75" bottom="0.75" header="0.3" footer="0.3"/>
  <x:tableParts count="1">
    <x:tablePart xmlns:r="http://schemas.openxmlformats.org/officeDocument/2006/relationships" r:id="R38de710b36ea451d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0.5</x:v>
      </x:c>
      <x:c r="E2" s="18" t="n">
        <x:v>0.16666666666666666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2.16</x:v>
      </x:c>
      <x:c r="E5" s="18" t="n">
        <x:v>0.12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1.4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/>
    </x:row>
    <x:row r="8" ht="34" customHeight="1">
      <x:c r="A8" s="9" t="n">
        <x:v>7</x:v>
      </x:c>
      <x:c r="B8" s="16" t="str">
        <x:f>'Skills'!B8</x:f>
        <x:v>Sanctuary</x:v>
      </x:c>
      <x:c r="C8" s="18" t="n">
        <x:v>2.6</x:v>
      </x:c>
      <x:c r="D8" s="18" t="n">
        <x:v>4.199999809265137</x:v>
      </x:c>
      <x:c r="E8" s="18" t="n">
        <x:v>0.699999988079071</x:v>
      </x:c>
      <x:c r="F8" s="18" t="n">
        <x:v>0</x:v>
      </x:c>
      <x:c r="G8" s="18" t="n">
        <x:v>0</x:v>
      </x:c>
      <x:c r="H8" s="18" t="n">
        <x:v>0</x:v>
      </x:c>
      <x:c r="I8" s="17" t="b">
        <x:v>1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Parrying_SFX</x:v>
      </x:c>
      <x:c r="O8" s="5"/>
    </x:row>
    <x:row r="9" ht="34" customHeight="1">
      <x:c r="A9" s="9" t="n">
        <x:v>8</x:v>
      </x:c>
      <x:c r="B9" s="16" t="str">
        <x:f>'Skills'!B9</x:f>
        <x:v>Meteor</x:v>
      </x:c>
      <x:c r="C9" s="18" t="n">
        <x:v>1.5499999523162842</x:v>
      </x:c>
      <x:c r="D9" s="18" t="n">
        <x:v>0.800000011920929</x:v>
      </x:c>
      <x:c r="E9" s="18" t="n">
        <x:v>0.800000011920929</x:v>
      </x:c>
      <x:c r="F9" s="18" t="n">
        <x:v>0</x:v>
      </x:c>
      <x:c r="G9" s="18" t="n">
        <x:v>0</x:v>
      </x:c>
      <x:c r="H9" s="18" t="n">
        <x:v>0.13461539149284363</x:v>
      </x:c>
      <x:c r="I9" s="17" t="b">
        <x:v>0</x:v>
      </x:c>
      <x:c r="J9" s="5" t="str">
        <x:v>충돌 1회 + 잔열 2회</x:v>
      </x:c>
      <x:c r="K9" s="9" t="n">
        <x:v>0</x:v>
      </x:c>
      <x:c r="L9" s="9" t="n">
        <x:v>100</x:v>
      </x:c>
      <x:c r="M9" s="9" t="n">
        <x:v>10</x:v>
      </x:c>
      <x:c r="N9" s="5" t="str">
        <x:v>Fire_Tornado_SFX</x:v>
      </x:c>
      <x:c r="O9" s="5"/>
    </x:row>
    <x:row r="10" ht="34" customHeight="1">
      <x:c r="A10" s="9" t="n">
        <x:v>9</x:v>
      </x:c>
      <x:c r="B10" s="16" t="str">
        <x:f>'Skills'!B10</x:f>
        <x:v>VoidRift</x:v>
      </x:c>
      <x:c r="C10" s="18" t="n">
        <x:v>1.2999999523162842</x:v>
      </x:c>
      <x:c r="D10" s="18" t="n">
        <x:v>3</x:v>
      </x:c>
      <x:c r="E10" s="18" t="n">
        <x:v>0.6000000238418579</x:v>
      </x:c>
      <x:c r="F10" s="18" t="n">
        <x:v>0.8500000238418579</x:v>
      </x:c>
      <x:c r="G10" s="18" t="n">
        <x:v>0.20000000298023224</x:v>
      </x:c>
      <x:c r="H10" s="18" t="n">
        <x:v>4.285714149475098</x:v>
      </x:c>
      <x:c r="I10" s="17" t="b">
        <x:v>0</x:v>
      </x:c>
      <x:c r="J10" s="5" t="str">
        <x:v>반복 피해 + 마지막 붕괴</x:v>
      </x:c>
      <x:c r="K10" s="9" t="n">
        <x:v>1</x:v>
      </x:c>
      <x:c r="L10" s="9" t="n">
        <x:v>100</x:v>
      </x:c>
      <x:c r="M10" s="9" t="n">
        <x:v>10</x:v>
      </x:c>
      <x:c r="N10" s="5" t="str">
        <x:v>Charge_Shot_SFX</x:v>
      </x:c>
      <x:c r="O10" s="5"/>
    </x:row>
    <x:row r="11" ht="34" customHeight="1">
      <x:c r="A11" s="9"/>
      <x:c r="B11" s="16"/>
      <x:c r="C11" s="18"/>
      <x:c r="D11" s="18"/>
      <x:c r="E11" s="18"/>
      <x:c r="F11" s="18"/>
      <x:c r="G11" s="18"/>
      <x:c r="H11" s="18"/>
      <x:c r="I11" s="9"/>
      <x:c r="J11" s="5"/>
      <x:c r="K11" s="9"/>
      <x:c r="L11" s="9"/>
      <x:c r="M11" s="9"/>
      <x:c r="N11" s="5"/>
      <x:c r="O11" s="5"/>
    </x:row>
  </x:sheetData>
  <x:pageMargins left="0.7" right="0.7" top="0.75" bottom="0.75" header="0.3" footer="0.3"/>
  <x:tableParts count="1">
    <x:tablePart xmlns:r="http://schemas.openxmlformats.org/officeDocument/2006/relationships" r:id="R79950523d99c4e5c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650%를 줍니다. 기절 효과는 없습니다.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0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유성우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늪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7</x:v>
      </x:c>
      <x:c r="B8" s="16" t="str">
        <x:f>'Skills'!C8</x:f>
        <x:v>회복의 성역</x:v>
      </x:c>
      <x:c r="C8" s="5" t="str">
        <x:v>미정</x:v>
      </x:c>
      <x:c r="D8" s="5" t="str">
        <x:v>회복량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8</x:v>
      </x:c>
      <x:c r="B9" s="16" t="str">
        <x:f>'Skills'!C9</x:f>
        <x:v>운석 낙하</x:v>
      </x:c>
      <x:c r="C9" s="5" t="str">
        <x:v>미정</x:v>
      </x:c>
      <x:c r="D9" s="5" t="str">
        <x:v>피해량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9</x:v>
      </x:c>
      <x:c r="B10" s="16" t="str">
        <x:f>'Skills'!C10</x:f>
        <x:v>공허 균열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/>
      <x:c r="B11" s="16"/>
      <x:c r="C11" s="5"/>
      <x:c r="D11" s="5"/>
      <x:c r="E11" s="9"/>
      <x:c r="F11" s="9"/>
      <x:c r="G11" s="9"/>
      <x:c r="H11" s="5"/>
      <x:c r="I11" s="9"/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805d4a9ac9714224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0.05555555555555555</x:v>
      </x:c>
      <x:c r="E2" s="9" t="n">
        <x:v>55</x:v>
      </x:c>
      <x:c r="F2" s="5" t="n">
        <x:f>ROUNDUP(E2/C2,0)</x:f>
        <x:v>2</x:v>
      </x:c>
      <x:c r="G2" s="20" t="n">
        <x:f>F2/D2</x:f>
        <x:v>36</x:v>
      </x:c>
      <x:c r="H2" s="20" t="n">
        <x:f>(F2+1)/D2</x:f>
        <x:v>54</x:v>
      </x:c>
      <x:c r="I2" s="20" t="n">
        <x:f>H2/21</x:f>
        <x:v>2.5714285714285716</x:v>
      </x:c>
      <x:c r="J2" s="9" t="n">
        <x:v>95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0.05555555555555555</x:v>
      </x:c>
      <x:c r="E3" s="9" t="n">
        <x:v>55</x:v>
      </x:c>
      <x:c r="F3" s="5" t="n">
        <x:f>ROUNDUP(E3/C3,0)</x:f>
        <x:v>2</x:v>
      </x:c>
      <x:c r="G3" s="20" t="n">
        <x:f>F3/D3</x:f>
        <x:v>36</x:v>
      </x:c>
      <x:c r="H3" s="20" t="n">
        <x:f>(F3+1)/D3</x:f>
        <x:v>54</x:v>
      </x:c>
      <x:c r="I3" s="20" t="n">
        <x:f>H3/21</x:f>
        <x:v>2.5714285714285716</x:v>
      </x:c>
      <x:c r="J3" s="9" t="n">
        <x:v>95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0.05555555555555555</x:v>
      </x:c>
      <x:c r="E4" s="9" t="n">
        <x:v>55</x:v>
      </x:c>
      <x:c r="F4" s="5" t="n">
        <x:f>ROUNDUP(E4/C4,0)</x:f>
        <x:v>2</x:v>
      </x:c>
      <x:c r="G4" s="20" t="n">
        <x:f>F4/D4</x:f>
        <x:v>36</x:v>
      </x:c>
      <x:c r="H4" s="20" t="n">
        <x:f>(F4+1)/D4</x:f>
        <x:v>54</x:v>
      </x:c>
      <x:c r="I4" s="20" t="n">
        <x:f>H4/21</x:f>
        <x:v>2.5714285714285716</x:v>
      </x:c>
      <x:c r="J4" s="9" t="n">
        <x:v>95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0.05555555555555555</x:v>
      </x:c>
      <x:c r="E5" s="9" t="n">
        <x:v>55</x:v>
      </x:c>
      <x:c r="F5" s="5" t="n">
        <x:f>ROUNDUP(E5/C5,0)</x:f>
        <x:v>2</x:v>
      </x:c>
      <x:c r="G5" s="20" t="n">
        <x:f>F5/D5</x:f>
        <x:v>36</x:v>
      </x:c>
      <x:c r="H5" s="20" t="n">
        <x:f>(F5+1)/D5</x:f>
        <x:v>54</x:v>
      </x:c>
      <x:c r="I5" s="20" t="n">
        <x:f>H5/21</x:f>
        <x:v>2.5714285714285716</x:v>
      </x:c>
      <x:c r="J5" s="9" t="n">
        <x:v>95</x:v>
      </x:c>
    </x:row>
    <x:row r="6" ht="34" customHeight="1">
      <x:c r="A6" s="9" t="n">
        <x:v>4</x:v>
      </x:c>
      <x:c r="B6" s="16" t="str">
        <x:f>'Skills'!C6</x:f>
        <x:v>맹독 늪</x:v>
      </x:c>
      <x:c r="C6" s="9" t="n">
        <x:v>30</x:v>
      </x:c>
      <x:c r="D6" s="19" t="n">
        <x:v>0.05555555555555555</x:v>
      </x:c>
      <x:c r="E6" s="9" t="n">
        <x:v>55</x:v>
      </x:c>
      <x:c r="F6" s="5" t="n">
        <x:f>ROUNDUP(E6/C6,0)</x:f>
        <x:v>2</x:v>
      </x:c>
      <x:c r="G6" s="20" t="n">
        <x:f>F6/D6</x:f>
        <x:v>36</x:v>
      </x:c>
      <x:c r="H6" s="20" t="n">
        <x:f>(F6+1)/D6</x:f>
        <x:v>54</x:v>
      </x:c>
      <x:c r="I6" s="20" t="n">
        <x:f>H6/21</x:f>
        <x:v>2.5714285714285716</x:v>
      </x:c>
      <x:c r="J6" s="9" t="n">
        <x:v>95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0.05555555555555555</x:v>
      </x:c>
      <x:c r="E7" s="9" t="n">
        <x:v>55</x:v>
      </x:c>
      <x:c r="F7" s="5" t="n">
        <x:f>ROUNDUP(E7/C7,0)</x:f>
        <x:v>2</x:v>
      </x:c>
      <x:c r="G7" s="20" t="n">
        <x:f>F7/D7</x:f>
        <x:v>36</x:v>
      </x:c>
      <x:c r="H7" s="20" t="n">
        <x:f>(F7+1)/D7</x:f>
        <x:v>54</x:v>
      </x:c>
      <x:c r="I7" s="20" t="n">
        <x:f>H7/21</x:f>
        <x:v>2.5714285714285716</x:v>
      </x:c>
      <x:c r="J7" s="9" t="n">
        <x:v>95</x:v>
      </x:c>
    </x:row>
    <x:row r="8" ht="34" customHeight="1">
      <x:c r="A8" s="9" t="n">
        <x:v>7</x:v>
      </x:c>
      <x:c r="B8" s="16" t="str">
        <x:f>'Skills'!C8</x:f>
        <x:v>회복의 성역</x:v>
      </x:c>
      <x:c r="C8" s="9" t="n">
        <x:v>30</x:v>
      </x:c>
      <x:c r="D8" s="19" t="n">
        <x:v>0.05555555555555555</x:v>
      </x:c>
      <x:c r="E8" s="9" t="n">
        <x:v>55</x:v>
      </x:c>
      <x:c r="F8" s="5" t="n">
        <x:f>ROUNDUP(E8/C8,0)</x:f>
        <x:v>2</x:v>
      </x:c>
      <x:c r="G8" s="20" t="n">
        <x:f>F8/D8</x:f>
        <x:v>36</x:v>
      </x:c>
      <x:c r="H8" s="20" t="n">
        <x:f>(F8+1)/D8</x:f>
        <x:v>54</x:v>
      </x:c>
      <x:c r="I8" s="20" t="n">
        <x:f>H8/21</x:f>
        <x:v>2.5714285714285716</x:v>
      </x:c>
      <x:c r="J8" s="9" t="n">
        <x:v>95</x:v>
      </x:c>
    </x:row>
    <x:row r="9" ht="34" customHeight="1">
      <x:c r="A9" s="9" t="n">
        <x:v>8</x:v>
      </x:c>
      <x:c r="B9" s="16" t="str">
        <x:f>'Skills'!C9</x:f>
        <x:v>운석 낙하</x:v>
      </x:c>
      <x:c r="C9" s="9" t="n">
        <x:v>30</x:v>
      </x:c>
      <x:c r="D9" s="19" t="n">
        <x:v>0.05555555555555555</x:v>
      </x:c>
      <x:c r="E9" s="9" t="n">
        <x:v>55</x:v>
      </x:c>
      <x:c r="F9" s="5" t="n">
        <x:f>ROUNDUP(E9/C9,0)</x:f>
        <x:v>2</x:v>
      </x:c>
      <x:c r="G9" s="20" t="n">
        <x:f>F9/D9</x:f>
        <x:v>36</x:v>
      </x:c>
      <x:c r="H9" s="20" t="n">
        <x:f>(F9+1)/D9</x:f>
        <x:v>54</x:v>
      </x:c>
      <x:c r="I9" s="20" t="n">
        <x:f>H9/21</x:f>
        <x:v>2.5714285714285716</x:v>
      </x:c>
      <x:c r="J9" s="9" t="n">
        <x:v>95</x:v>
      </x:c>
    </x:row>
    <x:row r="10" ht="34" customHeight="1">
      <x:c r="A10" s="9" t="n">
        <x:v>9</x:v>
      </x:c>
      <x:c r="B10" s="16" t="str">
        <x:f>'Skills'!C10</x:f>
        <x:v>공허 균열</x:v>
      </x:c>
      <x:c r="C10" s="9" t="n">
        <x:v>30</x:v>
      </x:c>
      <x:c r="D10" s="19" t="n">
        <x:v>0.05555555555555555</x:v>
      </x:c>
      <x:c r="E10" s="9" t="n">
        <x:v>55</x:v>
      </x:c>
      <x:c r="F10" s="5" t="n">
        <x:f>ROUNDUP(E10/C10,0)</x:f>
        <x:v>2</x:v>
      </x:c>
      <x:c r="G10" s="20" t="n">
        <x:f>F10/D10</x:f>
        <x:v>36</x:v>
      </x:c>
      <x:c r="H10" s="20" t="n">
        <x:f>(F10+1)/D10</x:f>
        <x:v>54</x:v>
      </x:c>
      <x:c r="I10" s="20" t="n">
        <x:f>H10/21</x:f>
        <x:v>2.5714285714285716</x:v>
      </x:c>
      <x:c r="J10" s="9" t="n">
        <x:v>95</x:v>
      </x:c>
    </x:row>
    <x:row r="11" ht="34" customHeight="1">
      <x:c r="A11" s="9"/>
      <x:c r="B11" s="16"/>
      <x:c r="C11" s="9"/>
      <x:c r="D11" s="19"/>
      <x:c r="E11" s="9"/>
      <x:c r="F11" s="5"/>
      <x:c r="G11" s="20"/>
      <x:c r="H11" s="20"/>
      <x:c r="I11" s="20"/>
      <x:c r="J11" s="9"/>
    </x:row>
  </x:sheetData>
  <x:pageMargins left="0.7" right="0.7" top="0.75" bottom="0.75" header="0.3" footer="0.3"/>
  <x:tableParts count="1">
    <x:tablePart xmlns:r="http://schemas.openxmlformats.org/officeDocument/2006/relationships" r:id="Reff2ded0646a4476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0139623cfc134fdc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/>
      <x:c r="H2" s="5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/>
      <x:c r="H3" s="5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/>
      <x:c r="H4" s="5"/>
      <x:c r="I4" s="5"/>
      <x:c r="J4" s="5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/>
      <x:c r="H5" s="5" t="str">
        <x:v>Assets/_Project/Prefabs/VFX/MageTower/ArcaneImpact.prefab</x:v>
      </x:c>
      <x:c r="I5" s="5"/>
      <x:c r="J5" s="5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/>
      <x:c r="H6" s="5"/>
      <x:c r="I6" s="5"/>
      <x:c r="J6" s="5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/>
      <x:c r="I7" s="5"/>
      <x:c r="J7" s="5"/>
    </x:row>
    <x:row r="8" ht="34" customHeight="1">
      <x:c r="A8" s="9" t="n">
        <x:v>7</x:v>
      </x:c>
      <x:c r="B8" s="16" t="str">
        <x:f>'Skills'!B8</x:f>
        <x:v>Sanctuary</x:v>
      </x:c>
      <x:c r="C8" s="5" t="str">
        <x:v>Assets/MageTower/SO/Sanctuary/MageTowerSkill_Sanctuary.asset</x:v>
      </x:c>
      <x:c r="D8" s="5" t="str">
        <x:v>Assets/_Project/Art/Icons/MageTower/Sanctuary.png</x:v>
      </x:c>
      <x:c r="E8" s="5" t="str">
        <x:v>Assets/_Project/Art/Icons/MageTower/Sanctuary_Bloom.png</x:v>
      </x:c>
      <x:c r="F8" s="5" t="str">
        <x:v>Assets/_Project/Prefabs/VFX/MageTower/Sanctuary.prefab</x:v>
      </x:c>
      <x:c r="G8" s="5"/>
      <x:c r="H8" s="5" t="str">
        <x:v>Assets/_Project/Prefabs/VFX/MageTower/SanctuaryHeal.prefab</x:v>
      </x:c>
      <x:c r="I8" s="5"/>
      <x:c r="J8" s="5"/>
    </x:row>
    <x:row r="9" ht="34" customHeight="1">
      <x:c r="A9" s="9" t="n">
        <x:v>8</x:v>
      </x:c>
      <x:c r="B9" s="16" t="str">
        <x:f>'Skills'!B9</x:f>
        <x:v>Meteor</x:v>
      </x:c>
      <x:c r="C9" s="5" t="str">
        <x:v>Assets/MageTower/SO/Meteor/MageTowerSkill_Meteor.asset</x:v>
      </x:c>
      <x:c r="D9" s="5" t="str">
        <x:v>Assets/_Project/Art/Icons/MageTower/Meteor.png</x:v>
      </x:c>
      <x:c r="E9" s="5" t="str">
        <x:v>Assets/_Project/Art/Icons/MageTower/Meteor_Bloom.png</x:v>
      </x:c>
      <x:c r="F9" s="5" t="str">
        <x:v>Assets/_Project/Prefabs/VFX/MageTower/Meteor.prefab</x:v>
      </x:c>
      <x:c r="G9" s="5" t="str"/>
      <x:c r="H9" s="5" t="str">
        <x:v>Assets/_Project/Prefabs/VFX/MageTower/MeteorCrater.prefab</x:v>
      </x:c>
      <x:c r="I9" s="5"/>
      <x:c r="J9" s="5"/>
    </x:row>
    <x:row r="10" ht="34" customHeight="1">
      <x:c r="A10" s="9" t="n">
        <x:v>9</x:v>
      </x:c>
      <x:c r="B10" s="16" t="str">
        <x:f>'Skills'!B10</x:f>
        <x:v>VoidRift</x:v>
      </x:c>
      <x:c r="C10" s="5" t="str">
        <x:v>Assets/MageTower/SO/VoidRift/MageTowerSkill_VoidRift.asset</x:v>
      </x:c>
      <x:c r="D10" s="5" t="str">
        <x:v>Assets/_Project/Art/Icons/MageTower/VoidRift.png</x:v>
      </x:c>
      <x:c r="E10" s="5" t="str">
        <x:v>Assets/_Project/Art/Icons/MageTower/VoidRift_Bloom.png</x:v>
      </x:c>
      <x:c r="F10" s="5" t="str">
        <x:v>Assets/_Project/Prefabs/VFX/MageTower/VoidRift.prefab</x:v>
      </x:c>
      <x:c r="G10" s="5"/>
      <x:c r="H10" s="5" t="str">
        <x:v>Assets/_Project/Prefabs/VFX/MageTower/VoidCollapse.prefab</x:v>
      </x:c>
      <x:c r="I10" s="5"/>
      <x:c r="J10" s="5"/>
    </x:row>
    <x:row r="11" ht="34" customHeight="1">
      <x:c r="A11" s="9"/>
      <x:c r="B11" s="16"/>
      <x:c r="C11" s="5"/>
      <x:c r="D11" s="5"/>
      <x:c r="E11" s="5"/>
      <x:c r="F11" s="5"/>
      <x:c r="G11" s="5"/>
      <x:c r="H11" s="5"/>
      <x:c r="I11" s="5"/>
      <x:c r="J11" s="5"/>
    </x:row>
  </x:sheetData>
  <x:pageMargins left="0.7" right="0.7" top="0.75" bottom="0.75" header="0.3" footer="0.3"/>
  <x:tableParts count="1">
    <x:tablePart xmlns:r="http://schemas.openxmlformats.org/officeDocument/2006/relationships" r:id="Ra5af9039f4114504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일반: 첫 중심 이후 0.8 이내 분산, 낙뢰마다 반경 0.55. 조준 반경 1.35.
약 0.167초 간격으로 기본 3회, A4 4회, A8 이상 5회. 천벌 연출 유지.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76" customHeight="1">
      <x:c r="A5" s="9" t="n">
        <x:v>3</x:v>
      </x:c>
      <x:c r="B5" s="5" t="str">
        <x:v>전장 내 적을 차례로 선택</x:v>
      </x:c>
      <x:c r="C5" s="5" t="str">
        <x:v>별빛은 비행 전반 70% 동안 대상을 추적한 뒤 낙하 지점을 확정
0.12초 간격 · 18개 기본 낙하 · 비행 0.48초</x:v>
      </x:c>
      <x:c r="D5" s="5" t="str">
        <x:v>낙하와 충돌 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7</x:v>
      </x:c>
      <x:c r="B8" s="5" t="str">
        <x:v>생존 아군 중 HP 비율 최저</x:v>
      </x:c>
      <x:c r="C8" s="5" t="str">
        <x:v>매 회복마다 대상 재선정</x:v>
      </x:c>
      <x:c r="D8" s="5" t="str">
        <x:v>한 번 등장 후 지속시간 동안 회복 파동. 종료 시 한 번 퇴장</x:v>
      </x:c>
    </x:row>
    <x:row r="9" ht="76" customHeight="1">
      <x:c r="A9" s="9" t="n">
        <x:v>8</x:v>
      </x:c>
      <x:c r="B9" s="5" t="str">
        <x:v>적이 가장 많이 모인 지점 · 가장자리 안쪽 보정</x:v>
      </x:c>
      <x:c r="C9" s="5" t="str">
        <x:v>착탄 지점 고정. 시전 마법진 없음.
1.5초 가속 낙하, 접촉 후 0.09초에 피해. 잔열 2회.</x:v>
      </x:c>
      <x:c r="D9" s="5" t="str">
        <x:v>운석과 폭발 전면 · 잔열 후면</x:v>
      </x:c>
    </x:row>
    <x:row r="10" ht="76" customHeight="1">
      <x:c r="A10" s="9" t="n">
        <x:v>9</x:v>
      </x:c>
      <x:c r="B10" s="5" t="str">
        <x:v>공중 균열, 피해 반경 1.3, 흡입 반경 1.95 월드 단위</x:v>
      </x:c>
      <x:c r="C10" s="5" t="str">
        <x:v>흡입은 보이는 균열보다 50% 넓게 적용. 피해·붕괴 반경 유지</x:v>
      </x:c>
      <x:c r="D10" s="5" t="str">
        <x:v>지속 균열 후면 · 붕괴 전면</x:v>
      </x:c>
    </x:row>
    <x:row r="11" ht="76" customHeight="1">
      <x:c r="A11" s="9"/>
      <x:c r="B11" s="5"/>
      <x:c r="C11" s="5"/>
      <x:c r="D11" s="5"/>
    </x:row>
  </x:sheetData>
  <x:pageMargins left="0.7" right="0.7" top="0.75" bottom="0.75" header="0.3" footer="0.3"/>
  <x:tableParts count="1">
    <x:tablePart xmlns:r="http://schemas.openxmlformats.org/officeDocument/2006/relationships" r:id="Rcbe0ed84f3b1414b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0.13.2 운영 개정 2026-09-20. 9종, ID 0–5·7–9. 삭제된 ID 6은 재사용하지 않습니다.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직접 강화 E는 비전 지식으로 0~100, 각성 A는 동일 스킬 파편으로 0~10. A4/A8에 각각 1회 추가(화염 회오리는 2틱), A마다 효과량 +5%와 쿨타임 -2%. 운석은 고정 1회 충돌과 잔열 2회이며 타격 수 보너스를 사용하지 않습니다.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뽑기는 스킬 50%, 비전 지식 10개 30%·20개 15%·50개 5%. 9종 스킬은 같은 확률(각 50%/9)입니다.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 55파편. 주당 21회 마탑 뽑기 기준으로 미보유 특정 스킬의 평균 개화 기간은 54회, 약 2.57주입니다. 기존 파편과 최초 보상은 제외합니다.</x:v>
      </x:c>
    </x:row>
    <x:row r="14" ht="62" customHeight="1">
      <x:c r="A14" s="5" t="str">
        <x:v>확률 편차</x:v>
      </x:c>
      <x:c r="B14" s="5" t="str">
        <x:v>Acquisition의 P90은 정확한 음이항 계산입니다. 스킬당 95회까지 약 90%가 목표를 달성합니다. 천장이나 기간 보장은 없습니다.</x:v>
      </x:c>
    </x:row>
    <x:row r="15" ht="84" customHeight="1">
      <x:c r="A15" s="5" t="str">
        <x:v>특수 개화</x:v>
      </x:c>
      <x:c r="B15" s="5" t="str">
        <x:v>천벌은 약 2초 예고 후 고정 반경 2.1 월드 단위 안 최대 10체를 공격합니다. 기기 비율이 피해 범위를 바꾸지 않습니다. Bloom의 최소·최대 반경은 모두 2.1입니다. 만년빙정은 시전 시작 시 유효 적 1체 여부로 단일/다수 형태를 선택합니다.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개화 ON이면 BloomIcon을 사용합니다. 기본 실루엣과 구도를 유지하고 작은 발광·색조만 변화합니다. OFF 및 미해금 상태는 원본 아이콘을 사용합니다.</x:v>
      </x:c>
    </x:row>
    <x:row r="18" ht="84" customHeight="1">
      <x:c r="A18" s="5" t="str">
        <x:v>타격 연출</x:v>
      </x:c>
      <x:c r="B18" s="5" t="str">
        <x:v>타격 시점에 피해·피격 반응·효과음을 맞춥니다. 별빛은 겹쳐 낙하하고 운석은 충돌 후 잔열을 남깁니다. 기절과 감속은 독립 만료하며 감속은 합산하지 않고 가장 강한 효과만 적용합니다. 전장 전환 시 진행 중인 타격과 이펙트를 취소합니다.</x:v>
      </x:c>
    </x:row>
    <x:row r="19" ht="84" customHeight="1">
      <x:c r="A19" s="5" t="str">
        <x:v>외부 원본</x:v>
      </x:c>
      <x:c r="B19" s="5" t="str">
        <x:v>ExternalAssets 원본은 보존합니다. 제작 출처: AI/comfyui/mage-vfx/revision1~5. 일반 라이트닝은 최초 ThunderEffects 원화 복원. 운석은 Comfy 표면 마스터를 회전·화염 흐름·파편 48프레임으로 가공했습니다.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 외 7종은 개화 미정이며 피해 또는 회복량이 15% 증가합니다.</x:v>
      </x:c>
    </x:row>
    <x:row r="23" ht="68" customHeight="1">
      <x:c r="A23" s="24" t="str">
        <x:v>왕국군 공격 계수</x:v>
      </x:c>
      <x:c r="B23" s="24" t="str">
        <x:v>시전당 1회 효과량 = round(기본 효과량×1.04^E×(1+0.05A)) + round(출전 3인 ATK 합×기본 효과량/400×(1+0.005E+0.025A)). 사망한 출전 병사도 합산하고 시전 시작 시 고정합니다.</x:v>
      </x:c>
    </x:row>
    <x:row r="24" ht="68" customHeight="1">
      <x:c r="A24" s="24" t="str">
        <x:v>수동 시전</x:v>
      </x:c>
      <x:c r="B24" s="24" t="str">
        <x:v>자동 OFF에서 우측 스테이지 표시 위에 장착 스킬을 나열합니다. ON이면 대응하는 퇴장 애니메이션. 준비 점등·시계 방향 쿨다운 음영·남은 초를 표시합니다.</x:v>
      </x:c>
    </x:row>
    <x:row r="25" ht="68" customHeight="1">
      <x:c r="A25" s="24" t="str">
        <x:v>조준 구도</x:v>
      </x:c>
      <x:c r="B25" s="24" t="str">
        <x:v>발 위치 기준 원형 게임 판정과 쿼터뷰 타원 장판 표시를 구분합니다. 분산 스킬인 얼음 송곳·유성우는 드래그 시전과 쿨다운 소비를 하지 않습니다.</x:v>
      </x:c>
    </x:row>
    <x:row r="26" ht="68" customHeight="1">
      <x:c r="A26" s="24" t="str">
        <x:v>각성 안내</x:v>
      </x:c>
      <x:c r="B26" s="24" t="str">
        <x:v>A4/A8 추가 타격·틱, 다음 각성의 효과량·쿨타임·타격 수, A10 개화 효과를 상세 화면에 표시합니다. 운석은 추가 타격 보너스가 없습니다.</x:v>
      </x:c>
    </x:row>
    <x:row r="27" ht="68" customHeight="1">
      <x:c r="A27" s="24" t="str">
        <x:v>성역 연출</x:v>
      </x:c>
      <x:c r="B27" s="24" t="str">
        <x:v>반경 2.6. 한 번 상승한 불투명 문양을 유지하며 발밑 지면 파동으로 회복하고 종료 때 한 번 하강합니다.</x:v>
      </x:c>
    </x:row>
    <x:row r="28" ht="68" customHeight="1">
      <x:c r="A28" s="24" t="str">
        <x:v>픽셀과 레이어</x:v>
      </x:c>
      <x:c r="B28" s="24" t="str">
        <x:v>핵심 VFX 목표 32px/월드 단위, 4~6색·Point·ASTC4×4. 단발 타격은 전면, 독 늪·잔열·흡인 등 지속 장판은 후면입니다. 이펙트가 큰 경우 원본 논리 해상도도 함께 높입니다.</x:v>
      </x:c>
    </x:row>
  </x:sheetData>
  <x:pageMargins left="0.7" right="0.7" top="0.75" bottom="0.75" header="0.3" footer="0.3"/>
  <x:tableParts count="1">
    <x:tablePart xmlns:r="http://schemas.openxmlformats.org/officeDocument/2006/relationships" r:id="Re36db18132344b88"/>
  </x:tableParts>
</x:worksheet>
</file>