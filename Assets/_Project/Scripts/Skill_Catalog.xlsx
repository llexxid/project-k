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28d798ee0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ills" sheetId="1" r:id="Rd3e087a157ec40d0"/>
    <x:sheet xmlns:r="http://schemas.openxmlformats.org/officeDocument/2006/relationships" name="Parameters" sheetId="2" r:id="R81dbcc681f6a44d2"/>
    <x:sheet xmlns:r="http://schemas.openxmlformats.org/officeDocument/2006/relationships" name="Bloom" sheetId="3" r:id="R6149853889ba41a9"/>
    <x:sheet xmlns:r="http://schemas.openxmlformats.org/officeDocument/2006/relationships" name="Acquisition" sheetId="4" r:id="R9ab34a80bdb54e67"/>
    <x:sheet xmlns:r="http://schemas.openxmlformats.org/officeDocument/2006/relationships" name="Growth" sheetId="5" r:id="Re554c98a7e904d26"/>
    <x:sheet xmlns:r="http://schemas.openxmlformats.org/officeDocument/2006/relationships" name="Assets" sheetId="6" r:id="R324efd102463456b"/>
    <x:sheet xmlns:r="http://schemas.openxmlformats.org/officeDocument/2006/relationships" name="Targeting" sheetId="7" r:id="Rd777cf03eb074eca"/>
    <x:sheet xmlns:r="http://schemas.openxmlformats.org/officeDocument/2006/relationships" name="Guide" sheetId="8" r:id="R076e2cb4d77c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%"/>
    <x:numFmt numFmtId="202" formatCode="0.00"/>
    <x:numFmt numFmtId="203" formatCode="0.0000"/>
  </x:numFmts>
  <x:fonts count="7">
    <x:font>
      <x:sz val="11"/>
      <x:name val="Carlito"/>
    </x:font>
    <x:font>
      <x:sz val="11"/>
      <x:name val="Malgun Gothic"/>
    </x:font>
    <x:font>
      <x:sz val="10"/>
      <x:name val="Malgun Gothic"/>
    </x:font>
    <x:font>
      <x:sz val="10"/>
      <x:color rgb="FF213547"/>
      <x:name val="Malgun Gothic"/>
    </x:font>
    <x:font>
      <x:sz val="10"/>
      <x:color rgb="FFFFFFFF"/>
      <x:name val="Malgun Gothic"/>
    </x:font>
    <x:font>
      <x:b/>
      <x:sz val="10"/>
      <x:color rgb="FFFFFFFF"/>
      <x:name val="Malgun Gothic"/>
    </x:font>
    <x:font>
      <x:sz val="10"/>
      <x:color rgb="FF206447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3E52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horizontal="center"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c6f98b5ff04561" /><Relationship Type="http://schemas.openxmlformats.org/officeDocument/2006/relationships/theme" Target="/xl/theme/theme1.xml" Id="R890c9bb02d13429b" /><Relationship Type="http://schemas.microsoft.com/office/2022/11/relationships/FeaturePropertyBag" Target="/xl/featurePropertyBag/featurePropertyBag.xml" Id="Rfbe3e191c3db4a25" /><Relationship Type="http://schemas.openxmlformats.org/officeDocument/2006/relationships/sharedStrings" Target="/xl/sharedStrings.xml" Id="Rc047da9a3d194bac" /><Relationship Type="http://schemas.openxmlformats.org/officeDocument/2006/relationships/worksheet" Target="/xl/worksheets/sheet1.xml" Id="Rd3e087a157ec40d0" /><Relationship Type="http://schemas.openxmlformats.org/officeDocument/2006/relationships/worksheet" Target="/xl/worksheets/sheet2.xml" Id="R81dbcc681f6a44d2" /><Relationship Type="http://schemas.openxmlformats.org/officeDocument/2006/relationships/worksheet" Target="/xl/worksheets/sheet3.xml" Id="R6149853889ba41a9" /><Relationship Type="http://schemas.openxmlformats.org/officeDocument/2006/relationships/worksheet" Target="/xl/worksheets/sheet4.xml" Id="R9ab34a80bdb54e67" /><Relationship Type="http://schemas.openxmlformats.org/officeDocument/2006/relationships/worksheet" Target="/xl/worksheets/sheet5.xml" Id="Re554c98a7e904d26" /><Relationship Type="http://schemas.openxmlformats.org/officeDocument/2006/relationships/worksheet" Target="/xl/worksheets/sheet6.xml" Id="R324efd102463456b" /><Relationship Type="http://schemas.openxmlformats.org/officeDocument/2006/relationships/worksheet" Target="/xl/worksheets/sheet7.xml" Id="Rd777cf03eb074eca" /><Relationship Type="http://schemas.openxmlformats.org/officeDocument/2006/relationships/worksheet" Target="/xl/worksheets/sheet8.xml" Id="R076e2cb4d77c46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9" name="Mage_Skills" displayName="Mage_Skills" ref="A1:I10" headerRowCount="1" totalsRowCount="0" totalsRowShown="0">
  <x:tableColumns count="9">
    <x:tableColumn id="1" name="SkillId"/>
    <x:tableColumn id="2" name="Key"/>
    <x:tableColumn id="3" name="이름"/>
    <x:tableColumn id="4" name="역할"/>
    <x:tableColumn id="5" name="기본 효과량"/>
    <x:tableColumn id="6" name="쿨타임(초)"/>
    <x:tableColumn id="7" name="기본 타격 수"/>
    <x:tableColumn id="8" name="동시 대상 상한"/>
    <x:tableColumn id="9" name="기본 툴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Mage_Parameters" displayName="Mage_Parameters" ref="A1:O10" headerRowCount="1" totalsRowCount="0" totalsRowShown="0">
  <x:tableColumns count="15">
    <x:tableColumn id="1" name="SkillId"/>
    <x:tableColumn id="2" name="Key"/>
    <x:tableColumn id="3" name="RadiusWU"/>
    <x:tableColumn id="4" name="DurationSec"/>
    <x:tableColumn id="5" name="TickIntervalSec"/>
    <x:tableColumn id="6" name="ControlSec"/>
    <x:tableColumn id="7" name="SlowFraction"/>
    <x:tableColumn id="8" name="SecondaryRatio"/>
    <x:tableColumn id="9" name="Healing"/>
    <x:tableColumn id="10" name="HitRule"/>
    <x:tableColumn id="11" name="BonusHitsAt4And8"/>
    <x:tableColumn id="12" name="MaxEnhance"/>
    <x:tableColumn id="13" name="MaxAwakening"/>
    <x:tableColumn id="14" name="SFX"/>
    <x:tableColumn id="15" name="LegacyLoopSFX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Mage_Bloom" displayName="Mage_Bloom" ref="A1:N10" headerRowCount="1" totalsRowCount="0" totalsRowShown="0">
  <x:tableColumns count="14">
    <x:tableColumn id="1" name="SkillId"/>
    <x:tableColumn id="2" name="스킬"/>
    <x:tableColumn id="3" name="개화명"/>
    <x:tableColumn id="4" name="개화 툴팁"/>
    <x:tableColumn id="5" name="UnlockAwakening"/>
    <x:tableColumn id="6" name="CooldownMultiplier"/>
    <x:tableColumn id="7" name="PowerMultiplier"/>
    <x:tableColumn id="8" name="CrowdPerHitMultiplier"/>
    <x:tableColumn id="9" name="SingleTargetStunSec"/>
    <x:tableColumn id="10" name="MaxTargets"/>
    <x:tableColumn id="11" name="CrowdSpikesPerVolley"/>
    <x:tableColumn id="12" name="CrowdVolleys"/>
    <x:tableColumn id="13" name="MinRadiusWU"/>
    <x:tableColumn id="14" name="MaxRadiusWU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" name="Mage_Acquisition" displayName="Mage_Acquisition" ref="A1:J10" headerRowCount="1" totalsRowCount="0" totalsRowShown="0">
  <x:tableColumns count="10">
    <x:tableColumn id="1" name="SkillId"/>
    <x:tableColumn id="2" name="스킬"/>
    <x:tableColumn id="3" name="중복 파편"/>
    <x:tableColumn id="4" name="개별 획득 확률"/>
    <x:tableColumn id="5" name="A10 누적 파편"/>
    <x:tableColumn id="6" name="필요 중복 횟수"/>
    <x:tableColumn id="7" name="보유 시 기대 뽑기"/>
    <x:tableColumn id="8" name="미보유 시 기대 뽑기"/>
    <x:tableColumn id="9" name="미보유 시 기대 주수"/>
    <x:tableColumn id="10" name="미보유 P90 뽑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ge_Growth" displayName="Mage_Growth" ref="A1:H102" headerRowCount="1" totalsRowCount="0" totalsRowShown="0">
  <x:tableColumns count="8">
    <x:tableColumn id="1" name="EnhanceLevel"/>
    <x:tableColumn id="2" name="NextKnowledge"/>
    <x:tableColumn id="3" name="CumulativeKnowledge"/>
    <x:tableColumn id="4" name="EnhanceMultiplier"/>
    <x:tableColumn id="5" name="AwakeningLevel"/>
    <x:tableColumn id="6" name="CumulativeFragments"/>
    <x:tableColumn id="7" name="AwakeningPowerMultiplier"/>
    <x:tableColumn id="8" name="CooldownMultipli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3" name="Mage_Assets" displayName="Mage_Assets" ref="A1:J10" headerRowCount="1" totalsRowCount="0" totalsRowShown="0">
  <x:tableColumns count="10">
    <x:tableColumn id="1" name="SkillId"/>
    <x:tableColumn id="2" name="Key"/>
    <x:tableColumn id="3" name="SkillAssetPath"/>
    <x:tableColumn id="4" name="IconPath"/>
    <x:tableColumn id="5" name="BloomIconPath"/>
    <x:tableColumn id="6" name="EffectPrefabPath"/>
    <x:tableColumn id="7" name="CastingPrefabPath"/>
    <x:tableColumn id="8" name="SecondaryPrefabPath"/>
    <x:tableColumn id="9" name="BloomPrefabPath"/>
    <x:tableColumn id="10" name="BloomCastingPrefabPath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4" name="Mage_Targeting" displayName="Mage_Targeting" ref="A1:D10" headerRowCount="1" totalsRowCount="0" totalsRowShown="0">
  <x:tableColumns count="4">
    <x:tableColumn id="1" name="SkillId"/>
    <x:tableColumn id="2" name="지점 선택"/>
    <x:tableColumn id="3" name="판정과 대상"/>
    <x:tableColumn id="4" name="표시 순서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ge_Guide" displayName="Mage_Guide" ref="A1:B22" headerRowCount="1" totalsRowCount="0" totalsRowShown="0">
  <x:tableColumns count="2">
    <x:tableColumn id="1" name="Topic"/>
    <x:tableColumn id="2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afb544d4874f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ffb972778641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dcf6085a9147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66936d1f6954a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363c378f7ec47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f47310ac26043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3f445c770e240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65e0bac42044ae0" /></Relationships>
</file>

<file path=xl/worksheets/sheet1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19" hidden="0" customWidth="1"/>
    <x:col min="3" max="3" width="19" hidden="0" customWidth="1"/>
    <x:col min="4" max="4" width="18" hidden="0" customWidth="1"/>
    <x:col min="5" max="5" width="16" hidden="0" customWidth="1"/>
    <x:col min="6" max="6" width="16" hidden="0" customWidth="1"/>
    <x:col min="7" max="7" width="17" hidden="0" customWidth="1"/>
    <x:col min="8" max="8" width="19" hidden="0" customWidth="1"/>
    <x:col min="9" max="9" width="78" hidden="0" customWidth="1"/>
  </x:cols>
  <x:sheetData>
    <x:row r="1" ht="46" customHeight="1">
      <x:c r="A1" s="8" t="str">
        <x:v>SkillId</x:v>
      </x:c>
      <x:c r="B1" s="8" t="str">
        <x:v>Key</x:v>
      </x:c>
      <x:c r="C1" s="8" t="str">
        <x:v>이름</x:v>
      </x:c>
      <x:c r="D1" s="8" t="str">
        <x:v>역할</x:v>
      </x:c>
      <x:c r="E1" s="8" t="str">
        <x:v>기본 효과량</x:v>
      </x:c>
      <x:c r="F1" s="8" t="str">
        <x:v>쿨타임(초)</x:v>
      </x:c>
      <x:c r="G1" s="8" t="str">
        <x:v>기본 타격 수</x:v>
      </x:c>
      <x:c r="H1" s="8" t="str">
        <x:v>동시 대상 상한</x:v>
      </x:c>
      <x:c r="I1" s="8" t="str">
        <x:v>기본 툴팁</x:v>
      </x:c>
    </x:row>
    <x:row r="2" ht="70" customHeight="1">
      <x:c r="A2" s="9" t="n">
        <x:v>0</x:v>
      </x:c>
      <x:c r="B2" s="5" t="str">
        <x:v>Lightning</x:v>
      </x:c>
      <x:c r="C2" s="5" t="str">
        <x:v>라이트닝</x:v>
      </x:c>
      <x:c r="D2" s="5" t="str">
        <x:v>집중 광역</x:v>
      </x:c>
      <x:c r="E2" s="9" t="n">
        <x:v>120</x:v>
      </x:c>
      <x:c r="F2" s="9" t="n">
        <x:v>10</x:v>
      </x:c>
      <x:c r="G2" s="9" t="n">
        <x:v>3</x:v>
      </x:c>
      <x:c r="H2" s="9" t="n">
        <x:v>3</x:v>
      </x:c>
      <x:c r="I2" s="5" t="str">
        <x:v>같은 지점에 번개를 연속으로 내려 주변 적을 공격합니다.</x:v>
      </x:c>
    </x:row>
    <x:row r="3" ht="70" customHeight="1">
      <x:c r="A3" s="9" t="n">
        <x:v>1</x:v>
      </x:c>
      <x:c r="B3" s="5" t="str">
        <x:v>IceSpike</x:v>
      </x:c>
      <x:c r="C3" s="5" t="str">
        <x:v>얼음 송곳</x:v>
      </x:c>
      <x:c r="D3" s="5" t="str">
        <x:v>분산 타격</x:v>
      </x:c>
      <x:c r="E3" s="9" t="n">
        <x:v>100</x:v>
      </x:c>
      <x:c r="F3" s="9" t="n">
        <x:v>12</x:v>
      </x:c>
      <x:c r="G3" s="9" t="n">
        <x:v>4</x:v>
      </x:c>
      <x:c r="H3" s="9" t="n">
        <x:v>1</x:v>
      </x:c>
      <x:c r="I3" s="5" t="str">
        <x:v>얼음 송곳을 차례로 솟아올려 적을 고르게 공격합니다.</x:v>
      </x:c>
    </x:row>
    <x:row r="4" ht="70" customHeight="1">
      <x:c r="A4" s="9" t="n">
        <x:v>2</x:v>
      </x:c>
      <x:c r="B4" s="5" t="str">
        <x:v>FireTornado</x:v>
      </x:c>
      <x:c r="C4" s="5" t="str">
        <x:v>화염 회오리</x:v>
      </x:c>
      <x:c r="D4" s="5" t="str">
        <x:v>추적 지속</x:v>
      </x:c>
      <x:c r="E4" s="9" t="n">
        <x:v>40</x:v>
      </x:c>
      <x:c r="F4" s="9" t="n">
        <x:v>15</x:v>
      </x:c>
      <x:c r="G4" s="9" t="n">
        <x:v>10</x:v>
      </x:c>
      <x:c r="H4" s="9" t="n">
        <x:v>3</x:v>
      </x:c>
      <x:c r="I4" s="5" t="str">
        <x:v>불꽃 회오리가 적을 쫓으며 주변에 지속 피해를 줍니다.</x:v>
      </x:c>
    </x:row>
    <x:row r="5" ht="70" customHeight="1">
      <x:c r="A5" s="9" t="n">
        <x:v>3</x:v>
      </x:c>
      <x:c r="B5" s="5" t="str">
        <x:v>ArcaneVolley</x:v>
      </x:c>
      <x:c r="C5" s="5" t="str">
        <x:v>유성우</x:v>
      </x:c>
      <x:c r="D5" s="5" t="str">
        <x:v>전장 낙하</x:v>
      </x:c>
      <x:c r="E5" s="9" t="n">
        <x:v>62</x:v>
      </x:c>
      <x:c r="F5" s="9" t="n">
        <x:v>10</x:v>
      </x:c>
      <x:c r="G5" s="9" t="n">
        <x:v>6</x:v>
      </x:c>
      <x:c r="H5" s="9" t="n">
        <x:v>1</x:v>
      </x:c>
      <x:c r="I5" s="5" t="str">
        <x:v>전장 곳곳의 적에게 별빛을 차례로 떨어뜨립니다. 별빛이 닿은 적에게 피해를 줍니다.</x:v>
      </x:c>
    </x:row>
    <x:row r="6" ht="70" customHeight="1">
      <x:c r="A6" s="9" t="n">
        <x:v>4</x:v>
      </x:c>
      <x:c r="B6" s="5" t="str">
        <x:v>VenomMist</x:v>
      </x:c>
      <x:c r="C6" s="5" t="str">
        <x:v>맹독 늪</x:v>
      </x:c>
      <x:c r="D6" s="5" t="str">
        <x:v>지속 둔화</x:v>
      </x:c>
      <x:c r="E6" s="9" t="n">
        <x:v>36</x:v>
      </x:c>
      <x:c r="F6" s="9" t="n">
        <x:v>14</x:v>
      </x:c>
      <x:c r="G6" s="9" t="n">
        <x:v>6</x:v>
      </x:c>
      <x:c r="H6" s="9" t="n">
        <x:v>5</x:v>
      </x:c>
      <x:c r="I6" s="5" t="str">
        <x:v>맹독 늪을 펼쳐 범위 안의 적에게 지속 피해를 주고 이동 속도를 25% 낮춥니다.</x:v>
      </x:c>
    </x:row>
    <x:row r="7" ht="70" customHeight="1">
      <x:c r="A7" s="9" t="n">
        <x:v>5</x:v>
      </x:c>
      <x:c r="B7" s="5" t="str">
        <x:v>StoneSeal</x:v>
      </x:c>
      <x:c r="C7" s="5" t="str">
        <x:v>암석 봉인</x:v>
      </x:c>
      <x:c r="D7" s="5" t="str">
        <x:v>반복 기절</x:v>
      </x:c>
      <x:c r="E7" s="9" t="n">
        <x:v>110</x:v>
      </x:c>
      <x:c r="F7" s="9" t="n">
        <x:v>16</x:v>
      </x:c>
      <x:c r="G7" s="9" t="n">
        <x:v>2</x:v>
      </x:c>
      <x:c r="H7" s="9" t="n">
        <x:v>4</x:v>
      </x:c>
      <x:c r="I7" s="5" t="str">
        <x:v>바위를 연속으로 솟아올려 주변 적을 공격하고 1초간 기절시킵니다.</x:v>
      </x:c>
    </x:row>
    <x:row r="8" ht="70" customHeight="1">
      <x:c r="A8" s="9" t="n">
        <x:v>7</x:v>
      </x:c>
      <x:c r="B8" s="5" t="str">
        <x:v>Sanctuary</x:v>
      </x:c>
      <x:c r="C8" s="5" t="str">
        <x:v>회복의 성역</x:v>
      </x:c>
      <x:c r="D8" s="5" t="str">
        <x:v>생존 지원</x:v>
      </x:c>
      <x:c r="E8" s="9" t="n">
        <x:v>45</x:v>
      </x:c>
      <x:c r="F8" s="9" t="n">
        <x:v>18</x:v>
      </x:c>
      <x:c r="G8" s="9" t="n">
        <x:v>6</x:v>
      </x:c>
      <x:c r="H8" s="9" t="n">
        <x:v>3</x:v>
      </x:c>
      <x:c r="I8" s="5" t="str">
        <x:v>성역을 펼쳐 범위 안에서 체력 비율이 가장 낮은 왕국군을 반복해서 회복합니다.</x:v>
      </x:c>
    </x:row>
    <x:row r="9" ht="70" customHeight="1">
      <x:c r="A9" s="9" t="n">
        <x:v>8</x:v>
      </x:c>
      <x:c r="B9" s="5" t="str">
        <x:v>Meteor</x:v>
      </x:c>
      <x:c r="C9" s="5" t="str">
        <x:v>운석 낙하</x:v>
      </x:c>
      <x:c r="D9" s="5" t="str">
        <x:v>예고 폭발</x:v>
      </x:c>
      <x:c r="E9" s="9" t="n">
        <x:v>260</x:v>
      </x:c>
      <x:c r="F9" s="9" t="n">
        <x:v>16</x:v>
      </x:c>
      <x:c r="G9" s="9" t="n">
        <x:v>1</x:v>
      </x:c>
      <x:c r="H9" s="9" t="n">
        <x:v>6</x:v>
      </x:c>
      <x:c r="I9" s="5" t="str">
        <x:v>운석을 떨어뜨려 주변 적을 공격합니다. 착탄 지점의 잔열이 두 번 더 피해를 줍니다.</x:v>
      </x:c>
    </x:row>
    <x:row r="10" ht="70" customHeight="1">
      <x:c r="A10" s="9" t="n">
        <x:v>9</x:v>
      </x:c>
      <x:c r="B10" s="5" t="str">
        <x:v>VoidRift</x:v>
      </x:c>
      <x:c r="C10" s="5" t="str">
        <x:v>공허 균열</x:v>
      </x:c>
      <x:c r="D10" s="5" t="str">
        <x:v>흡인과 붕괴</x:v>
      </x:c>
      <x:c r="E10" s="9" t="n">
        <x:v>42</x:v>
      </x:c>
      <x:c r="F10" s="9" t="n">
        <x:v>20</x:v>
      </x:c>
      <x:c r="G10" s="9" t="n">
        <x:v>5</x:v>
      </x:c>
      <x:c r="H10" s="9" t="n">
        <x:v>6</x:v>
      </x:c>
      <x:c r="I10" s="5" t="str">
        <x:v>균열보다 50% 넓은 범위의 적을 끌어당깁니다. 균열 안에서 지속 피해를 주고 닫힐 때 폭발합니다. 보스는 끌어당기지 못합니다.</x:v>
      </x:c>
    </x:row>
    <x:row r="11" ht="70" customHeight="1">
      <x:c r="A11" s="9"/>
      <x:c r="B11" s="5"/>
      <x:c r="C11" s="5"/>
      <x:c r="D11" s="5"/>
      <x:c r="E11" s="9"/>
      <x:c r="F11" s="9"/>
      <x:c r="G11" s="9"/>
      <x:c r="H11" s="9"/>
      <x:c r="I11" s="5"/>
    </x:row>
  </x:sheetData>
  <x:pageMargins left="0.7" right="0.7" top="0.75" bottom="0.75" header="0.3" footer="0.3"/>
  <x:tableParts count="1">
    <x:tablePart xmlns:r="http://schemas.openxmlformats.org/officeDocument/2006/relationships" r:id="Rd8afb544d4874fde"/>
  </x:tableParts>
</x:worksheet>
</file>

<file path=xl/worksheets/sheet2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5" hidden="0" customWidth="1"/>
    <x:col min="4" max="4" width="17" hidden="0" customWidth="1"/>
    <x:col min="5" max="5" width="20" hidden="0" customWidth="1"/>
    <x:col min="6" max="6" width="17" hidden="0" customWidth="1"/>
    <x:col min="7" max="7" width="20" hidden="0" customWidth="1"/>
    <x:col min="8" max="8" width="20" hidden="0" customWidth="1"/>
    <x:col min="9" max="9" width="13" hidden="0" customWidth="1"/>
    <x:col min="10" max="10" width="44" hidden="0" customWidth="1"/>
    <x:col min="11" max="11" width="23" hidden="0" customWidth="1"/>
    <x:col min="12" max="12" width="17" hidden="0" customWidth="1"/>
    <x:col min="13" max="13" width="19" hidden="0" customWidth="1"/>
    <x:col min="14" max="14" width="25" hidden="0" customWidth="1"/>
    <x:col min="15" max="15" width="25" hidden="0" customWidth="1"/>
  </x:cols>
  <x:sheetData>
    <x:row r="1" ht="46" customHeight="1">
      <x:c r="A1" s="8" t="str">
        <x:v>SkillId</x:v>
      </x:c>
      <x:c r="B1" s="8" t="str">
        <x:v>Key</x:v>
      </x:c>
      <x:c r="C1" s="8" t="str">
        <x:v>RadiusWU</x:v>
      </x:c>
      <x:c r="D1" s="8" t="str">
        <x:v>DurationSec</x:v>
      </x:c>
      <x:c r="E1" s="8" t="str">
        <x:v>TickIntervalSec</x:v>
      </x:c>
      <x:c r="F1" s="8" t="str">
        <x:v>ControlSec</x:v>
      </x:c>
      <x:c r="G1" s="8" t="str">
        <x:v>SlowFraction</x:v>
      </x:c>
      <x:c r="H1" s="8" t="str">
        <x:v>SecondaryRatio</x:v>
      </x:c>
      <x:c r="I1" s="8" t="str">
        <x:v>Healing</x:v>
      </x:c>
      <x:c r="J1" s="8" t="str">
        <x:v>HitRule</x:v>
      </x:c>
      <x:c r="K1" s="8" t="str">
        <x:v>BonusHitsAt4And8</x:v>
      </x:c>
      <x:c r="L1" s="8" t="str">
        <x:v>MaxEnhance</x:v>
      </x:c>
      <x:c r="M1" s="8" t="str">
        <x:v>MaxAwakening</x:v>
      </x:c>
      <x:c r="N1" s="8" t="str">
        <x:v>SFX</x:v>
      </x:c>
      <x:c r="O1" s="8" t="str">
        <x:v>LegacyLoopSFX</x:v>
      </x:c>
    </x:row>
    <x:row r="2" ht="34" customHeight="1">
      <x:c r="A2" s="9" t="n">
        <x:v>0</x:v>
      </x:c>
      <x:c r="B2" s="16" t="str">
        <x:f>'Skills'!B2</x:f>
        <x:v>Lightning</x:v>
      </x:c>
      <x:c r="C2" s="18" t="n">
        <x:v>0.550000011920929</x:v>
      </x:c>
      <x:c r="D2" s="18" t="n">
        <x:v>0.9000000357627869</x:v>
      </x:c>
      <x:c r="E2" s="18" t="n">
        <x:v>0.30000001192092896</x:v>
      </x:c>
      <x:c r="F2" s="18" t="n">
        <x:v>0</x:v>
      </x:c>
      <x:c r="G2" s="18" t="n">
        <x:v>0</x:v>
      </x:c>
      <x:c r="H2" s="18" t="n">
        <x:v>0</x:v>
      </x:c>
      <x:c r="I2" s="17" t="b">
        <x:v>0</x:v>
      </x:c>
      <x:c r="J2" s="5" t="str">
        <x:v>A4/A8 타격 수 보너스</x:v>
      </x:c>
      <x:c r="K2" s="9" t="n">
        <x:v>1</x:v>
      </x:c>
      <x:c r="L2" s="9" t="n">
        <x:v>100</x:v>
      </x:c>
      <x:c r="M2" s="9" t="n">
        <x:v>10</x:v>
      </x:c>
      <x:c r="N2" s="5" t="str">
        <x:v>Lightning_SFX</x:v>
      </x:c>
      <x:c r="O2" s="5"/>
    </x:row>
    <x:row r="3" ht="34" customHeight="1">
      <x:c r="A3" s="9" t="n">
        <x:v>1</x:v>
      </x:c>
      <x:c r="B3" s="16" t="str">
        <x:f>'Skills'!B3</x:f>
        <x:v>IceSpike</x:v>
      </x:c>
      <x:c r="C3" s="18" t="n">
        <x:v>0.3499999940395355</x:v>
      </x:c>
      <x:c r="D3" s="18" t="n">
        <x:v>0.7200000286102295</x:v>
      </x:c>
      <x:c r="E3" s="18" t="n">
        <x:v>0.18000000715255737</x:v>
      </x:c>
      <x:c r="F3" s="18" t="n">
        <x:v>0</x:v>
      </x:c>
      <x:c r="G3" s="18" t="n">
        <x:v>0</x:v>
      </x:c>
      <x:c r="H3" s="18" t="n">
        <x:v>0</x:v>
      </x:c>
      <x:c r="I3" s="17" t="b">
        <x:v>0</x:v>
      </x:c>
      <x:c r="J3" s="5" t="str">
        <x:v>A4/A8 타격 수 보너스</x:v>
      </x:c>
      <x:c r="K3" s="9" t="n">
        <x:v>1</x:v>
      </x:c>
      <x:c r="L3" s="9" t="n">
        <x:v>100</x:v>
      </x:c>
      <x:c r="M3" s="9" t="n">
        <x:v>10</x:v>
      </x:c>
      <x:c r="N3" s="5" t="str">
        <x:v>Ice_Spike_SFX</x:v>
      </x:c>
      <x:c r="O3" s="5"/>
    </x:row>
    <x:row r="4" ht="34" customHeight="1">
      <x:c r="A4" s="9" t="n">
        <x:v>2</x:v>
      </x:c>
      <x:c r="B4" s="16" t="str">
        <x:f>'Skills'!B4</x:f>
        <x:v>FireTornado</x:v>
      </x:c>
      <x:c r="C4" s="18" t="n">
        <x:v>0.8500000238418579</x:v>
      </x:c>
      <x:c r="D4" s="18" t="n">
        <x:v>5</x:v>
      </x:c>
      <x:c r="E4" s="18" t="n">
        <x:v>0.5</x:v>
      </x:c>
      <x:c r="F4" s="18" t="n">
        <x:v>0</x:v>
      </x:c>
      <x:c r="G4" s="18" t="n">
        <x:v>0</x:v>
      </x:c>
      <x:c r="H4" s="18" t="n">
        <x:v>0</x:v>
      </x:c>
      <x:c r="I4" s="17" t="b">
        <x:v>0</x:v>
      </x:c>
      <x:c r="J4" s="5" t="str">
        <x:v>A4/A8 타격 수 보너스</x:v>
      </x:c>
      <x:c r="K4" s="9" t="n">
        <x:v>2</x:v>
      </x:c>
      <x:c r="L4" s="9" t="n">
        <x:v>100</x:v>
      </x:c>
      <x:c r="M4" s="9" t="n">
        <x:v>10</x:v>
      </x:c>
      <x:c r="N4" s="5" t="str">
        <x:v>Fire_Tornado_SFX</x:v>
      </x:c>
      <x:c r="O4" s="5" t="str">
        <x:v>Fire_Tornado2_SFX</x:v>
      </x:c>
    </x:row>
    <x:row r="5" ht="34" customHeight="1">
      <x:c r="A5" s="9" t="n">
        <x:v>3</x:v>
      </x:c>
      <x:c r="B5" s="16" t="str">
        <x:f>'Skills'!B5</x:f>
        <x:v>ArcaneVolley</x:v>
      </x:c>
      <x:c r="C5" s="18" t="n">
        <x:v>0.550000011920929</x:v>
      </x:c>
      <x:c r="D5" s="18" t="n">
        <x:v>1.3199999332427979</x:v>
      </x:c>
      <x:c r="E5" s="18" t="n">
        <x:v>0.2199999988079071</x:v>
      </x:c>
      <x:c r="F5" s="18" t="n">
        <x:v>0</x:v>
      </x:c>
      <x:c r="G5" s="18" t="n">
        <x:v>0</x:v>
      </x:c>
      <x:c r="H5" s="18" t="n">
        <x:v>0</x:v>
      </x:c>
      <x:c r="I5" s="17" t="b">
        <x:v>0</x:v>
      </x:c>
      <x:c r="J5" s="5" t="str">
        <x:v>A4/A8 타격 수 보너스</x:v>
      </x:c>
      <x:c r="K5" s="9" t="n">
        <x:v>1</x:v>
      </x:c>
      <x:c r="L5" s="9" t="n">
        <x:v>100</x:v>
      </x:c>
      <x:c r="M5" s="9" t="n">
        <x:v>10</x:v>
      </x:c>
      <x:c r="N5" s="5" t="str">
        <x:v>Charge_Shot_SFX</x:v>
      </x:c>
      <x:c r="O5" s="5"/>
    </x:row>
    <x:row r="6" ht="34" customHeight="1">
      <x:c r="A6" s="9" t="n">
        <x:v>4</x:v>
      </x:c>
      <x:c r="B6" s="16" t="str">
        <x:f>'Skills'!B6</x:f>
        <x:v>VenomMist</x:v>
      </x:c>
      <x:c r="C6" s="18" t="n">
        <x:v>1.399999976158142</x:v>
      </x:c>
      <x:c r="D6" s="18" t="n">
        <x:v>4.5</x:v>
      </x:c>
      <x:c r="E6" s="18" t="n">
        <x:v>0.75</x:v>
      </x:c>
      <x:c r="F6" s="18" t="n">
        <x:v>1.2000000476837158</x:v>
      </x:c>
      <x:c r="G6" s="18" t="n">
        <x:v>0.25</x:v>
      </x:c>
      <x:c r="H6" s="18" t="n">
        <x:v>0</x:v>
      </x:c>
      <x:c r="I6" s="17" t="b">
        <x:v>0</x:v>
      </x:c>
      <x:c r="J6" s="5" t="str">
        <x:v>A4/A8 타격 수 보너스</x:v>
      </x:c>
      <x:c r="K6" s="9" t="n">
        <x:v>1</x:v>
      </x:c>
      <x:c r="L6" s="9" t="n">
        <x:v>100</x:v>
      </x:c>
      <x:c r="M6" s="9" t="n">
        <x:v>10</x:v>
      </x:c>
      <x:c r="N6" s="5" t="str">
        <x:v>Water_Splash_SFX</x:v>
      </x:c>
      <x:c r="O6" s="5"/>
    </x:row>
    <x:row r="7" ht="34" customHeight="1">
      <x:c r="A7" s="9" t="n">
        <x:v>5</x:v>
      </x:c>
      <x:c r="B7" s="16" t="str">
        <x:f>'Skills'!B7</x:f>
        <x:v>StoneSeal</x:v>
      </x:c>
      <x:c r="C7" s="18" t="n">
        <x:v>1.0499999523162842</x:v>
      </x:c>
      <x:c r="D7" s="18" t="n">
        <x:v>0.8999999761581421</x:v>
      </x:c>
      <x:c r="E7" s="18" t="n">
        <x:v>0.44999998807907104</x:v>
      </x:c>
      <x:c r="F7" s="18" t="n">
        <x:v>1</x:v>
      </x:c>
      <x:c r="G7" s="18" t="n">
        <x:v>0</x:v>
      </x:c>
      <x:c r="H7" s="18" t="n">
        <x:v>0</x:v>
      </x:c>
      <x:c r="I7" s="17" t="b">
        <x:v>0</x:v>
      </x:c>
      <x:c r="J7" s="5" t="str">
        <x:v>A4/A8 타격 수 보너스</x:v>
      </x:c>
      <x:c r="K7" s="9" t="n">
        <x:v>1</x:v>
      </x:c>
      <x:c r="L7" s="9" t="n">
        <x:v>100</x:v>
      </x:c>
      <x:c r="M7" s="9" t="n">
        <x:v>10</x:v>
      </x:c>
      <x:c r="N7" s="5" t="str">
        <x:v>Ice_Block_SFX</x:v>
      </x:c>
      <x:c r="O7" s="5"/>
    </x:row>
    <x:row r="8" ht="34" customHeight="1">
      <x:c r="A8" s="9" t="n">
        <x:v>7</x:v>
      </x:c>
      <x:c r="B8" s="16" t="str">
        <x:f>'Skills'!B8</x:f>
        <x:v>Sanctuary</x:v>
      </x:c>
      <x:c r="C8" s="18" t="n">
        <x:v>1.899999976158142</x:v>
      </x:c>
      <x:c r="D8" s="18" t="n">
        <x:v>4.199999809265137</x:v>
      </x:c>
      <x:c r="E8" s="18" t="n">
        <x:v>0.699999988079071</x:v>
      </x:c>
      <x:c r="F8" s="18" t="n">
        <x:v>0</x:v>
      </x:c>
      <x:c r="G8" s="18" t="n">
        <x:v>0</x:v>
      </x:c>
      <x:c r="H8" s="18" t="n">
        <x:v>0</x:v>
      </x:c>
      <x:c r="I8" s="17" t="b">
        <x:v>1</x:v>
      </x:c>
      <x:c r="J8" s="5" t="str">
        <x:v>A4/A8 타격 수 보너스</x:v>
      </x:c>
      <x:c r="K8" s="9" t="n">
        <x:v>1</x:v>
      </x:c>
      <x:c r="L8" s="9" t="n">
        <x:v>100</x:v>
      </x:c>
      <x:c r="M8" s="9" t="n">
        <x:v>10</x:v>
      </x:c>
      <x:c r="N8" s="5" t="str">
        <x:v>Parrying_SFX</x:v>
      </x:c>
      <x:c r="O8" s="5"/>
    </x:row>
    <x:row r="9" ht="34" customHeight="1">
      <x:c r="A9" s="9" t="n">
        <x:v>8</x:v>
      </x:c>
      <x:c r="B9" s="16" t="str">
        <x:f>'Skills'!B9</x:f>
        <x:v>Meteor</x:v>
      </x:c>
      <x:c r="C9" s="18" t="n">
        <x:v>1.5499999523162842</x:v>
      </x:c>
      <x:c r="D9" s="18" t="n">
        <x:v>0.800000011920929</x:v>
      </x:c>
      <x:c r="E9" s="18" t="n">
        <x:v>0.800000011920929</x:v>
      </x:c>
      <x:c r="F9" s="18" t="n">
        <x:v>0</x:v>
      </x:c>
      <x:c r="G9" s="18" t="n">
        <x:v>0</x:v>
      </x:c>
      <x:c r="H9" s="18" t="n">
        <x:v>0.13461539149284363</x:v>
      </x:c>
      <x:c r="I9" s="17" t="b">
        <x:v>0</x:v>
      </x:c>
      <x:c r="J9" s="5" t="str">
        <x:v>충돌 1회 + 잔열 2회</x:v>
      </x:c>
      <x:c r="K9" s="9" t="n">
        <x:v>0</x:v>
      </x:c>
      <x:c r="L9" s="9" t="n">
        <x:v>100</x:v>
      </x:c>
      <x:c r="M9" s="9" t="n">
        <x:v>10</x:v>
      </x:c>
      <x:c r="N9" s="5" t="str">
        <x:v>Fire_Tornado_SFX</x:v>
      </x:c>
      <x:c r="O9" s="5"/>
    </x:row>
    <x:row r="10" ht="34" customHeight="1">
      <x:c r="A10" s="9" t="n">
        <x:v>9</x:v>
      </x:c>
      <x:c r="B10" s="16" t="str">
        <x:f>'Skills'!B10</x:f>
        <x:v>VoidRift</x:v>
      </x:c>
      <x:c r="C10" s="18" t="n">
        <x:v>1.2999999523162842</x:v>
      </x:c>
      <x:c r="D10" s="18" t="n">
        <x:v>3</x:v>
      </x:c>
      <x:c r="E10" s="18" t="n">
        <x:v>0.6000000238418579</x:v>
      </x:c>
      <x:c r="F10" s="18" t="n">
        <x:v>0.8500000238418579</x:v>
      </x:c>
      <x:c r="G10" s="18" t="n">
        <x:v>0.20000000298023224</x:v>
      </x:c>
      <x:c r="H10" s="18" t="n">
        <x:v>4.285714149475098</x:v>
      </x:c>
      <x:c r="I10" s="17" t="b">
        <x:v>0</x:v>
      </x:c>
      <x:c r="J10" s="5" t="str">
        <x:v>반복 피해 + 마지막 붕괴</x:v>
      </x:c>
      <x:c r="K10" s="9" t="n">
        <x:v>1</x:v>
      </x:c>
      <x:c r="L10" s="9" t="n">
        <x:v>100</x:v>
      </x:c>
      <x:c r="M10" s="9" t="n">
        <x:v>10</x:v>
      </x:c>
      <x:c r="N10" s="5" t="str">
        <x:v>Charge_Shot_SFX</x:v>
      </x:c>
      <x:c r="O10" s="5"/>
    </x:row>
    <x:row r="11" ht="34" customHeight="1">
      <x:c r="A11" s="9"/>
      <x:c r="B11" s="16"/>
      <x:c r="C11" s="18"/>
      <x:c r="D11" s="18"/>
      <x:c r="E11" s="18"/>
      <x:c r="F11" s="18"/>
      <x:c r="G11" s="18"/>
      <x:c r="H11" s="18"/>
      <x:c r="I11" s="9"/>
      <x:c r="J11" s="5"/>
      <x:c r="K11" s="9"/>
      <x:c r="L11" s="9"/>
      <x:c r="M11" s="9"/>
      <x:c r="N11" s="5"/>
      <x:c r="O11" s="5"/>
    </x:row>
  </x:sheetData>
  <x:pageMargins left="0.7" right="0.7" top="0.75" bottom="0.75" header="0.3" footer="0.3"/>
  <x:tableParts count="1">
    <x:tablePart xmlns:r="http://schemas.openxmlformats.org/officeDocument/2006/relationships" r:id="R56ffb972778641fe"/>
  </x:tableParts>
</x:worksheet>
</file>

<file path=xl/worksheets/sheet3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81" hidden="0" customWidth="1"/>
    <x:col min="5" max="5" width="21" hidden="0" customWidth="1"/>
    <x:col min="6" max="6" width="22" hidden="0" customWidth="1"/>
    <x:col min="7" max="7" width="20" hidden="0" customWidth="1"/>
    <x:col min="8" max="8" width="25" hidden="0" customWidth="1"/>
    <x:col min="9" max="9" width="24" hidden="0" customWidth="1"/>
    <x:col min="10" max="10" width="16" hidden="0" customWidth="1"/>
    <x:col min="11" max="11" width="25" hidden="0" customWidth="1"/>
    <x:col min="12" max="12" width="18" hidden="0" customWidth="1"/>
    <x:col min="13" max="13" width="19" hidden="0" customWidth="1"/>
    <x:col min="14" max="14" width="19" hidden="0" customWidth="1"/>
  </x:cols>
  <x:sheetData>
    <x:row r="1" ht="46" customHeight="1">
      <x:c r="A1" s="8" t="str">
        <x:v>SkillId</x:v>
      </x:c>
      <x:c r="B1" s="8" t="str">
        <x:v>스킬</x:v>
      </x:c>
      <x:c r="C1" s="8" t="str">
        <x:v>개화명</x:v>
      </x:c>
      <x:c r="D1" s="8" t="str">
        <x:v>개화 툴팁</x:v>
      </x:c>
      <x:c r="E1" s="8" t="str">
        <x:v>UnlockAwakening</x:v>
      </x:c>
      <x:c r="F1" s="8" t="str">
        <x:v>CooldownMultiplier</x:v>
      </x:c>
      <x:c r="G1" s="8" t="str">
        <x:v>PowerMultiplier</x:v>
      </x:c>
      <x:c r="H1" s="8" t="str">
        <x:v>CrowdPerHitMultiplier</x:v>
      </x:c>
      <x:c r="I1" s="8" t="str">
        <x:v>SingleTargetStunSec</x:v>
      </x:c>
      <x:c r="J1" s="8" t="str">
        <x:v>MaxTargets</x:v>
      </x:c>
      <x:c r="K1" s="8" t="str">
        <x:v>CrowdSpikesPerVolley</x:v>
      </x:c>
      <x:c r="L1" s="8" t="str">
        <x:v>CrowdVolleys</x:v>
      </x:c>
      <x:c r="M1" s="8" t="str">
        <x:v>MinRadiusWU</x:v>
      </x:c>
      <x:c r="N1" s="8" t="str">
        <x:v>MaxRadiusWU</x:v>
      </x:c>
    </x:row>
    <x:row r="2" ht="90" customHeight="1">
      <x:c r="A2" s="9" t="n">
        <x:v>0</x:v>
      </x:c>
      <x:c r="B2" s="16" t="str">
        <x:f>'Skills'!C2</x:f>
        <x:v>라이트닝</x:v>
      </x:c>
      <x:c r="C2" s="5" t="str">
        <x:v>천벌</x:v>
      </x:c>
      <x:c r="D2" s="5" t="str">
        <x:v>뇌운을 모아 큰 범위에 거대한 벼락을 내립니다. 피해 1000% · 준비 2초 · 재사용 대기시간 2배.</x:v>
      </x:c>
      <x:c r="E2" s="9" t="n">
        <x:v>10</x:v>
      </x:c>
      <x:c r="F2" s="9" t="n">
        <x:v>2</x:v>
      </x:c>
      <x:c r="G2" s="9" t="n">
        <x:v>10</x:v>
      </x:c>
      <x:c r="H2" s="5"/>
      <x:c r="I2" s="9" t="n">
        <x:v>0</x:v>
      </x:c>
      <x:c r="J2" s="9" t="n">
        <x:v>10</x:v>
      </x:c>
      <x:c r="K2" s="5"/>
      <x:c r="L2" s="5"/>
      <x:c r="M2" s="9" t="n">
        <x:v>2.1</x:v>
      </x:c>
      <x:c r="N2" s="9" t="n">
        <x:v>2.1</x:v>
      </x:c>
    </x:row>
    <x:row r="3" ht="90" customHeight="1">
      <x:c r="A3" s="9" t="n">
        <x:v>1</x:v>
      </x:c>
      <x:c r="B3" s="16" t="str">
        <x:f>'Skills'!C3</x:f>
        <x:v>얼음 송곳</x:v>
      </x:c>
      <x:c r="C3" s="5" t="str">
        <x:v>만년빙정</x:v>
      </x:c>
      <x:c r="D3" s="5" t="str">
        <x:v>여러 적: 송곳 8개를 두 번 생성합니다. 각각 피해 50%.
적 하나: 거대 빙정으로 피해 650%와 기절 2초를 줍니다.</x:v>
      </x:c>
      <x:c r="E3" s="9" t="n">
        <x:v>10</x:v>
      </x:c>
      <x:c r="F3" s="9" t="n">
        <x:v>1</x:v>
      </x:c>
      <x:c r="G3" s="9" t="n">
        <x:v>6.5</x:v>
      </x:c>
      <x:c r="H3" s="9" t="n">
        <x:v>0.5</x:v>
      </x:c>
      <x:c r="I3" s="9" t="n">
        <x:v>2</x:v>
      </x:c>
      <x:c r="J3" s="5"/>
      <x:c r="K3" s="9" t="n">
        <x:v>8</x:v>
      </x:c>
      <x:c r="L3" s="9" t="n">
        <x:v>2</x:v>
      </x:c>
      <x:c r="M3" s="5"/>
      <x:c r="N3" s="5"/>
    </x:row>
    <x:row r="4" ht="90" customHeight="1">
      <x:c r="A4" s="9" t="n">
        <x:v>2</x:v>
      </x:c>
      <x:c r="B4" s="16" t="str">
        <x:f>'Skills'!C4</x:f>
        <x:v>화염 회오리</x:v>
      </x:c>
      <x:c r="C4" s="5" t="str">
        <x:v>미정</x:v>
      </x:c>
      <x:c r="D4" s="5" t="str">
        <x:v>피해량 +15%. 전용 효과는 준비 중입니다.</x:v>
      </x:c>
      <x:c r="E4" s="9" t="n">
        <x:v>10</x:v>
      </x:c>
      <x:c r="F4" s="9" t="n">
        <x:v>1</x:v>
      </x:c>
      <x:c r="G4" s="9" t="n">
        <x:v>1.149999976158142</x:v>
      </x:c>
      <x:c r="H4" s="5"/>
      <x:c r="I4" s="9" t="n">
        <x:v>0</x:v>
      </x:c>
      <x:c r="J4" s="5"/>
      <x:c r="K4" s="5"/>
      <x:c r="L4" s="5"/>
      <x:c r="M4" s="5"/>
      <x:c r="N4" s="5"/>
    </x:row>
    <x:row r="5" ht="90" customHeight="1">
      <x:c r="A5" s="9" t="n">
        <x:v>3</x:v>
      </x:c>
      <x:c r="B5" s="16" t="str">
        <x:f>'Skills'!C5</x:f>
        <x:v>유성우</x:v>
      </x:c>
      <x:c r="C5" s="5" t="str">
        <x:v>미정</x:v>
      </x:c>
      <x:c r="D5" s="5" t="str">
        <x:v>피해량 +15%. 전용 효과는 준비 중입니다.</x:v>
      </x:c>
      <x:c r="E5" s="9" t="n">
        <x:v>10</x:v>
      </x:c>
      <x:c r="F5" s="9" t="n">
        <x:v>1</x:v>
      </x:c>
      <x:c r="G5" s="9" t="n">
        <x:v>1.149999976158142</x:v>
      </x:c>
      <x:c r="H5" s="5"/>
      <x:c r="I5" s="9" t="n">
        <x:v>0</x:v>
      </x:c>
      <x:c r="J5" s="5"/>
      <x:c r="K5" s="5"/>
      <x:c r="L5" s="5"/>
      <x:c r="M5" s="5"/>
      <x:c r="N5" s="5"/>
    </x:row>
    <x:row r="6" ht="90" customHeight="1">
      <x:c r="A6" s="9" t="n">
        <x:v>4</x:v>
      </x:c>
      <x:c r="B6" s="16" t="str">
        <x:f>'Skills'!C6</x:f>
        <x:v>맹독 늪</x:v>
      </x:c>
      <x:c r="C6" s="5" t="str">
        <x:v>미정</x:v>
      </x:c>
      <x:c r="D6" s="5" t="str">
        <x:v>피해량 +15%. 전용 효과는 준비 중입니다.</x:v>
      </x:c>
      <x:c r="E6" s="9" t="n">
        <x:v>10</x:v>
      </x:c>
      <x:c r="F6" s="9" t="n">
        <x:v>1</x:v>
      </x:c>
      <x:c r="G6" s="9" t="n">
        <x:v>1.149999976158142</x:v>
      </x:c>
      <x:c r="H6" s="5"/>
      <x:c r="I6" s="9" t="n">
        <x:v>0</x:v>
      </x:c>
      <x:c r="J6" s="5"/>
      <x:c r="K6" s="5"/>
      <x:c r="L6" s="5"/>
      <x:c r="M6" s="5"/>
      <x:c r="N6" s="5"/>
    </x:row>
    <x:row r="7" ht="90" customHeight="1">
      <x:c r="A7" s="9" t="n">
        <x:v>5</x:v>
      </x:c>
      <x:c r="B7" s="16" t="str">
        <x:f>'Skills'!C7</x:f>
        <x:v>암석 봉인</x:v>
      </x:c>
      <x:c r="C7" s="5" t="str">
        <x:v>미정</x:v>
      </x:c>
      <x:c r="D7" s="5" t="str">
        <x:v>피해량 +15%. 전용 효과는 준비 중입니다.</x:v>
      </x:c>
      <x:c r="E7" s="9" t="n">
        <x:v>10</x:v>
      </x:c>
      <x:c r="F7" s="9" t="n">
        <x:v>1</x:v>
      </x:c>
      <x:c r="G7" s="9" t="n">
        <x:v>1.149999976158142</x:v>
      </x:c>
      <x:c r="H7" s="5"/>
      <x:c r="I7" s="9" t="n">
        <x:v>0</x:v>
      </x:c>
      <x:c r="J7" s="5"/>
      <x:c r="K7" s="5"/>
      <x:c r="L7" s="5"/>
      <x:c r="M7" s="5"/>
      <x:c r="N7" s="5"/>
    </x:row>
    <x:row r="8" ht="90" customHeight="1">
      <x:c r="A8" s="9" t="n">
        <x:v>7</x:v>
      </x:c>
      <x:c r="B8" s="16" t="str">
        <x:f>'Skills'!C8</x:f>
        <x:v>회복의 성역</x:v>
      </x:c>
      <x:c r="C8" s="5" t="str">
        <x:v>미정</x:v>
      </x:c>
      <x:c r="D8" s="5" t="str">
        <x:v>회복량 +15%. 전용 효과는 준비 중입니다.</x:v>
      </x:c>
      <x:c r="E8" s="9" t="n">
        <x:v>10</x:v>
      </x:c>
      <x:c r="F8" s="9" t="n">
        <x:v>1</x:v>
      </x:c>
      <x:c r="G8" s="9" t="n">
        <x:v>1.149999976158142</x:v>
      </x:c>
      <x:c r="H8" s="5"/>
      <x:c r="I8" s="9" t="n">
        <x:v>0</x:v>
      </x:c>
      <x:c r="J8" s="5"/>
      <x:c r="K8" s="5"/>
      <x:c r="L8" s="5"/>
      <x:c r="M8" s="5"/>
      <x:c r="N8" s="5"/>
    </x:row>
    <x:row r="9" ht="90" customHeight="1">
      <x:c r="A9" s="9" t="n">
        <x:v>8</x:v>
      </x:c>
      <x:c r="B9" s="16" t="str">
        <x:f>'Skills'!C9</x:f>
        <x:v>운석 낙하</x:v>
      </x:c>
      <x:c r="C9" s="5" t="str">
        <x:v>미정</x:v>
      </x:c>
      <x:c r="D9" s="5" t="str">
        <x:v>피해량 +15%. 전용 효과는 준비 중입니다.</x:v>
      </x:c>
      <x:c r="E9" s="9" t="n">
        <x:v>10</x:v>
      </x:c>
      <x:c r="F9" s="9" t="n">
        <x:v>1</x:v>
      </x:c>
      <x:c r="G9" s="9" t="n">
        <x:v>1.149999976158142</x:v>
      </x:c>
      <x:c r="H9" s="5"/>
      <x:c r="I9" s="9" t="n">
        <x:v>0</x:v>
      </x:c>
      <x:c r="J9" s="5"/>
      <x:c r="K9" s="5"/>
      <x:c r="L9" s="5"/>
      <x:c r="M9" s="5"/>
      <x:c r="N9" s="5"/>
    </x:row>
    <x:row r="10" ht="90" customHeight="1">
      <x:c r="A10" s="9" t="n">
        <x:v>9</x:v>
      </x:c>
      <x:c r="B10" s="16" t="str">
        <x:f>'Skills'!C10</x:f>
        <x:v>공허 균열</x:v>
      </x:c>
      <x:c r="C10" s="5" t="str">
        <x:v>미정</x:v>
      </x:c>
      <x:c r="D10" s="5" t="str">
        <x:v>피해량 +15%. 전용 효과는 준비 중입니다.</x:v>
      </x:c>
      <x:c r="E10" s="9" t="n">
        <x:v>10</x:v>
      </x:c>
      <x:c r="F10" s="9" t="n">
        <x:v>1</x:v>
      </x:c>
      <x:c r="G10" s="9" t="n">
        <x:v>1.149999976158142</x:v>
      </x:c>
      <x:c r="H10" s="5"/>
      <x:c r="I10" s="9" t="n">
        <x:v>0</x:v>
      </x:c>
      <x:c r="J10" s="5"/>
      <x:c r="K10" s="5"/>
      <x:c r="L10" s="5"/>
      <x:c r="M10" s="5"/>
      <x:c r="N10" s="5"/>
    </x:row>
    <x:row r="11" ht="90" customHeight="1">
      <x:c r="A11" s="9"/>
      <x:c r="B11" s="16"/>
      <x:c r="C11" s="5"/>
      <x:c r="D11" s="5"/>
      <x:c r="E11" s="9"/>
      <x:c r="F11" s="9"/>
      <x:c r="G11" s="9"/>
      <x:c r="H11" s="5"/>
      <x:c r="I11" s="9"/>
      <x:c r="J11" s="5"/>
      <x:c r="K11" s="5"/>
      <x:c r="L11" s="5"/>
      <x:c r="M11" s="5"/>
      <x:c r="N11" s="5"/>
    </x:row>
  </x:sheetData>
  <x:pageMargins left="0.7" right="0.7" top="0.75" bottom="0.75" header="0.3" footer="0.3"/>
  <x:tableParts count="1">
    <x:tablePart xmlns:r="http://schemas.openxmlformats.org/officeDocument/2006/relationships" r:id="R9fdcf6085a9147f3"/>
  </x:tableParts>
</x:worksheet>
</file>

<file path=xl/worksheets/sheet4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19" hidden="0" customWidth="1"/>
    <x:col min="3" max="3" width="19" hidden="0" customWidth="1"/>
    <x:col min="4" max="4" width="22" hidden="0" customWidth="1"/>
    <x:col min="5" max="5" width="22" hidden="0" customWidth="1"/>
    <x:col min="6" max="6" width="22" hidden="0" customWidth="1"/>
    <x:col min="7" max="7" width="25" hidden="0" customWidth="1"/>
    <x:col min="8" max="8" width="28" hidden="0" customWidth="1"/>
    <x:col min="9" max="9" width="28" hidden="0" customWidth="1"/>
    <x:col min="10" max="10" width="25" hidden="0" customWidth="1"/>
  </x:cols>
  <x:sheetData>
    <x:row r="1" ht="46" customHeight="1">
      <x:c r="A1" s="8" t="str">
        <x:v>SkillId</x:v>
      </x:c>
      <x:c r="B1" s="8" t="str">
        <x:v>스킬</x:v>
      </x:c>
      <x:c r="C1" s="8" t="str">
        <x:v>중복 파편</x:v>
      </x:c>
      <x:c r="D1" s="8" t="str">
        <x:v>개별 획득 확률</x:v>
      </x:c>
      <x:c r="E1" s="8" t="str">
        <x:v>A10 누적 파편</x:v>
      </x:c>
      <x:c r="F1" s="8" t="str">
        <x:v>필요 중복 횟수</x:v>
      </x:c>
      <x:c r="G1" s="8" t="str">
        <x:v>보유 시 기대 뽑기</x:v>
      </x:c>
      <x:c r="H1" s="8" t="str">
        <x:v>미보유 시 기대 뽑기</x:v>
      </x:c>
      <x:c r="I1" s="8" t="str">
        <x:v>미보유 시 기대 주수</x:v>
      </x:c>
      <x:c r="J1" s="8" t="str">
        <x:v>미보유 P90 뽑기</x:v>
      </x:c>
    </x:row>
    <x:row r="2" ht="34" customHeight="1">
      <x:c r="A2" s="9" t="n">
        <x:v>0</x:v>
      </x:c>
      <x:c r="B2" s="16" t="str">
        <x:f>'Skills'!C2</x:f>
        <x:v>라이트닝</x:v>
      </x:c>
      <x:c r="C2" s="9" t="n">
        <x:v>30</x:v>
      </x:c>
      <x:c r="D2" s="19" t="n">
        <x:v>0.05555555555555555</x:v>
      </x:c>
      <x:c r="E2" s="9" t="n">
        <x:v>55</x:v>
      </x:c>
      <x:c r="F2" s="5" t="n">
        <x:f>ROUNDUP(E2/C2,0)</x:f>
        <x:v>2</x:v>
      </x:c>
      <x:c r="G2" s="20" t="n">
        <x:f>F2/D2</x:f>
        <x:v>36</x:v>
      </x:c>
      <x:c r="H2" s="20" t="n">
        <x:f>(F2+1)/D2</x:f>
        <x:v>54</x:v>
      </x:c>
      <x:c r="I2" s="20" t="n">
        <x:f>H2/21</x:f>
        <x:v>2.5714285714285716</x:v>
      </x:c>
      <x:c r="J2" s="9" t="n">
        <x:v>95</x:v>
      </x:c>
    </x:row>
    <x:row r="3" ht="34" customHeight="1">
      <x:c r="A3" s="9" t="n">
        <x:v>1</x:v>
      </x:c>
      <x:c r="B3" s="16" t="str">
        <x:f>'Skills'!C3</x:f>
        <x:v>얼음 송곳</x:v>
      </x:c>
      <x:c r="C3" s="9" t="n">
        <x:v>30</x:v>
      </x:c>
      <x:c r="D3" s="19" t="n">
        <x:v>0.05555555555555555</x:v>
      </x:c>
      <x:c r="E3" s="9" t="n">
        <x:v>55</x:v>
      </x:c>
      <x:c r="F3" s="5" t="n">
        <x:f>ROUNDUP(E3/C3,0)</x:f>
        <x:v>2</x:v>
      </x:c>
      <x:c r="G3" s="20" t="n">
        <x:f>F3/D3</x:f>
        <x:v>36</x:v>
      </x:c>
      <x:c r="H3" s="20" t="n">
        <x:f>(F3+1)/D3</x:f>
        <x:v>54</x:v>
      </x:c>
      <x:c r="I3" s="20" t="n">
        <x:f>H3/21</x:f>
        <x:v>2.5714285714285716</x:v>
      </x:c>
      <x:c r="J3" s="9" t="n">
        <x:v>95</x:v>
      </x:c>
    </x:row>
    <x:row r="4" ht="34" customHeight="1">
      <x:c r="A4" s="9" t="n">
        <x:v>2</x:v>
      </x:c>
      <x:c r="B4" s="16" t="str">
        <x:f>'Skills'!C4</x:f>
        <x:v>화염 회오리</x:v>
      </x:c>
      <x:c r="C4" s="9" t="n">
        <x:v>30</x:v>
      </x:c>
      <x:c r="D4" s="19" t="n">
        <x:v>0.05555555555555555</x:v>
      </x:c>
      <x:c r="E4" s="9" t="n">
        <x:v>55</x:v>
      </x:c>
      <x:c r="F4" s="5" t="n">
        <x:f>ROUNDUP(E4/C4,0)</x:f>
        <x:v>2</x:v>
      </x:c>
      <x:c r="G4" s="20" t="n">
        <x:f>F4/D4</x:f>
        <x:v>36</x:v>
      </x:c>
      <x:c r="H4" s="20" t="n">
        <x:f>(F4+1)/D4</x:f>
        <x:v>54</x:v>
      </x:c>
      <x:c r="I4" s="20" t="n">
        <x:f>H4/21</x:f>
        <x:v>2.5714285714285716</x:v>
      </x:c>
      <x:c r="J4" s="9" t="n">
        <x:v>95</x:v>
      </x:c>
    </x:row>
    <x:row r="5" ht="34" customHeight="1">
      <x:c r="A5" s="9" t="n">
        <x:v>3</x:v>
      </x:c>
      <x:c r="B5" s="16" t="str">
        <x:f>'Skills'!C5</x:f>
        <x:v>유성우</x:v>
      </x:c>
      <x:c r="C5" s="9" t="n">
        <x:v>30</x:v>
      </x:c>
      <x:c r="D5" s="19" t="n">
        <x:v>0.05555555555555555</x:v>
      </x:c>
      <x:c r="E5" s="9" t="n">
        <x:v>55</x:v>
      </x:c>
      <x:c r="F5" s="5" t="n">
        <x:f>ROUNDUP(E5/C5,0)</x:f>
        <x:v>2</x:v>
      </x:c>
      <x:c r="G5" s="20" t="n">
        <x:f>F5/D5</x:f>
        <x:v>36</x:v>
      </x:c>
      <x:c r="H5" s="20" t="n">
        <x:f>(F5+1)/D5</x:f>
        <x:v>54</x:v>
      </x:c>
      <x:c r="I5" s="20" t="n">
        <x:f>H5/21</x:f>
        <x:v>2.5714285714285716</x:v>
      </x:c>
      <x:c r="J5" s="9" t="n">
        <x:v>95</x:v>
      </x:c>
    </x:row>
    <x:row r="6" ht="34" customHeight="1">
      <x:c r="A6" s="9" t="n">
        <x:v>4</x:v>
      </x:c>
      <x:c r="B6" s="16" t="str">
        <x:f>'Skills'!C6</x:f>
        <x:v>맹독 늪</x:v>
      </x:c>
      <x:c r="C6" s="9" t="n">
        <x:v>30</x:v>
      </x:c>
      <x:c r="D6" s="19" t="n">
        <x:v>0.05555555555555555</x:v>
      </x:c>
      <x:c r="E6" s="9" t="n">
        <x:v>55</x:v>
      </x:c>
      <x:c r="F6" s="5" t="n">
        <x:f>ROUNDUP(E6/C6,0)</x:f>
        <x:v>2</x:v>
      </x:c>
      <x:c r="G6" s="20" t="n">
        <x:f>F6/D6</x:f>
        <x:v>36</x:v>
      </x:c>
      <x:c r="H6" s="20" t="n">
        <x:f>(F6+1)/D6</x:f>
        <x:v>54</x:v>
      </x:c>
      <x:c r="I6" s="20" t="n">
        <x:f>H6/21</x:f>
        <x:v>2.5714285714285716</x:v>
      </x:c>
      <x:c r="J6" s="9" t="n">
        <x:v>95</x:v>
      </x:c>
    </x:row>
    <x:row r="7" ht="34" customHeight="1">
      <x:c r="A7" s="9" t="n">
        <x:v>5</x:v>
      </x:c>
      <x:c r="B7" s="16" t="str">
        <x:f>'Skills'!C7</x:f>
        <x:v>암석 봉인</x:v>
      </x:c>
      <x:c r="C7" s="9" t="n">
        <x:v>30</x:v>
      </x:c>
      <x:c r="D7" s="19" t="n">
        <x:v>0.05555555555555555</x:v>
      </x:c>
      <x:c r="E7" s="9" t="n">
        <x:v>55</x:v>
      </x:c>
      <x:c r="F7" s="5" t="n">
        <x:f>ROUNDUP(E7/C7,0)</x:f>
        <x:v>2</x:v>
      </x:c>
      <x:c r="G7" s="20" t="n">
        <x:f>F7/D7</x:f>
        <x:v>36</x:v>
      </x:c>
      <x:c r="H7" s="20" t="n">
        <x:f>(F7+1)/D7</x:f>
        <x:v>54</x:v>
      </x:c>
      <x:c r="I7" s="20" t="n">
        <x:f>H7/21</x:f>
        <x:v>2.5714285714285716</x:v>
      </x:c>
      <x:c r="J7" s="9" t="n">
        <x:v>95</x:v>
      </x:c>
    </x:row>
    <x:row r="8" ht="34" customHeight="1">
      <x:c r="A8" s="9" t="n">
        <x:v>7</x:v>
      </x:c>
      <x:c r="B8" s="16" t="str">
        <x:f>'Skills'!C8</x:f>
        <x:v>회복의 성역</x:v>
      </x:c>
      <x:c r="C8" s="9" t="n">
        <x:v>30</x:v>
      </x:c>
      <x:c r="D8" s="19" t="n">
        <x:v>0.05555555555555555</x:v>
      </x:c>
      <x:c r="E8" s="9" t="n">
        <x:v>55</x:v>
      </x:c>
      <x:c r="F8" s="5" t="n">
        <x:f>ROUNDUP(E8/C8,0)</x:f>
        <x:v>2</x:v>
      </x:c>
      <x:c r="G8" s="20" t="n">
        <x:f>F8/D8</x:f>
        <x:v>36</x:v>
      </x:c>
      <x:c r="H8" s="20" t="n">
        <x:f>(F8+1)/D8</x:f>
        <x:v>54</x:v>
      </x:c>
      <x:c r="I8" s="20" t="n">
        <x:f>H8/21</x:f>
        <x:v>2.5714285714285716</x:v>
      </x:c>
      <x:c r="J8" s="9" t="n">
        <x:v>95</x:v>
      </x:c>
    </x:row>
    <x:row r="9" ht="34" customHeight="1">
      <x:c r="A9" s="9" t="n">
        <x:v>8</x:v>
      </x:c>
      <x:c r="B9" s="16" t="str">
        <x:f>'Skills'!C9</x:f>
        <x:v>운석 낙하</x:v>
      </x:c>
      <x:c r="C9" s="9" t="n">
        <x:v>30</x:v>
      </x:c>
      <x:c r="D9" s="19" t="n">
        <x:v>0.05555555555555555</x:v>
      </x:c>
      <x:c r="E9" s="9" t="n">
        <x:v>55</x:v>
      </x:c>
      <x:c r="F9" s="5" t="n">
        <x:f>ROUNDUP(E9/C9,0)</x:f>
        <x:v>2</x:v>
      </x:c>
      <x:c r="G9" s="20" t="n">
        <x:f>F9/D9</x:f>
        <x:v>36</x:v>
      </x:c>
      <x:c r="H9" s="20" t="n">
        <x:f>(F9+1)/D9</x:f>
        <x:v>54</x:v>
      </x:c>
      <x:c r="I9" s="20" t="n">
        <x:f>H9/21</x:f>
        <x:v>2.5714285714285716</x:v>
      </x:c>
      <x:c r="J9" s="9" t="n">
        <x:v>95</x:v>
      </x:c>
    </x:row>
    <x:row r="10" ht="34" customHeight="1">
      <x:c r="A10" s="9" t="n">
        <x:v>9</x:v>
      </x:c>
      <x:c r="B10" s="16" t="str">
        <x:f>'Skills'!C10</x:f>
        <x:v>공허 균열</x:v>
      </x:c>
      <x:c r="C10" s="9" t="n">
        <x:v>30</x:v>
      </x:c>
      <x:c r="D10" s="19" t="n">
        <x:v>0.05555555555555555</x:v>
      </x:c>
      <x:c r="E10" s="9" t="n">
        <x:v>55</x:v>
      </x:c>
      <x:c r="F10" s="5" t="n">
        <x:f>ROUNDUP(E10/C10,0)</x:f>
        <x:v>2</x:v>
      </x:c>
      <x:c r="G10" s="20" t="n">
        <x:f>F10/D10</x:f>
        <x:v>36</x:v>
      </x:c>
      <x:c r="H10" s="20" t="n">
        <x:f>(F10+1)/D10</x:f>
        <x:v>54</x:v>
      </x:c>
      <x:c r="I10" s="20" t="n">
        <x:f>H10/21</x:f>
        <x:v>2.5714285714285716</x:v>
      </x:c>
      <x:c r="J10" s="9" t="n">
        <x:v>95</x:v>
      </x:c>
    </x:row>
    <x:row r="11" ht="34" customHeight="1">
      <x:c r="A11" s="9"/>
      <x:c r="B11" s="16"/>
      <x:c r="C11" s="9"/>
      <x:c r="D11" s="19"/>
      <x:c r="E11" s="9"/>
      <x:c r="F11" s="5"/>
      <x:c r="G11" s="20"/>
      <x:c r="H11" s="20"/>
      <x:c r="I11" s="20"/>
      <x:c r="J11" s="9"/>
    </x:row>
  </x:sheetData>
  <x:pageMargins left="0.7" right="0.7" top="0.75" bottom="0.75" header="0.3" footer="0.3"/>
  <x:tableParts count="1">
    <x:tablePart xmlns:r="http://schemas.openxmlformats.org/officeDocument/2006/relationships" r:id="Rf66936d1f6954a4f"/>
  </x:tableParts>
</x:worksheet>
</file>

<file path=xl/worksheets/sheet5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5" hidden="0" customWidth="1"/>
    <x:col min="4" max="4" width="23" hidden="0" customWidth="1"/>
    <x:col min="5" max="5" width="17" hidden="0" customWidth="1"/>
    <x:col min="6" max="6" width="25" hidden="0" customWidth="1"/>
    <x:col min="7" max="7" width="29" hidden="0" customWidth="1"/>
    <x:col min="8" max="8" width="24" hidden="0" customWidth="1"/>
  </x:cols>
  <x:sheetData>
    <x:row r="1" ht="46" customHeight="1">
      <x:c r="A1" s="8" t="str">
        <x:v>EnhanceLevel</x:v>
      </x:c>
      <x:c r="B1" s="8" t="str">
        <x:v>NextKnowledge</x:v>
      </x:c>
      <x:c r="C1" s="8" t="str">
        <x:v>CumulativeKnowledge</x:v>
      </x:c>
      <x:c r="D1" s="8" t="str">
        <x:v>EnhanceMultiplier</x:v>
      </x:c>
      <x:c r="E1" s="8" t="str">
        <x:v>AwakeningLevel</x:v>
      </x:c>
      <x:c r="F1" s="8" t="str">
        <x:v>CumulativeFragments</x:v>
      </x:c>
      <x:c r="G1" s="8" t="str">
        <x:v>AwakeningPowerMultiplier</x:v>
      </x:c>
      <x:c r="H1" s="8" t="str">
        <x:v>CooldownMultiplier</x:v>
      </x:c>
    </x:row>
    <x:row r="2" ht="34" customHeight="1">
      <x:c r="A2" s="9" t="n">
        <x:v>0</x:v>
      </x:c>
      <x:c r="B2" s="5" t="n">
        <x:f>ROUNDUP(ROUND(10*1.04^A2,6),0)</x:f>
        <x:v>10</x:v>
      </x:c>
      <x:c r="C2" s="9" t="n">
        <x:v>0</x:v>
      </x:c>
      <x:c r="D2" s="21" t="n">
        <x:f>1.04^A2</x:f>
        <x:v>1</x:v>
      </x:c>
      <x:c r="E2" s="9" t="n">
        <x:v>0</x:v>
      </x:c>
      <x:c r="F2" s="9" t="n">
        <x:v>0</x:v>
      </x:c>
      <x:c r="G2" s="22" t="n">
        <x:v>1</x:v>
      </x:c>
      <x:c r="H2" s="22" t="n">
        <x:v>1</x:v>
      </x:c>
    </x:row>
    <x:row r="3" ht="34" customHeight="1">
      <x:c r="A3" s="9" t="n">
        <x:v>1</x:v>
      </x:c>
      <x:c r="B3" s="5" t="n">
        <x:f>ROUNDUP(ROUND(10*1.04^A3,6),0)</x:f>
        <x:v>11</x:v>
      </x:c>
      <x:c r="C3" s="5" t="n">
        <x:f>C2+B2</x:f>
        <x:v>10</x:v>
      </x:c>
      <x:c r="D3" s="21" t="n">
        <x:f>1.04^A3</x:f>
        <x:v>1.04</x:v>
      </x:c>
      <x:c r="E3" s="9" t="n">
        <x:v>1</x:v>
      </x:c>
      <x:c r="F3" s="9" t="n">
        <x:v>1</x:v>
      </x:c>
      <x:c r="G3" s="22" t="n">
        <x:v>1.05</x:v>
      </x:c>
      <x:c r="H3" s="22" t="n">
        <x:v>0.98</x:v>
      </x:c>
    </x:row>
    <x:row r="4" ht="34" customHeight="1">
      <x:c r="A4" s="9" t="n">
        <x:v>2</x:v>
      </x:c>
      <x:c r="B4" s="5" t="n">
        <x:f>ROUNDUP(ROUND(10*1.04^A4,6),0)</x:f>
        <x:v>11</x:v>
      </x:c>
      <x:c r="C4" s="5" t="n">
        <x:f>C3+B3</x:f>
        <x:v>21</x:v>
      </x:c>
      <x:c r="D4" s="21" t="n">
        <x:f>1.04^A4</x:f>
        <x:v>1.0816000000000001</x:v>
      </x:c>
      <x:c r="E4" s="9" t="n">
        <x:v>2</x:v>
      </x:c>
      <x:c r="F4" s="9" t="n">
        <x:v>3</x:v>
      </x:c>
      <x:c r="G4" s="22" t="n">
        <x:v>1.1</x:v>
      </x:c>
      <x:c r="H4" s="22" t="n">
        <x:v>0.96</x:v>
      </x:c>
    </x:row>
    <x:row r="5" ht="34" customHeight="1">
      <x:c r="A5" s="9" t="n">
        <x:v>3</x:v>
      </x:c>
      <x:c r="B5" s="5" t="n">
        <x:f>ROUNDUP(ROUND(10*1.04^A5,6),0)</x:f>
        <x:v>12</x:v>
      </x:c>
      <x:c r="C5" s="5" t="n">
        <x:f>C4+B4</x:f>
        <x:v>32</x:v>
      </x:c>
      <x:c r="D5" s="21" t="n">
        <x:f>1.04^A5</x:f>
        <x:v>1.124864</x:v>
      </x:c>
      <x:c r="E5" s="9" t="n">
        <x:v>3</x:v>
      </x:c>
      <x:c r="F5" s="9" t="n">
        <x:v>6</x:v>
      </x:c>
      <x:c r="G5" s="22" t="n">
        <x:v>1.15</x:v>
      </x:c>
      <x:c r="H5" s="22" t="n">
        <x:v>0.94</x:v>
      </x:c>
    </x:row>
    <x:row r="6" ht="34" customHeight="1">
      <x:c r="A6" s="9" t="n">
        <x:v>4</x:v>
      </x:c>
      <x:c r="B6" s="5" t="n">
        <x:f>ROUNDUP(ROUND(10*1.04^A6,6),0)</x:f>
        <x:v>12</x:v>
      </x:c>
      <x:c r="C6" s="5" t="n">
        <x:f>C5+B5</x:f>
        <x:v>44</x:v>
      </x:c>
      <x:c r="D6" s="21" t="n">
        <x:f>1.04^A6</x:f>
        <x:v>1.1698585600000002</x:v>
      </x:c>
      <x:c r="E6" s="9" t="n">
        <x:v>4</x:v>
      </x:c>
      <x:c r="F6" s="9" t="n">
        <x:v>10</x:v>
      </x:c>
      <x:c r="G6" s="22" t="n">
        <x:v>1.2</x:v>
      </x:c>
      <x:c r="H6" s="22" t="n">
        <x:v>0.92</x:v>
      </x:c>
    </x:row>
    <x:row r="7" ht="34" customHeight="1">
      <x:c r="A7" s="9" t="n">
        <x:v>5</x:v>
      </x:c>
      <x:c r="B7" s="5" t="n">
        <x:f>ROUNDUP(ROUND(10*1.04^A7,6),0)</x:f>
        <x:v>13</x:v>
      </x:c>
      <x:c r="C7" s="5" t="n">
        <x:f>C6+B6</x:f>
        <x:v>56</x:v>
      </x:c>
      <x:c r="D7" s="21" t="n">
        <x:f>1.04^A7</x:f>
        <x:v>1.2166529024000001</x:v>
      </x:c>
      <x:c r="E7" s="9" t="n">
        <x:v>5</x:v>
      </x:c>
      <x:c r="F7" s="9" t="n">
        <x:v>15</x:v>
      </x:c>
      <x:c r="G7" s="22" t="n">
        <x:v>1.25</x:v>
      </x:c>
      <x:c r="H7" s="22" t="n">
        <x:v>0.9</x:v>
      </x:c>
    </x:row>
    <x:row r="8" ht="34" customHeight="1">
      <x:c r="A8" s="9" t="n">
        <x:v>6</x:v>
      </x:c>
      <x:c r="B8" s="5" t="n">
        <x:f>ROUNDUP(ROUND(10*1.04^A8,6),0)</x:f>
        <x:v>13</x:v>
      </x:c>
      <x:c r="C8" s="5" t="n">
        <x:f>C7+B7</x:f>
        <x:v>69</x:v>
      </x:c>
      <x:c r="D8" s="21" t="n">
        <x:f>1.04^A8</x:f>
        <x:v>1.2653190184960004</x:v>
      </x:c>
      <x:c r="E8" s="9" t="n">
        <x:v>6</x:v>
      </x:c>
      <x:c r="F8" s="9" t="n">
        <x:v>21</x:v>
      </x:c>
      <x:c r="G8" s="22" t="n">
        <x:v>1.3</x:v>
      </x:c>
      <x:c r="H8" s="22" t="n">
        <x:v>0.88</x:v>
      </x:c>
    </x:row>
    <x:row r="9" ht="34" customHeight="1">
      <x:c r="A9" s="9" t="n">
        <x:v>7</x:v>
      </x:c>
      <x:c r="B9" s="5" t="n">
        <x:f>ROUNDUP(ROUND(10*1.04^A9,6),0)</x:f>
        <x:v>14</x:v>
      </x:c>
      <x:c r="C9" s="5" t="n">
        <x:f>C8+B8</x:f>
        <x:v>82</x:v>
      </x:c>
      <x:c r="D9" s="21" t="n">
        <x:f>1.04^A9</x:f>
        <x:v>1.3159317792358403</x:v>
      </x:c>
      <x:c r="E9" s="9" t="n">
        <x:v>7</x:v>
      </x:c>
      <x:c r="F9" s="9" t="n">
        <x:v>28</x:v>
      </x:c>
      <x:c r="G9" s="22" t="n">
        <x:v>1.35</x:v>
      </x:c>
      <x:c r="H9" s="22" t="n">
        <x:v>0.86</x:v>
      </x:c>
    </x:row>
    <x:row r="10" ht="34" customHeight="1">
      <x:c r="A10" s="9" t="n">
        <x:v>8</x:v>
      </x:c>
      <x:c r="B10" s="5" t="n">
        <x:f>ROUNDUP(ROUND(10*1.04^A10,6),0)</x:f>
        <x:v>14</x:v>
      </x:c>
      <x:c r="C10" s="5" t="n">
        <x:f>C9+B9</x:f>
        <x:v>96</x:v>
      </x:c>
      <x:c r="D10" s="21" t="n">
        <x:f>1.04^A10</x:f>
        <x:v>1.3685690504052739</x:v>
      </x:c>
      <x:c r="E10" s="9" t="n">
        <x:v>8</x:v>
      </x:c>
      <x:c r="F10" s="9" t="n">
        <x:v>36</x:v>
      </x:c>
      <x:c r="G10" s="22" t="n">
        <x:v>1.4</x:v>
      </x:c>
      <x:c r="H10" s="22" t="n">
        <x:v>0.84</x:v>
      </x:c>
    </x:row>
    <x:row r="11" ht="34" customHeight="1">
      <x:c r="A11" s="9" t="n">
        <x:v>9</x:v>
      </x:c>
      <x:c r="B11" s="5" t="n">
        <x:f>ROUNDUP(ROUND(10*1.04^A11,6),0)</x:f>
        <x:v>15</x:v>
      </x:c>
      <x:c r="C11" s="5" t="n">
        <x:f>C10+B10</x:f>
        <x:v>110</x:v>
      </x:c>
      <x:c r="D11" s="21" t="n">
        <x:f>1.04^A11</x:f>
        <x:v>1.423311812421485</x:v>
      </x:c>
      <x:c r="E11" s="9" t="n">
        <x:v>9</x:v>
      </x:c>
      <x:c r="F11" s="9" t="n">
        <x:v>45</x:v>
      </x:c>
      <x:c r="G11" s="22" t="n">
        <x:v>1.45</x:v>
      </x:c>
      <x:c r="H11" s="22" t="n">
        <x:v>0.8200000000000001</x:v>
      </x:c>
    </x:row>
    <x:row r="12" ht="34" customHeight="1">
      <x:c r="A12" s="9" t="n">
        <x:v>10</x:v>
      </x:c>
      <x:c r="B12" s="5" t="n">
        <x:f>ROUNDUP(ROUND(10*1.04^A12,6),0)</x:f>
        <x:v>15</x:v>
      </x:c>
      <x:c r="C12" s="5" t="n">
        <x:f>C11+B11</x:f>
        <x:v>125</x:v>
      </x:c>
      <x:c r="D12" s="21" t="n">
        <x:f>1.04^A12</x:f>
        <x:v>1.4802442849183444</x:v>
      </x:c>
      <x:c r="E12" s="9" t="n">
        <x:v>10</x:v>
      </x:c>
      <x:c r="F12" s="9" t="n">
        <x:v>55</x:v>
      </x:c>
      <x:c r="G12" s="22" t="n">
        <x:v>1.5</x:v>
      </x:c>
      <x:c r="H12" s="22" t="n">
        <x:v>0.8</x:v>
      </x:c>
    </x:row>
    <x:row r="13" ht="34" customHeight="1">
      <x:c r="A13" s="9" t="n">
        <x:v>11</x:v>
      </x:c>
      <x:c r="B13" s="5" t="n">
        <x:f>ROUNDUP(ROUND(10*1.04^A13,6),0)</x:f>
        <x:v>16</x:v>
      </x:c>
      <x:c r="C13" s="5" t="n">
        <x:f>C12+B12</x:f>
        <x:v>140</x:v>
      </x:c>
      <x:c r="D13" s="21" t="n">
        <x:f>1.04^A13</x:f>
        <x:v>1.5394540563150783</x:v>
      </x:c>
      <x:c r="E13" s="5"/>
      <x:c r="F13" s="5"/>
      <x:c r="G13" s="5"/>
      <x:c r="H13" s="5"/>
    </x:row>
    <x:row r="14" ht="34" customHeight="1">
      <x:c r="A14" s="9" t="n">
        <x:v>12</x:v>
      </x:c>
      <x:c r="B14" s="5" t="n">
        <x:f>ROUNDUP(ROUND(10*1.04^A14,6),0)</x:f>
        <x:v>17</x:v>
      </x:c>
      <x:c r="C14" s="5" t="n">
        <x:f>C13+B13</x:f>
        <x:v>156</x:v>
      </x:c>
      <x:c r="D14" s="21" t="n">
        <x:f>1.04^A14</x:f>
        <x:v>1.6010322185676815</x:v>
      </x:c>
      <x:c r="E14" s="5"/>
      <x:c r="F14" s="5"/>
      <x:c r="G14" s="5"/>
      <x:c r="H14" s="5"/>
    </x:row>
    <x:row r="15" ht="34" customHeight="1">
      <x:c r="A15" s="9" t="n">
        <x:v>13</x:v>
      </x:c>
      <x:c r="B15" s="5" t="n">
        <x:f>ROUNDUP(ROUND(10*1.04^A15,6),0)</x:f>
        <x:v>17</x:v>
      </x:c>
      <x:c r="C15" s="5" t="n">
        <x:f>C14+B14</x:f>
        <x:v>173</x:v>
      </x:c>
      <x:c r="D15" s="21" t="n">
        <x:f>1.04^A15</x:f>
        <x:v>1.6650735073103888</x:v>
      </x:c>
      <x:c r="E15" s="5"/>
      <x:c r="F15" s="5"/>
      <x:c r="G15" s="5"/>
      <x:c r="H15" s="5"/>
    </x:row>
    <x:row r="16" ht="34" customHeight="1">
      <x:c r="A16" s="9" t="n">
        <x:v>14</x:v>
      </x:c>
      <x:c r="B16" s="5" t="n">
        <x:f>ROUNDUP(ROUND(10*1.04^A16,6),0)</x:f>
        <x:v>18</x:v>
      </x:c>
      <x:c r="C16" s="5" t="n">
        <x:f>C15+B15</x:f>
        <x:v>190</x:v>
      </x:c>
      <x:c r="D16" s="21" t="n">
        <x:f>1.04^A16</x:f>
        <x:v>1.7316764476028044</x:v>
      </x:c>
      <x:c r="E16" s="5"/>
      <x:c r="F16" s="5"/>
      <x:c r="G16" s="5"/>
      <x:c r="H16" s="5"/>
    </x:row>
    <x:row r="17" ht="34" customHeight="1">
      <x:c r="A17" s="9" t="n">
        <x:v>15</x:v>
      </x:c>
      <x:c r="B17" s="5" t="n">
        <x:f>ROUNDUP(ROUND(10*1.04^A17,6),0)</x:f>
        <x:v>19</x:v>
      </x:c>
      <x:c r="C17" s="5" t="n">
        <x:f>C16+B16</x:f>
        <x:v>208</x:v>
      </x:c>
      <x:c r="D17" s="21" t="n">
        <x:f>1.04^A17</x:f>
        <x:v>1.8009435055069165</x:v>
      </x:c>
      <x:c r="E17" s="5"/>
      <x:c r="F17" s="5"/>
      <x:c r="G17" s="5"/>
      <x:c r="H17" s="5"/>
    </x:row>
    <x:row r="18" ht="34" customHeight="1">
      <x:c r="A18" s="9" t="n">
        <x:v>16</x:v>
      </x:c>
      <x:c r="B18" s="5" t="n">
        <x:f>ROUNDUP(ROUND(10*1.04^A18,6),0)</x:f>
        <x:v>19</x:v>
      </x:c>
      <x:c r="C18" s="5" t="n">
        <x:f>C17+B17</x:f>
        <x:v>227</x:v>
      </x:c>
      <x:c r="D18" s="21" t="n">
        <x:f>1.04^A18</x:f>
        <x:v>1.8729812457271933</x:v>
      </x:c>
      <x:c r="E18" s="5"/>
      <x:c r="F18" s="5"/>
      <x:c r="G18" s="5"/>
      <x:c r="H18" s="5"/>
    </x:row>
    <x:row r="19" ht="34" customHeight="1">
      <x:c r="A19" s="9" t="n">
        <x:v>17</x:v>
      </x:c>
      <x:c r="B19" s="5" t="n">
        <x:f>ROUNDUP(ROUND(10*1.04^A19,6),0)</x:f>
        <x:v>20</x:v>
      </x:c>
      <x:c r="C19" s="5" t="n">
        <x:f>C18+B18</x:f>
        <x:v>246</x:v>
      </x:c>
      <x:c r="D19" s="21" t="n">
        <x:f>1.04^A19</x:f>
        <x:v>1.947900495556281</x:v>
      </x:c>
      <x:c r="E19" s="5"/>
      <x:c r="F19" s="5"/>
      <x:c r="G19" s="5"/>
      <x:c r="H19" s="5"/>
    </x:row>
    <x:row r="20" ht="34" customHeight="1">
      <x:c r="A20" s="9" t="n">
        <x:v>18</x:v>
      </x:c>
      <x:c r="B20" s="5" t="n">
        <x:f>ROUNDUP(ROUND(10*1.04^A20,6),0)</x:f>
        <x:v>21</x:v>
      </x:c>
      <x:c r="C20" s="5" t="n">
        <x:f>C19+B19</x:f>
        <x:v>266</x:v>
      </x:c>
      <x:c r="D20" s="21" t="n">
        <x:f>1.04^A20</x:f>
        <x:v>2.0258165153785326</x:v>
      </x:c>
      <x:c r="E20" s="5"/>
      <x:c r="F20" s="5"/>
      <x:c r="G20" s="5"/>
      <x:c r="H20" s="5"/>
    </x:row>
    <x:row r="21" ht="34" customHeight="1">
      <x:c r="A21" s="9" t="n">
        <x:v>19</x:v>
      </x:c>
      <x:c r="B21" s="5" t="n">
        <x:f>ROUNDUP(ROUND(10*1.04^A21,6),0)</x:f>
        <x:v>22</x:v>
      </x:c>
      <x:c r="C21" s="5" t="n">
        <x:f>C20+B20</x:f>
        <x:v>287</x:v>
      </x:c>
      <x:c r="D21" s="21" t="n">
        <x:f>1.04^A21</x:f>
        <x:v>2.106849175993674</x:v>
      </x:c>
      <x:c r="E21" s="5"/>
      <x:c r="F21" s="5"/>
      <x:c r="G21" s="5"/>
      <x:c r="H21" s="5"/>
    </x:row>
    <x:row r="22" ht="34" customHeight="1">
      <x:c r="A22" s="9" t="n">
        <x:v>20</x:v>
      </x:c>
      <x:c r="B22" s="5" t="n">
        <x:f>ROUNDUP(ROUND(10*1.04^A22,6),0)</x:f>
        <x:v>22</x:v>
      </x:c>
      <x:c r="C22" s="5" t="n">
        <x:f>C21+B21</x:f>
        <x:v>309</x:v>
      </x:c>
      <x:c r="D22" s="21" t="n">
        <x:f>1.04^A22</x:f>
        <x:v>2.191123143033421</x:v>
      </x:c>
      <x:c r="E22" s="5"/>
      <x:c r="F22" s="5"/>
      <x:c r="G22" s="5"/>
      <x:c r="H22" s="5"/>
    </x:row>
    <x:row r="23" ht="34" customHeight="1">
      <x:c r="A23" s="9" t="n">
        <x:v>21</x:v>
      </x:c>
      <x:c r="B23" s="5" t="n">
        <x:f>ROUNDUP(ROUND(10*1.04^A23,6),0)</x:f>
        <x:v>23</x:v>
      </x:c>
      <x:c r="C23" s="5" t="n">
        <x:f>C22+B22</x:f>
        <x:v>331</x:v>
      </x:c>
      <x:c r="D23" s="21" t="n">
        <x:f>1.04^A23</x:f>
        <x:v>2.278768068754758</x:v>
      </x:c>
      <x:c r="E23" s="5"/>
      <x:c r="F23" s="5"/>
      <x:c r="G23" s="5"/>
      <x:c r="H23" s="5"/>
    </x:row>
    <x:row r="24" ht="34" customHeight="1">
      <x:c r="A24" s="9" t="n">
        <x:v>22</x:v>
      </x:c>
      <x:c r="B24" s="5" t="n">
        <x:f>ROUNDUP(ROUND(10*1.04^A24,6),0)</x:f>
        <x:v>24</x:v>
      </x:c>
      <x:c r="C24" s="5" t="n">
        <x:f>C23+B23</x:f>
        <x:v>354</x:v>
      </x:c>
      <x:c r="D24" s="21" t="n">
        <x:f>1.04^A24</x:f>
        <x:v>2.369918791504948</x:v>
      </x:c>
      <x:c r="E24" s="5"/>
      <x:c r="F24" s="5"/>
      <x:c r="G24" s="5"/>
      <x:c r="H24" s="5"/>
    </x:row>
    <x:row r="25" ht="34" customHeight="1">
      <x:c r="A25" s="9" t="n">
        <x:v>23</x:v>
      </x:c>
      <x:c r="B25" s="5" t="n">
        <x:f>ROUNDUP(ROUND(10*1.04^A25,6),0)</x:f>
        <x:v>25</x:v>
      </x:c>
      <x:c r="C25" s="5" t="n">
        <x:f>C24+B24</x:f>
        <x:v>378</x:v>
      </x:c>
      <x:c r="D25" s="21" t="n">
        <x:f>1.04^A25</x:f>
        <x:v>2.464715543165146</x:v>
      </x:c>
      <x:c r="E25" s="5"/>
      <x:c r="F25" s="5"/>
      <x:c r="G25" s="5"/>
      <x:c r="H25" s="5"/>
    </x:row>
    <x:row r="26" ht="34" customHeight="1">
      <x:c r="A26" s="9" t="n">
        <x:v>24</x:v>
      </x:c>
      <x:c r="B26" s="5" t="n">
        <x:f>ROUNDUP(ROUND(10*1.04^A26,6),0)</x:f>
        <x:v>26</x:v>
      </x:c>
      <x:c r="C26" s="5" t="n">
        <x:f>C25+B25</x:f>
        <x:v>403</x:v>
      </x:c>
      <x:c r="D26" s="21" t="n">
        <x:f>1.04^A26</x:f>
        <x:v>2.5633041648917523</x:v>
      </x:c>
      <x:c r="E26" s="5"/>
      <x:c r="F26" s="5"/>
      <x:c r="G26" s="5"/>
      <x:c r="H26" s="5"/>
    </x:row>
    <x:row r="27" ht="34" customHeight="1">
      <x:c r="A27" s="9" t="n">
        <x:v>25</x:v>
      </x:c>
      <x:c r="B27" s="5" t="n">
        <x:f>ROUNDUP(ROUND(10*1.04^A27,6),0)</x:f>
        <x:v>27</x:v>
      </x:c>
      <x:c r="C27" s="5" t="n">
        <x:f>C26+B26</x:f>
        <x:v>429</x:v>
      </x:c>
      <x:c r="D27" s="21" t="n">
        <x:f>1.04^A27</x:f>
        <x:v>2.665836331487422</x:v>
      </x:c>
      <x:c r="E27" s="5"/>
      <x:c r="F27" s="5"/>
      <x:c r="G27" s="5"/>
      <x:c r="H27" s="5"/>
    </x:row>
    <x:row r="28" ht="34" customHeight="1">
      <x:c r="A28" s="9" t="n">
        <x:v>26</x:v>
      </x:c>
      <x:c r="B28" s="5" t="n">
        <x:f>ROUNDUP(ROUND(10*1.04^A28,6),0)</x:f>
        <x:v>28</x:v>
      </x:c>
      <x:c r="C28" s="5" t="n">
        <x:f>C27+B27</x:f>
        <x:v>456</x:v>
      </x:c>
      <x:c r="D28" s="21" t="n">
        <x:f>1.04^A28</x:f>
        <x:v>2.772469784746919</x:v>
      </x:c>
      <x:c r="E28" s="5"/>
      <x:c r="F28" s="5"/>
      <x:c r="G28" s="5"/>
      <x:c r="H28" s="5"/>
    </x:row>
    <x:row r="29" ht="34" customHeight="1">
      <x:c r="A29" s="9" t="n">
        <x:v>27</x:v>
      </x:c>
      <x:c r="B29" s="5" t="n">
        <x:f>ROUNDUP(ROUND(10*1.04^A29,6),0)</x:f>
        <x:v>29</x:v>
      </x:c>
      <x:c r="C29" s="5" t="n">
        <x:f>C28+B28</x:f>
        <x:v>484</x:v>
      </x:c>
      <x:c r="D29" s="21" t="n">
        <x:f>1.04^A29</x:f>
        <x:v>2.883368576136796</x:v>
      </x:c>
      <x:c r="E29" s="5"/>
      <x:c r="F29" s="5"/>
      <x:c r="G29" s="5"/>
      <x:c r="H29" s="5"/>
    </x:row>
    <x:row r="30" ht="34" customHeight="1">
      <x:c r="A30" s="9" t="n">
        <x:v>28</x:v>
      </x:c>
      <x:c r="B30" s="5" t="n">
        <x:f>ROUNDUP(ROUND(10*1.04^A30,6),0)</x:f>
        <x:v>30</x:v>
      </x:c>
      <x:c r="C30" s="5" t="n">
        <x:f>C29+B29</x:f>
        <x:v>513</x:v>
      </x:c>
      <x:c r="D30" s="21" t="n">
        <x:f>1.04^A30</x:f>
        <x:v>2.998703319182268</x:v>
      </x:c>
      <x:c r="E30" s="5"/>
      <x:c r="F30" s="5"/>
      <x:c r="G30" s="5"/>
      <x:c r="H30" s="5"/>
    </x:row>
    <x:row r="31" ht="34" customHeight="1">
      <x:c r="A31" s="9" t="n">
        <x:v>29</x:v>
      </x:c>
      <x:c r="B31" s="5" t="n">
        <x:f>ROUNDUP(ROUND(10*1.04^A31,6),0)</x:f>
        <x:v>32</x:v>
      </x:c>
      <x:c r="C31" s="5" t="n">
        <x:f>C30+B30</x:f>
        <x:v>543</x:v>
      </x:c>
      <x:c r="D31" s="21" t="n">
        <x:f>1.04^A31</x:f>
        <x:v>3.118651451949559</x:v>
      </x:c>
      <x:c r="E31" s="5"/>
      <x:c r="F31" s="5"/>
      <x:c r="G31" s="5"/>
      <x:c r="H31" s="5"/>
    </x:row>
    <x:row r="32" ht="34" customHeight="1">
      <x:c r="A32" s="9" t="n">
        <x:v>30</x:v>
      </x:c>
      <x:c r="B32" s="5" t="n">
        <x:f>ROUNDUP(ROUND(10*1.04^A32,6),0)</x:f>
        <x:v>33</x:v>
      </x:c>
      <x:c r="C32" s="5" t="n">
        <x:f>C31+B31</x:f>
        <x:v>575</x:v>
      </x:c>
      <x:c r="D32" s="21" t="n">
        <x:f>1.04^A32</x:f>
        <x:v>3.2433975100275414</x:v>
      </x:c>
      <x:c r="E32" s="5"/>
      <x:c r="F32" s="5"/>
      <x:c r="G32" s="5"/>
      <x:c r="H32" s="5"/>
    </x:row>
    <x:row r="33" ht="34" customHeight="1">
      <x:c r="A33" s="9" t="n">
        <x:v>31</x:v>
      </x:c>
      <x:c r="B33" s="5" t="n">
        <x:f>ROUNDUP(ROUND(10*1.04^A33,6),0)</x:f>
        <x:v>34</x:v>
      </x:c>
      <x:c r="C33" s="5" t="n">
        <x:f>C32+B32</x:f>
        <x:v>608</x:v>
      </x:c>
      <x:c r="D33" s="21" t="n">
        <x:f>1.04^A33</x:f>
        <x:v>3.3731334104286432</x:v>
      </x:c>
      <x:c r="E33" s="5"/>
      <x:c r="F33" s="5"/>
      <x:c r="G33" s="5"/>
      <x:c r="H33" s="5"/>
    </x:row>
    <x:row r="34" ht="34" customHeight="1">
      <x:c r="A34" s="9" t="n">
        <x:v>32</x:v>
      </x:c>
      <x:c r="B34" s="5" t="n">
        <x:f>ROUNDUP(ROUND(10*1.04^A34,6),0)</x:f>
        <x:v>36</x:v>
      </x:c>
      <x:c r="C34" s="5" t="n">
        <x:f>C33+B33</x:f>
        <x:v>642</x:v>
      </x:c>
      <x:c r="D34" s="21" t="n">
        <x:f>1.04^A34</x:f>
        <x:v>3.508058746845789</x:v>
      </x:c>
      <x:c r="E34" s="5"/>
      <x:c r="F34" s="5"/>
      <x:c r="G34" s="5"/>
      <x:c r="H34" s="5"/>
    </x:row>
    <x:row r="35" ht="34" customHeight="1">
      <x:c r="A35" s="9" t="n">
        <x:v>33</x:v>
      </x:c>
      <x:c r="B35" s="5" t="n">
        <x:f>ROUNDUP(ROUND(10*1.04^A35,6),0)</x:f>
        <x:v>37</x:v>
      </x:c>
      <x:c r="C35" s="5" t="n">
        <x:f>C34+B34</x:f>
        <x:v>678</x:v>
      </x:c>
      <x:c r="D35" s="21" t="n">
        <x:f>1.04^A35</x:f>
        <x:v>3.648381096719621</x:v>
      </x:c>
      <x:c r="E35" s="5"/>
      <x:c r="F35" s="5"/>
      <x:c r="G35" s="5"/>
      <x:c r="H35" s="5"/>
    </x:row>
    <x:row r="36" ht="34" customHeight="1">
      <x:c r="A36" s="9" t="n">
        <x:v>34</x:v>
      </x:c>
      <x:c r="B36" s="5" t="n">
        <x:f>ROUNDUP(ROUND(10*1.04^A36,6),0)</x:f>
        <x:v>38</x:v>
      </x:c>
      <x:c r="C36" s="5" t="n">
        <x:f>C35+B35</x:f>
        <x:v>715</x:v>
      </x:c>
      <x:c r="D36" s="21" t="n">
        <x:f>1.04^A36</x:f>
        <x:v>3.7943163405884057</x:v>
      </x:c>
      <x:c r="E36" s="5"/>
      <x:c r="F36" s="5"/>
      <x:c r="G36" s="5"/>
      <x:c r="H36" s="5"/>
    </x:row>
    <x:row r="37" ht="34" customHeight="1">
      <x:c r="A37" s="9" t="n">
        <x:v>35</x:v>
      </x:c>
      <x:c r="B37" s="5" t="n">
        <x:f>ROUNDUP(ROUND(10*1.04^A37,6),0)</x:f>
        <x:v>40</x:v>
      </x:c>
      <x:c r="C37" s="5" t="n">
        <x:f>C36+B36</x:f>
        <x:v>753</x:v>
      </x:c>
      <x:c r="D37" s="21" t="n">
        <x:f>1.04^A37</x:f>
        <x:v>3.946088994211942</x:v>
      </x:c>
      <x:c r="E37" s="5"/>
      <x:c r="F37" s="5"/>
      <x:c r="G37" s="5"/>
      <x:c r="H37" s="5"/>
    </x:row>
    <x:row r="38" ht="34" customHeight="1">
      <x:c r="A38" s="9" t="n">
        <x:v>36</x:v>
      </x:c>
      <x:c r="B38" s="5" t="n">
        <x:f>ROUNDUP(ROUND(10*1.04^A38,6),0)</x:f>
        <x:v>42</x:v>
      </x:c>
      <x:c r="C38" s="5" t="n">
        <x:f>C37+B37</x:f>
        <x:v>793</x:v>
      </x:c>
      <x:c r="D38" s="21" t="n">
        <x:f>1.04^A38</x:f>
        <x:v>4.10393255398042</x:v>
      </x:c>
      <x:c r="E38" s="5"/>
      <x:c r="F38" s="5"/>
      <x:c r="G38" s="5"/>
      <x:c r="H38" s="5"/>
    </x:row>
    <x:row r="39" ht="34" customHeight="1">
      <x:c r="A39" s="9" t="n">
        <x:v>37</x:v>
      </x:c>
      <x:c r="B39" s="5" t="n">
        <x:f>ROUNDUP(ROUND(10*1.04^A39,6),0)</x:f>
        <x:v>43</x:v>
      </x:c>
      <x:c r="C39" s="5" t="n">
        <x:f>C38+B38</x:f>
        <x:v>835</x:v>
      </x:c>
      <x:c r="D39" s="21" t="n">
        <x:f>1.04^A39</x:f>
        <x:v>4.268089856139636</x:v>
      </x:c>
      <x:c r="E39" s="5"/>
      <x:c r="F39" s="5"/>
      <x:c r="G39" s="5"/>
      <x:c r="H39" s="5"/>
    </x:row>
    <x:row r="40" ht="34" customHeight="1">
      <x:c r="A40" s="9" t="n">
        <x:v>38</x:v>
      </x:c>
      <x:c r="B40" s="5" t="n">
        <x:f>ROUNDUP(ROUND(10*1.04^A40,6),0)</x:f>
        <x:v>45</x:v>
      </x:c>
      <x:c r="C40" s="5" t="n">
        <x:f>C39+B39</x:f>
        <x:v>878</x:v>
      </x:c>
      <x:c r="D40" s="21" t="n">
        <x:f>1.04^A40</x:f>
        <x:v>4.438813450385222</x:v>
      </x:c>
      <x:c r="E40" s="5"/>
      <x:c r="F40" s="5"/>
      <x:c r="G40" s="5"/>
      <x:c r="H40" s="5"/>
    </x:row>
    <x:row r="41" ht="34" customHeight="1">
      <x:c r="A41" s="9" t="n">
        <x:v>39</x:v>
      </x:c>
      <x:c r="B41" s="5" t="n">
        <x:f>ROUNDUP(ROUND(10*1.04^A41,6),0)</x:f>
        <x:v>47</x:v>
      </x:c>
      <x:c r="C41" s="5" t="n">
        <x:f>C40+B40</x:f>
        <x:v>923</x:v>
      </x:c>
      <x:c r="D41" s="21" t="n">
        <x:f>1.04^A41</x:f>
        <x:v>4.616365988400632</x:v>
      </x:c>
      <x:c r="E41" s="5"/>
      <x:c r="F41" s="5"/>
      <x:c r="G41" s="5"/>
      <x:c r="H41" s="5"/>
    </x:row>
    <x:row r="42" ht="34" customHeight="1">
      <x:c r="A42" s="9" t="n">
        <x:v>40</x:v>
      </x:c>
      <x:c r="B42" s="5" t="n">
        <x:f>ROUNDUP(ROUND(10*1.04^A42,6),0)</x:f>
        <x:v>49</x:v>
      </x:c>
      <x:c r="C42" s="5" t="n">
        <x:f>C41+B41</x:f>
        <x:v>970</x:v>
      </x:c>
      <x:c r="D42" s="21" t="n">
        <x:f>1.04^A42</x:f>
        <x:v>4.801020627936657</x:v>
      </x:c>
      <x:c r="E42" s="5"/>
      <x:c r="F42" s="5"/>
      <x:c r="G42" s="5"/>
      <x:c r="H42" s="5"/>
    </x:row>
    <x:row r="43" ht="34" customHeight="1">
      <x:c r="A43" s="9" t="n">
        <x:v>41</x:v>
      </x:c>
      <x:c r="B43" s="5" t="n">
        <x:f>ROUNDUP(ROUND(10*1.04^A43,6),0)</x:f>
        <x:v>50</x:v>
      </x:c>
      <x:c r="C43" s="5" t="n">
        <x:f>C42+B42</x:f>
        <x:v>1019</x:v>
      </x:c>
      <x:c r="D43" s="21" t="n">
        <x:f>1.04^A43</x:f>
        <x:v>4.993061453054123</x:v>
      </x:c>
      <x:c r="E43" s="5"/>
      <x:c r="F43" s="5"/>
      <x:c r="G43" s="5"/>
      <x:c r="H43" s="5"/>
    </x:row>
    <x:row r="44" ht="34" customHeight="1">
      <x:c r="A44" s="9" t="n">
        <x:v>42</x:v>
      </x:c>
      <x:c r="B44" s="5" t="n">
        <x:f>ROUNDUP(ROUND(10*1.04^A44,6),0)</x:f>
        <x:v>52</x:v>
      </x:c>
      <x:c r="C44" s="5" t="n">
        <x:f>C43+B43</x:f>
        <x:v>1069</x:v>
      </x:c>
      <x:c r="D44" s="21" t="n">
        <x:f>1.04^A44</x:f>
        <x:v>5.192783911176289</x:v>
      </x:c>
      <x:c r="E44" s="5"/>
      <x:c r="F44" s="5"/>
      <x:c r="G44" s="5"/>
      <x:c r="H44" s="5"/>
    </x:row>
    <x:row r="45" ht="34" customHeight="1">
      <x:c r="A45" s="9" t="n">
        <x:v>43</x:v>
      </x:c>
      <x:c r="B45" s="5" t="n">
        <x:f>ROUNDUP(ROUND(10*1.04^A45,6),0)</x:f>
        <x:v>55</x:v>
      </x:c>
      <x:c r="C45" s="5" t="n">
        <x:f>C44+B44</x:f>
        <x:v>1121</x:v>
      </x:c>
      <x:c r="D45" s="21" t="n">
        <x:f>1.04^A45</x:f>
        <x:v>5.40049526762334</x:v>
      </x:c>
      <x:c r="E45" s="5"/>
      <x:c r="F45" s="5"/>
      <x:c r="G45" s="5"/>
      <x:c r="H45" s="5"/>
    </x:row>
    <x:row r="46" ht="34" customHeight="1">
      <x:c r="A46" s="9" t="n">
        <x:v>44</x:v>
      </x:c>
      <x:c r="B46" s="5" t="n">
        <x:f>ROUNDUP(ROUND(10*1.04^A46,6),0)</x:f>
        <x:v>57</x:v>
      </x:c>
      <x:c r="C46" s="5" t="n">
        <x:f>C45+B45</x:f>
        <x:v>1176</x:v>
      </x:c>
      <x:c r="D46" s="21" t="n">
        <x:f>1.04^A46</x:f>
        <x:v>5.616515078328274</x:v>
      </x:c>
      <x:c r="E46" s="5"/>
      <x:c r="F46" s="5"/>
      <x:c r="G46" s="5"/>
      <x:c r="H46" s="5"/>
    </x:row>
    <x:row r="47" ht="34" customHeight="1">
      <x:c r="A47" s="9" t="n">
        <x:v>45</x:v>
      </x:c>
      <x:c r="B47" s="5" t="n">
        <x:f>ROUNDUP(ROUND(10*1.04^A47,6),0)</x:f>
        <x:v>59</x:v>
      </x:c>
      <x:c r="C47" s="5" t="n">
        <x:f>C46+B46</x:f>
        <x:v>1233</x:v>
      </x:c>
      <x:c r="D47" s="21" t="n">
        <x:f>1.04^A47</x:f>
        <x:v>5.841175681461405</x:v>
      </x:c>
      <x:c r="E47" s="5"/>
      <x:c r="F47" s="5"/>
      <x:c r="G47" s="5"/>
      <x:c r="H47" s="5"/>
    </x:row>
    <x:row r="48" ht="34" customHeight="1">
      <x:c r="A48" s="9" t="n">
        <x:v>46</x:v>
      </x:c>
      <x:c r="B48" s="5" t="n">
        <x:f>ROUNDUP(ROUND(10*1.04^A48,6),0)</x:f>
        <x:v>61</x:v>
      </x:c>
      <x:c r="C48" s="5" t="n">
        <x:f>C47+B47</x:f>
        <x:v>1292</x:v>
      </x:c>
      <x:c r="D48" s="21" t="n">
        <x:f>1.04^A48</x:f>
        <x:v>6.074822708719862</x:v>
      </x:c>
      <x:c r="E48" s="5"/>
      <x:c r="F48" s="5"/>
      <x:c r="G48" s="5"/>
      <x:c r="H48" s="5"/>
    </x:row>
    <x:row r="49" ht="34" customHeight="1">
      <x:c r="A49" s="9" t="n">
        <x:v>47</x:v>
      </x:c>
      <x:c r="B49" s="5" t="n">
        <x:f>ROUNDUP(ROUND(10*1.04^A49,6),0)</x:f>
        <x:v>64</x:v>
      </x:c>
      <x:c r="C49" s="5" t="n">
        <x:f>C48+B48</x:f>
        <x:v>1353</x:v>
      </x:c>
      <x:c r="D49" s="21" t="n">
        <x:f>1.04^A49</x:f>
        <x:v>6.317815617068656</x:v>
      </x:c>
      <x:c r="E49" s="5"/>
      <x:c r="F49" s="5"/>
      <x:c r="G49" s="5"/>
      <x:c r="H49" s="5"/>
    </x:row>
    <x:row r="50" ht="34" customHeight="1">
      <x:c r="A50" s="9" t="n">
        <x:v>48</x:v>
      </x:c>
      <x:c r="B50" s="5" t="n">
        <x:f>ROUNDUP(ROUND(10*1.04^A50,6),0)</x:f>
        <x:v>66</x:v>
      </x:c>
      <x:c r="C50" s="5" t="n">
        <x:f>C49+B49</x:f>
        <x:v>1417</x:v>
      </x:c>
      <x:c r="D50" s="21" t="n">
        <x:f>1.04^A50</x:f>
        <x:v>6.570528241751402</x:v>
      </x:c>
      <x:c r="E50" s="5"/>
      <x:c r="F50" s="5"/>
      <x:c r="G50" s="5"/>
      <x:c r="H50" s="5"/>
    </x:row>
    <x:row r="51" ht="34" customHeight="1">
      <x:c r="A51" s="9" t="n">
        <x:v>49</x:v>
      </x:c>
      <x:c r="B51" s="5" t="n">
        <x:f>ROUNDUP(ROUND(10*1.04^A51,6),0)</x:f>
        <x:v>69</x:v>
      </x:c>
      <x:c r="C51" s="5" t="n">
        <x:f>C50+B50</x:f>
        <x:v>1483</x:v>
      </x:c>
      <x:c r="D51" s="21" t="n">
        <x:f>1.04^A51</x:f>
        <x:v>6.833349371421459</x:v>
      </x:c>
      <x:c r="E51" s="5"/>
      <x:c r="F51" s="5"/>
      <x:c r="G51" s="5"/>
      <x:c r="H51" s="5"/>
    </x:row>
    <x:row r="52" ht="34" customHeight="1">
      <x:c r="A52" s="9" t="n">
        <x:v>50</x:v>
      </x:c>
      <x:c r="B52" s="5" t="n">
        <x:f>ROUNDUP(ROUND(10*1.04^A52,6),0)</x:f>
        <x:v>72</x:v>
      </x:c>
      <x:c r="C52" s="5" t="n">
        <x:f>C51+B51</x:f>
        <x:v>1552</x:v>
      </x:c>
      <x:c r="D52" s="21" t="n">
        <x:f>1.04^A52</x:f>
        <x:v>7.106683346278317</x:v>
      </x:c>
      <x:c r="E52" s="5"/>
      <x:c r="F52" s="5"/>
      <x:c r="G52" s="5"/>
      <x:c r="H52" s="5"/>
    </x:row>
    <x:row r="53" ht="34" customHeight="1">
      <x:c r="A53" s="9" t="n">
        <x:v>51</x:v>
      </x:c>
      <x:c r="B53" s="5" t="n">
        <x:f>ROUNDUP(ROUND(10*1.04^A53,6),0)</x:f>
        <x:v>74</x:v>
      </x:c>
      <x:c r="C53" s="5" t="n">
        <x:f>C52+B52</x:f>
        <x:v>1624</x:v>
      </x:c>
      <x:c r="D53" s="21" t="n">
        <x:f>1.04^A53</x:f>
        <x:v>7.390950680129451</x:v>
      </x:c>
      <x:c r="E53" s="5"/>
      <x:c r="F53" s="5"/>
      <x:c r="G53" s="5"/>
      <x:c r="H53" s="5"/>
    </x:row>
    <x:row r="54" ht="34" customHeight="1">
      <x:c r="A54" s="9" t="n">
        <x:v>52</x:v>
      </x:c>
      <x:c r="B54" s="5" t="n">
        <x:f>ROUNDUP(ROUND(10*1.04^A54,6),0)</x:f>
        <x:v>77</x:v>
      </x:c>
      <x:c r="C54" s="5" t="n">
        <x:f>C53+B53</x:f>
        <x:v>1698</x:v>
      </x:c>
      <x:c r="D54" s="21" t="n">
        <x:f>1.04^A54</x:f>
        <x:v>7.686588707334629</x:v>
      </x:c>
      <x:c r="E54" s="5"/>
      <x:c r="F54" s="5"/>
      <x:c r="G54" s="5"/>
      <x:c r="H54" s="5"/>
    </x:row>
    <x:row r="55" ht="34" customHeight="1">
      <x:c r="A55" s="9" t="n">
        <x:v>53</x:v>
      </x:c>
      <x:c r="B55" s="5" t="n">
        <x:f>ROUNDUP(ROUND(10*1.04^A55,6),0)</x:f>
        <x:v>80</x:v>
      </x:c>
      <x:c r="C55" s="5" t="n">
        <x:f>C54+B54</x:f>
        <x:v>1775</x:v>
      </x:c>
      <x:c r="D55" s="21" t="n">
        <x:f>1.04^A55</x:f>
        <x:v>7.994052255628014</x:v>
      </x:c>
      <x:c r="E55" s="5"/>
      <x:c r="F55" s="5"/>
      <x:c r="G55" s="5"/>
      <x:c r="H55" s="5"/>
    </x:row>
    <x:row r="56" ht="34" customHeight="1">
      <x:c r="A56" s="9" t="n">
        <x:v>54</x:v>
      </x:c>
      <x:c r="B56" s="5" t="n">
        <x:f>ROUNDUP(ROUND(10*1.04^A56,6),0)</x:f>
        <x:v>84</x:v>
      </x:c>
      <x:c r="C56" s="5" t="n">
        <x:f>C55+B55</x:f>
        <x:v>1855</x:v>
      </x:c>
      <x:c r="D56" s="21" t="n">
        <x:f>1.04^A56</x:f>
        <x:v>8.313814345853135</x:v>
      </x:c>
      <x:c r="E56" s="5"/>
      <x:c r="F56" s="5"/>
      <x:c r="G56" s="5"/>
      <x:c r="H56" s="5"/>
    </x:row>
    <x:row r="57" ht="34" customHeight="1">
      <x:c r="A57" s="9" t="n">
        <x:v>55</x:v>
      </x:c>
      <x:c r="B57" s="5" t="n">
        <x:f>ROUNDUP(ROUND(10*1.04^A57,6),0)</x:f>
        <x:v>87</x:v>
      </x:c>
      <x:c r="C57" s="5" t="n">
        <x:f>C56+B56</x:f>
        <x:v>1939</x:v>
      </x:c>
      <x:c r="D57" s="21" t="n">
        <x:f>1.04^A57</x:f>
        <x:v>8.64636691968726</x:v>
      </x:c>
      <x:c r="E57" s="5"/>
      <x:c r="F57" s="5"/>
      <x:c r="G57" s="5"/>
      <x:c r="H57" s="5"/>
    </x:row>
    <x:row r="58" ht="34" customHeight="1">
      <x:c r="A58" s="9" t="n">
        <x:v>56</x:v>
      </x:c>
      <x:c r="B58" s="5" t="n">
        <x:f>ROUNDUP(ROUND(10*1.04^A58,6),0)</x:f>
        <x:v>90</x:v>
      </x:c>
      <x:c r="C58" s="5" t="n">
        <x:f>C57+B57</x:f>
        <x:v>2026</x:v>
      </x:c>
      <x:c r="D58" s="21" t="n">
        <x:f>1.04^A58</x:f>
        <x:v>8.992221596474751</x:v>
      </x:c>
      <x:c r="E58" s="5"/>
      <x:c r="F58" s="5"/>
      <x:c r="G58" s="5"/>
      <x:c r="H58" s="5"/>
    </x:row>
    <x:row r="59" ht="34" customHeight="1">
      <x:c r="A59" s="9" t="n">
        <x:v>57</x:v>
      </x:c>
      <x:c r="B59" s="5" t="n">
        <x:f>ROUNDUP(ROUND(10*1.04^A59,6),0)</x:f>
        <x:v>94</x:v>
      </x:c>
      <x:c r="C59" s="5" t="n">
        <x:f>C58+B58</x:f>
        <x:v>2116</x:v>
      </x:c>
      <x:c r="D59" s="21" t="n">
        <x:f>1.04^A59</x:f>
        <x:v>9.351910460333741</x:v>
      </x:c>
      <x:c r="E59" s="5"/>
      <x:c r="F59" s="5"/>
      <x:c r="G59" s="5"/>
      <x:c r="H59" s="5"/>
    </x:row>
    <x:row r="60" ht="34" customHeight="1">
      <x:c r="A60" s="9" t="n">
        <x:v>58</x:v>
      </x:c>
      <x:c r="B60" s="5" t="n">
        <x:f>ROUNDUP(ROUND(10*1.04^A60,6),0)</x:f>
        <x:v>98</x:v>
      </x:c>
      <x:c r="C60" s="5" t="n">
        <x:f>C59+B59</x:f>
        <x:v>2210</x:v>
      </x:c>
      <x:c r="D60" s="21" t="n">
        <x:f>1.04^A60</x:f>
        <x:v>9.725986878747092</x:v>
      </x:c>
      <x:c r="E60" s="5"/>
      <x:c r="F60" s="5"/>
      <x:c r="G60" s="5"/>
      <x:c r="H60" s="5"/>
    </x:row>
    <x:row r="61" ht="34" customHeight="1">
      <x:c r="A61" s="9" t="n">
        <x:v>59</x:v>
      </x:c>
      <x:c r="B61" s="5" t="n">
        <x:f>ROUNDUP(ROUND(10*1.04^A61,6),0)</x:f>
        <x:v>102</x:v>
      </x:c>
      <x:c r="C61" s="5" t="n">
        <x:f>C60+B60</x:f>
        <x:v>2308</x:v>
      </x:c>
      <x:c r="D61" s="21" t="n">
        <x:f>1.04^A61</x:f>
        <x:v>10.115026353896976</x:v>
      </x:c>
      <x:c r="E61" s="5"/>
      <x:c r="F61" s="5"/>
      <x:c r="G61" s="5"/>
      <x:c r="H61" s="5"/>
    </x:row>
    <x:row r="62" ht="34" customHeight="1">
      <x:c r="A62" s="9" t="n">
        <x:v>60</x:v>
      </x:c>
      <x:c r="B62" s="5" t="n">
        <x:f>ROUNDUP(ROUND(10*1.04^A62,6),0)</x:f>
        <x:v>106</x:v>
      </x:c>
      <x:c r="C62" s="5" t="n">
        <x:f>C61+B61</x:f>
        <x:v>2410</x:v>
      </x:c>
      <x:c r="D62" s="21" t="n">
        <x:f>1.04^A62</x:f>
        <x:v>10.519627408052855</x:v>
      </x:c>
      <x:c r="E62" s="5"/>
      <x:c r="F62" s="5"/>
      <x:c r="G62" s="5"/>
      <x:c r="H62" s="5"/>
    </x:row>
    <x:row r="63" ht="34" customHeight="1">
      <x:c r="A63" s="9" t="n">
        <x:v>61</x:v>
      </x:c>
      <x:c r="B63" s="5" t="n">
        <x:f>ROUNDUP(ROUND(10*1.04^A63,6),0)</x:f>
        <x:v>110</x:v>
      </x:c>
      <x:c r="C63" s="5" t="n">
        <x:f>C62+B62</x:f>
        <x:v>2516</x:v>
      </x:c>
      <x:c r="D63" s="21" t="n">
        <x:f>1.04^A63</x:f>
        <x:v>10.94041250437497</x:v>
      </x:c>
      <x:c r="E63" s="5"/>
      <x:c r="F63" s="5"/>
      <x:c r="G63" s="5"/>
      <x:c r="H63" s="5"/>
    </x:row>
    <x:row r="64" ht="34" customHeight="1">
      <x:c r="A64" s="9" t="n">
        <x:v>62</x:v>
      </x:c>
      <x:c r="B64" s="5" t="n">
        <x:f>ROUNDUP(ROUND(10*1.04^A64,6),0)</x:f>
        <x:v>114</x:v>
      </x:c>
      <x:c r="C64" s="5" t="n">
        <x:f>C63+B63</x:f>
        <x:v>2626</x:v>
      </x:c>
      <x:c r="D64" s="21" t="n">
        <x:f>1.04^A64</x:f>
        <x:v>11.378029004549969</x:v>
      </x:c>
      <x:c r="E64" s="5"/>
      <x:c r="F64" s="5"/>
      <x:c r="G64" s="5"/>
      <x:c r="H64" s="5"/>
    </x:row>
    <x:row r="65" ht="34" customHeight="1">
      <x:c r="A65" s="9" t="n">
        <x:v>63</x:v>
      </x:c>
      <x:c r="B65" s="5" t="n">
        <x:f>ROUNDUP(ROUND(10*1.04^A65,6),0)</x:f>
        <x:v>119</x:v>
      </x:c>
      <x:c r="C65" s="5" t="n">
        <x:f>C64+B64</x:f>
        <x:v>2740</x:v>
      </x:c>
      <x:c r="D65" s="21" t="n">
        <x:f>1.04^A65</x:f>
        <x:v>11.833150164731968</x:v>
      </x:c>
      <x:c r="E65" s="5"/>
      <x:c r="F65" s="5"/>
      <x:c r="G65" s="5"/>
      <x:c r="H65" s="5"/>
    </x:row>
    <x:row r="66" ht="34" customHeight="1">
      <x:c r="A66" s="9" t="n">
        <x:v>64</x:v>
      </x:c>
      <x:c r="B66" s="5" t="n">
        <x:f>ROUNDUP(ROUND(10*1.04^A66,6),0)</x:f>
        <x:v>124</x:v>
      </x:c>
      <x:c r="C66" s="5" t="n">
        <x:f>C65+B65</x:f>
        <x:v>2859</x:v>
      </x:c>
      <x:c r="D66" s="21" t="n">
        <x:f>1.04^A66</x:f>
        <x:v>12.306476171321247</x:v>
      </x:c>
      <x:c r="E66" s="5"/>
      <x:c r="F66" s="5"/>
      <x:c r="G66" s="5"/>
      <x:c r="H66" s="5"/>
    </x:row>
    <x:row r="67" ht="34" customHeight="1">
      <x:c r="A67" s="9" t="n">
        <x:v>65</x:v>
      </x:c>
      <x:c r="B67" s="5" t="n">
        <x:f>ROUNDUP(ROUND(10*1.04^A67,6),0)</x:f>
        <x:v>128</x:v>
      </x:c>
      <x:c r="C67" s="5" t="n">
        <x:f>C66+B66</x:f>
        <x:v>2983</x:v>
      </x:c>
      <x:c r="D67" s="21" t="n">
        <x:f>1.04^A67</x:f>
        <x:v>12.798735218174098</x:v>
      </x:c>
      <x:c r="E67" s="5"/>
      <x:c r="F67" s="5"/>
      <x:c r="G67" s="5"/>
      <x:c r="H67" s="5"/>
    </x:row>
    <x:row r="68" ht="34" customHeight="1">
      <x:c r="A68" s="9" t="n">
        <x:v>66</x:v>
      </x:c>
      <x:c r="B68" s="5" t="n">
        <x:f>ROUNDUP(ROUND(10*1.04^A68,6),0)</x:f>
        <x:v>134</x:v>
      </x:c>
      <x:c r="C68" s="5" t="n">
        <x:f>C67+B67</x:f>
        <x:v>3111</x:v>
      </x:c>
      <x:c r="D68" s="21" t="n">
        <x:f>1.04^A68</x:f>
        <x:v>13.310684626901063</x:v>
      </x:c>
      <x:c r="E68" s="5"/>
      <x:c r="F68" s="5"/>
      <x:c r="G68" s="5"/>
      <x:c r="H68" s="5"/>
    </x:row>
    <x:row r="69" ht="34" customHeight="1">
      <x:c r="A69" s="9" t="n">
        <x:v>67</x:v>
      </x:c>
      <x:c r="B69" s="5" t="n">
        <x:f>ROUNDUP(ROUND(10*1.04^A69,6),0)</x:f>
        <x:v>139</x:v>
      </x:c>
      <x:c r="C69" s="5" t="n">
        <x:f>C68+B68</x:f>
        <x:v>3245</x:v>
      </x:c>
      <x:c r="D69" s="21" t="n">
        <x:f>1.04^A69</x:f>
        <x:v>13.843112011977105</x:v>
      </x:c>
      <x:c r="E69" s="5"/>
      <x:c r="F69" s="5"/>
      <x:c r="G69" s="5"/>
      <x:c r="H69" s="5"/>
    </x:row>
    <x:row r="70" ht="34" customHeight="1">
      <x:c r="A70" s="9" t="n">
        <x:v>68</x:v>
      </x:c>
      <x:c r="B70" s="5" t="n">
        <x:f>ROUNDUP(ROUND(10*1.04^A70,6),0)</x:f>
        <x:v>144</x:v>
      </x:c>
      <x:c r="C70" s="5" t="n">
        <x:f>C69+B69</x:f>
        <x:v>3384</x:v>
      </x:c>
      <x:c r="D70" s="21" t="n">
        <x:f>1.04^A70</x:f>
        <x:v>14.39683649245619</x:v>
      </x:c>
      <x:c r="E70" s="5"/>
      <x:c r="F70" s="5"/>
      <x:c r="G70" s="5"/>
      <x:c r="H70" s="5"/>
    </x:row>
    <x:row r="71" ht="34" customHeight="1">
      <x:c r="A71" s="9" t="n">
        <x:v>69</x:v>
      </x:c>
      <x:c r="B71" s="5" t="n">
        <x:f>ROUNDUP(ROUND(10*1.04^A71,6),0)</x:f>
        <x:v>150</x:v>
      </x:c>
      <x:c r="C71" s="5" t="n">
        <x:f>C70+B70</x:f>
        <x:v>3528</x:v>
      </x:c>
      <x:c r="D71" s="21" t="n">
        <x:f>1.04^A71</x:f>
        <x:v>14.972709952154437</x:v>
      </x:c>
      <x:c r="E71" s="5"/>
      <x:c r="F71" s="5"/>
      <x:c r="G71" s="5"/>
      <x:c r="H71" s="5"/>
    </x:row>
    <x:row r="72" ht="34" customHeight="1">
      <x:c r="A72" s="9" t="n">
        <x:v>70</x:v>
      </x:c>
      <x:c r="B72" s="5" t="n">
        <x:f>ROUNDUP(ROUND(10*1.04^A72,6),0)</x:f>
        <x:v>156</x:v>
      </x:c>
      <x:c r="C72" s="5" t="n">
        <x:f>C71+B71</x:f>
        <x:v>3678</x:v>
      </x:c>
      <x:c r="D72" s="21" t="n">
        <x:f>1.04^A72</x:f>
        <x:v>15.571618350240616</x:v>
      </x:c>
      <x:c r="E72" s="5"/>
      <x:c r="F72" s="5"/>
      <x:c r="G72" s="5"/>
      <x:c r="H72" s="5"/>
    </x:row>
    <x:row r="73" ht="34" customHeight="1">
      <x:c r="A73" s="9" t="n">
        <x:v>71</x:v>
      </x:c>
      <x:c r="B73" s="5" t="n">
        <x:f>ROUNDUP(ROUND(10*1.04^A73,6),0)</x:f>
        <x:v>162</x:v>
      </x:c>
      <x:c r="C73" s="5" t="n">
        <x:f>C72+B72</x:f>
        <x:v>3834</x:v>
      </x:c>
      <x:c r="D73" s="21" t="n">
        <x:f>1.04^A73</x:f>
        <x:v>16.19448308425024</x:v>
      </x:c>
      <x:c r="E73" s="5"/>
      <x:c r="F73" s="5"/>
      <x:c r="G73" s="5"/>
      <x:c r="H73" s="5"/>
    </x:row>
    <x:row r="74" ht="34" customHeight="1">
      <x:c r="A74" s="9" t="n">
        <x:v>72</x:v>
      </x:c>
      <x:c r="B74" s="5" t="n">
        <x:f>ROUNDUP(ROUND(10*1.04^A74,6),0)</x:f>
        <x:v>169</x:v>
      </x:c>
      <x:c r="C74" s="5" t="n">
        <x:f>C73+B73</x:f>
        <x:v>3996</x:v>
      </x:c>
      <x:c r="D74" s="21" t="n">
        <x:f>1.04^A74</x:f>
        <x:v>16.84226240762025</x:v>
      </x:c>
      <x:c r="E74" s="5"/>
      <x:c r="F74" s="5"/>
      <x:c r="G74" s="5"/>
      <x:c r="H74" s="5"/>
    </x:row>
    <x:row r="75" ht="34" customHeight="1">
      <x:c r="A75" s="9" t="n">
        <x:v>73</x:v>
      </x:c>
      <x:c r="B75" s="5" t="n">
        <x:f>ROUNDUP(ROUND(10*1.04^A75,6),0)</x:f>
        <x:v>176</x:v>
      </x:c>
      <x:c r="C75" s="5" t="n">
        <x:f>C74+B74</x:f>
        <x:v>4165</x:v>
      </x:c>
      <x:c r="D75" s="21" t="n">
        <x:f>1.04^A75</x:f>
        <x:v>17.51595290392506</x:v>
      </x:c>
      <x:c r="E75" s="5"/>
      <x:c r="F75" s="5"/>
      <x:c r="G75" s="5"/>
      <x:c r="H75" s="5"/>
    </x:row>
    <x:row r="76" ht="34" customHeight="1">
      <x:c r="A76" s="9" t="n">
        <x:v>74</x:v>
      </x:c>
      <x:c r="B76" s="5" t="n">
        <x:f>ROUNDUP(ROUND(10*1.04^A76,6),0)</x:f>
        <x:v>183</x:v>
      </x:c>
      <x:c r="C76" s="5" t="n">
        <x:f>C75+B75</x:f>
        <x:v>4341</x:v>
      </x:c>
      <x:c r="D76" s="21" t="n">
        <x:f>1.04^A76</x:f>
        <x:v>18.216591020082063</x:v>
      </x:c>
      <x:c r="E76" s="5"/>
      <x:c r="F76" s="5"/>
      <x:c r="G76" s="5"/>
      <x:c r="H76" s="5"/>
    </x:row>
    <x:row r="77" ht="34" customHeight="1">
      <x:c r="A77" s="9" t="n">
        <x:v>75</x:v>
      </x:c>
      <x:c r="B77" s="5" t="n">
        <x:f>ROUNDUP(ROUND(10*1.04^A77,6),0)</x:f>
        <x:v>190</x:v>
      </x:c>
      <x:c r="C77" s="5" t="n">
        <x:f>C76+B76</x:f>
        <x:v>4524</x:v>
      </x:c>
      <x:c r="D77" s="21" t="n">
        <x:f>1.04^A77</x:f>
        <x:v>18.945254660885347</x:v>
      </x:c>
      <x:c r="E77" s="5"/>
      <x:c r="F77" s="5"/>
      <x:c r="G77" s="5"/>
      <x:c r="H77" s="5"/>
    </x:row>
    <x:row r="78" ht="34" customHeight="1">
      <x:c r="A78" s="9" t="n">
        <x:v>76</x:v>
      </x:c>
      <x:c r="B78" s="5" t="n">
        <x:f>ROUNDUP(ROUND(10*1.04^A78,6),0)</x:f>
        <x:v>198</x:v>
      </x:c>
      <x:c r="C78" s="5" t="n">
        <x:f>C77+B77</x:f>
        <x:v>4714</x:v>
      </x:c>
      <x:c r="D78" s="21" t="n">
        <x:f>1.04^A78</x:f>
        <x:v>19.703064847320764</x:v>
      </x:c>
      <x:c r="E78" s="5"/>
      <x:c r="F78" s="5"/>
      <x:c r="G78" s="5"/>
      <x:c r="H78" s="5"/>
    </x:row>
    <x:row r="79" ht="34" customHeight="1">
      <x:c r="A79" s="9" t="n">
        <x:v>77</x:v>
      </x:c>
      <x:c r="B79" s="5" t="n">
        <x:f>ROUNDUP(ROUND(10*1.04^A79,6),0)</x:f>
        <x:v>205</x:v>
      </x:c>
      <x:c r="C79" s="5" t="n">
        <x:f>C78+B78</x:f>
        <x:v>4912</x:v>
      </x:c>
      <x:c r="D79" s="21" t="n">
        <x:f>1.04^A79</x:f>
        <x:v>20.491187441213594</x:v>
      </x:c>
      <x:c r="E79" s="5"/>
      <x:c r="F79" s="5"/>
      <x:c r="G79" s="5"/>
      <x:c r="H79" s="5"/>
    </x:row>
    <x:row r="80" ht="34" customHeight="1">
      <x:c r="A80" s="9" t="n">
        <x:v>78</x:v>
      </x:c>
      <x:c r="B80" s="5" t="n">
        <x:f>ROUNDUP(ROUND(10*1.04^A80,6),0)</x:f>
        <x:v>214</x:v>
      </x:c>
      <x:c r="C80" s="5" t="n">
        <x:f>C79+B79</x:f>
        <x:v>5117</x:v>
      </x:c>
      <x:c r="D80" s="21" t="n">
        <x:f>1.04^A80</x:f>
        <x:v>21.31083493886214</x:v>
      </x:c>
      <x:c r="E80" s="5"/>
      <x:c r="F80" s="5"/>
      <x:c r="G80" s="5"/>
      <x:c r="H80" s="5"/>
    </x:row>
    <x:row r="81" ht="34" customHeight="1">
      <x:c r="A81" s="9" t="n">
        <x:v>79</x:v>
      </x:c>
      <x:c r="B81" s="5" t="n">
        <x:f>ROUNDUP(ROUND(10*1.04^A81,6),0)</x:f>
        <x:v>222</x:v>
      </x:c>
      <x:c r="C81" s="5" t="n">
        <x:f>C80+B80</x:f>
        <x:v>5331</x:v>
      </x:c>
      <x:c r="D81" s="21" t="n">
        <x:f>1.04^A81</x:f>
        <x:v>22.163268336416625</x:v>
      </x:c>
      <x:c r="E81" s="5"/>
      <x:c r="F81" s="5"/>
      <x:c r="G81" s="5"/>
      <x:c r="H81" s="5"/>
    </x:row>
    <x:row r="82" ht="34" customHeight="1">
      <x:c r="A82" s="9" t="n">
        <x:v>80</x:v>
      </x:c>
      <x:c r="B82" s="5" t="n">
        <x:f>ROUNDUP(ROUND(10*1.04^A82,6),0)</x:f>
        <x:v>231</x:v>
      </x:c>
      <x:c r="C82" s="5" t="n">
        <x:f>C81+B81</x:f>
        <x:v>5553</x:v>
      </x:c>
      <x:c r="D82" s="21" t="n">
        <x:f>1.04^A82</x:f>
        <x:v>23.04979906987329</x:v>
      </x:c>
      <x:c r="E82" s="5"/>
      <x:c r="F82" s="5"/>
      <x:c r="G82" s="5"/>
      <x:c r="H82" s="5"/>
    </x:row>
    <x:row r="83" ht="34" customHeight="1">
      <x:c r="A83" s="9" t="n">
        <x:v>81</x:v>
      </x:c>
      <x:c r="B83" s="5" t="n">
        <x:f>ROUNDUP(ROUND(10*1.04^A83,6),0)</x:f>
        <x:v>240</x:v>
      </x:c>
      <x:c r="C83" s="5" t="n">
        <x:f>C82+B82</x:f>
        <x:v>5784</x:v>
      </x:c>
      <x:c r="D83" s="21" t="n">
        <x:f>1.04^A83</x:f>
        <x:v>23.97179103266822</x:v>
      </x:c>
      <x:c r="E83" s="5"/>
      <x:c r="F83" s="5"/>
      <x:c r="G83" s="5"/>
      <x:c r="H83" s="5"/>
    </x:row>
    <x:row r="84" ht="34" customHeight="1">
      <x:c r="A84" s="9" t="n">
        <x:v>82</x:v>
      </x:c>
      <x:c r="B84" s="5" t="n">
        <x:f>ROUNDUP(ROUND(10*1.04^A84,6),0)</x:f>
        <x:v>250</x:v>
      </x:c>
      <x:c r="C84" s="5" t="n">
        <x:f>C83+B83</x:f>
        <x:v>6024</x:v>
      </x:c>
      <x:c r="D84" s="21" t="n">
        <x:f>1.04^A84</x:f>
        <x:v>24.930662673974954</x:v>
      </x:c>
      <x:c r="E84" s="5"/>
      <x:c r="F84" s="5"/>
      <x:c r="G84" s="5"/>
      <x:c r="H84" s="5"/>
    </x:row>
    <x:row r="85" ht="34" customHeight="1">
      <x:c r="A85" s="9" t="n">
        <x:v>83</x:v>
      </x:c>
      <x:c r="B85" s="5" t="n">
        <x:f>ROUNDUP(ROUND(10*1.04^A85,6),0)</x:f>
        <x:v>260</x:v>
      </x:c>
      <x:c r="C85" s="5" t="n">
        <x:f>C84+B84</x:f>
        <x:v>6274</x:v>
      </x:c>
      <x:c r="D85" s="21" t="n">
        <x:f>1.04^A85</x:f>
        <x:v>25.927889180933953</x:v>
      </x:c>
      <x:c r="E85" s="5"/>
      <x:c r="F85" s="5"/>
      <x:c r="G85" s="5"/>
      <x:c r="H85" s="5"/>
    </x:row>
    <x:row r="86" ht="34" customHeight="1">
      <x:c r="A86" s="9" t="n">
        <x:v>84</x:v>
      </x:c>
      <x:c r="B86" s="5" t="n">
        <x:f>ROUNDUP(ROUND(10*1.04^A86,6),0)</x:f>
        <x:v>270</x:v>
      </x:c>
      <x:c r="C86" s="5" t="n">
        <x:f>C85+B85</x:f>
        <x:v>6534</x:v>
      </x:c>
      <x:c r="D86" s="21" t="n">
        <x:f>1.04^A86</x:f>
        <x:v>26.96500474817131</x:v>
      </x:c>
      <x:c r="E86" s="5"/>
      <x:c r="F86" s="5"/>
      <x:c r="G86" s="5"/>
      <x:c r="H86" s="5"/>
    </x:row>
    <x:row r="87" ht="34" customHeight="1">
      <x:c r="A87" s="9" t="n">
        <x:v>85</x:v>
      </x:c>
      <x:c r="B87" s="5" t="n">
        <x:f>ROUNDUP(ROUND(10*1.04^A87,6),0)</x:f>
        <x:v>281</x:v>
      </x:c>
      <x:c r="C87" s="5" t="n">
        <x:f>C86+B86</x:f>
        <x:v>6804</x:v>
      </x:c>
      <x:c r="D87" s="21" t="n">
        <x:f>1.04^A87</x:f>
        <x:v>28.043604938098163</x:v>
      </x:c>
      <x:c r="E87" s="5"/>
      <x:c r="F87" s="5"/>
      <x:c r="G87" s="5"/>
      <x:c r="H87" s="5"/>
    </x:row>
    <x:row r="88" ht="34" customHeight="1">
      <x:c r="A88" s="9" t="n">
        <x:v>86</x:v>
      </x:c>
      <x:c r="B88" s="5" t="n">
        <x:f>ROUNDUP(ROUND(10*1.04^A88,6),0)</x:f>
        <x:v>292</x:v>
      </x:c>
      <x:c r="C88" s="5" t="n">
        <x:f>C87+B87</x:f>
        <x:v>7085</x:v>
      </x:c>
      <x:c r="D88" s="21" t="n">
        <x:f>1.04^A88</x:f>
        <x:v>29.16534913562209</x:v>
      </x:c>
      <x:c r="E88" s="5"/>
      <x:c r="F88" s="5"/>
      <x:c r="G88" s="5"/>
      <x:c r="H88" s="5"/>
    </x:row>
    <x:row r="89" ht="34" customHeight="1">
      <x:c r="A89" s="9" t="n">
        <x:v>87</x:v>
      </x:c>
      <x:c r="B89" s="5" t="n">
        <x:f>ROUNDUP(ROUND(10*1.04^A89,6),0)</x:f>
        <x:v>304</x:v>
      </x:c>
      <x:c r="C89" s="5" t="n">
        <x:f>C88+B88</x:f>
        <x:v>7377</x:v>
      </x:c>
      <x:c r="D89" s="21" t="n">
        <x:f>1.04^A89</x:f>
        <x:v>30.331963101046977</x:v>
      </x:c>
      <x:c r="E89" s="5"/>
      <x:c r="F89" s="5"/>
      <x:c r="G89" s="5"/>
      <x:c r="H89" s="5"/>
    </x:row>
    <x:row r="90" ht="34" customHeight="1">
      <x:c r="A90" s="9" t="n">
        <x:v>88</x:v>
      </x:c>
      <x:c r="B90" s="5" t="n">
        <x:f>ROUNDUP(ROUND(10*1.04^A90,6),0)</x:f>
        <x:v>316</x:v>
      </x:c>
      <x:c r="C90" s="5" t="n">
        <x:f>C89+B89</x:f>
        <x:v>7681</x:v>
      </x:c>
      <x:c r="D90" s="21" t="n">
        <x:f>1.04^A90</x:f>
        <x:v>31.545241625088856</x:v>
      </x:c>
      <x:c r="E90" s="5"/>
      <x:c r="F90" s="5"/>
      <x:c r="G90" s="5"/>
      <x:c r="H90" s="5"/>
    </x:row>
    <x:row r="91" ht="34" customHeight="1">
      <x:c r="A91" s="9" t="n">
        <x:v>89</x:v>
      </x:c>
      <x:c r="B91" s="5" t="n">
        <x:f>ROUNDUP(ROUND(10*1.04^A91,6),0)</x:f>
        <x:v>329</x:v>
      </x:c>
      <x:c r="C91" s="5" t="n">
        <x:f>C90+B90</x:f>
        <x:v>7997</x:v>
      </x:c>
      <x:c r="D91" s="21" t="n">
        <x:f>1.04^A91</x:f>
        <x:v>32.80705129009241</x:v>
      </x:c>
      <x:c r="E91" s="5"/>
      <x:c r="F91" s="5"/>
      <x:c r="G91" s="5"/>
      <x:c r="H91" s="5"/>
    </x:row>
    <x:row r="92" ht="34" customHeight="1">
      <x:c r="A92" s="9" t="n">
        <x:v>90</x:v>
      </x:c>
      <x:c r="B92" s="5" t="n">
        <x:f>ROUNDUP(ROUND(10*1.04^A92,6),0)</x:f>
        <x:v>342</x:v>
      </x:c>
      <x:c r="C92" s="5" t="n">
        <x:f>C91+B91</x:f>
        <x:v>8326</x:v>
      </x:c>
      <x:c r="D92" s="21" t="n">
        <x:f>1.04^A92</x:f>
        <x:v>34.11933334169611</x:v>
      </x:c>
      <x:c r="E92" s="5"/>
      <x:c r="F92" s="5"/>
      <x:c r="G92" s="5"/>
      <x:c r="H92" s="5"/>
    </x:row>
    <x:row r="93" ht="34" customHeight="1">
      <x:c r="A93" s="9" t="n">
        <x:v>91</x:v>
      </x:c>
      <x:c r="B93" s="5" t="n">
        <x:f>ROUNDUP(ROUND(10*1.04^A93,6),0)</x:f>
        <x:v>355</x:v>
      </x:c>
      <x:c r="C93" s="5" t="n">
        <x:f>C92+B92</x:f>
        <x:v>8668</x:v>
      </x:c>
      <x:c r="D93" s="21" t="n">
        <x:f>1.04^A93</x:f>
        <x:v>35.484106675363954</x:v>
      </x:c>
      <x:c r="E93" s="5"/>
      <x:c r="F93" s="5"/>
      <x:c r="G93" s="5"/>
      <x:c r="H93" s="5"/>
    </x:row>
    <x:row r="94" ht="34" customHeight="1">
      <x:c r="A94" s="9" t="n">
        <x:v>92</x:v>
      </x:c>
      <x:c r="B94" s="5" t="n">
        <x:f>ROUNDUP(ROUND(10*1.04^A94,6),0)</x:f>
        <x:v>370</x:v>
      </x:c>
      <x:c r="C94" s="5" t="n">
        <x:f>C93+B93</x:f>
        <x:v>9023</x:v>
      </x:c>
      <x:c r="D94" s="21" t="n">
        <x:f>1.04^A94</x:f>
        <x:v>36.90347094237851</x:v>
      </x:c>
      <x:c r="E94" s="5"/>
      <x:c r="F94" s="5"/>
      <x:c r="G94" s="5"/>
      <x:c r="H94" s="5"/>
    </x:row>
    <x:row r="95" ht="34" customHeight="1">
      <x:c r="A95" s="9" t="n">
        <x:v>93</x:v>
      </x:c>
      <x:c r="B95" s="5" t="n">
        <x:f>ROUNDUP(ROUND(10*1.04^A95,6),0)</x:f>
        <x:v>384</x:v>
      </x:c>
      <x:c r="C95" s="5" t="n">
        <x:f>C94+B94</x:f>
        <x:v>9393</x:v>
      </x:c>
      <x:c r="D95" s="21" t="n">
        <x:f>1.04^A95</x:f>
        <x:v>38.37960978007366</x:v>
      </x:c>
      <x:c r="E95" s="5"/>
      <x:c r="F95" s="5"/>
      <x:c r="G95" s="5"/>
      <x:c r="H95" s="5"/>
    </x:row>
    <x:row r="96" ht="34" customHeight="1">
      <x:c r="A96" s="9" t="n">
        <x:v>94</x:v>
      </x:c>
      <x:c r="B96" s="5" t="n">
        <x:f>ROUNDUP(ROUND(10*1.04^A96,6),0)</x:f>
        <x:v>400</x:v>
      </x:c>
      <x:c r="C96" s="5" t="n">
        <x:f>C95+B95</x:f>
        <x:v>9777</x:v>
      </x:c>
      <x:c r="D96" s="21" t="n">
        <x:f>1.04^A96</x:f>
        <x:v>39.914794171276604</x:v>
      </x:c>
      <x:c r="E96" s="5"/>
      <x:c r="F96" s="5"/>
      <x:c r="G96" s="5"/>
      <x:c r="H96" s="5"/>
    </x:row>
    <x:row r="97" ht="34" customHeight="1">
      <x:c r="A97" s="9" t="n">
        <x:v>95</x:v>
      </x:c>
      <x:c r="B97" s="5" t="n">
        <x:f>ROUNDUP(ROUND(10*1.04^A97,6),0)</x:f>
        <x:v>416</x:v>
      </x:c>
      <x:c r="C97" s="5" t="n">
        <x:f>C96+B96</x:f>
        <x:v>10177</x:v>
      </x:c>
      <x:c r="D97" s="21" t="n">
        <x:f>1.04^A97</x:f>
        <x:v>41.51138593812767</x:v>
      </x:c>
      <x:c r="E97" s="5"/>
      <x:c r="F97" s="5"/>
      <x:c r="G97" s="5"/>
      <x:c r="H97" s="5"/>
    </x:row>
    <x:row r="98" ht="34" customHeight="1">
      <x:c r="A98" s="9" t="n">
        <x:v>96</x:v>
      </x:c>
      <x:c r="B98" s="5" t="n">
        <x:f>ROUNDUP(ROUND(10*1.04^A98,6),0)</x:f>
        <x:v>432</x:v>
      </x:c>
      <x:c r="C98" s="5" t="n">
        <x:f>C97+B97</x:f>
        <x:v>10593</x:v>
      </x:c>
      <x:c r="D98" s="21" t="n">
        <x:f>1.04^A98</x:f>
        <x:v>43.171841375652775</x:v>
      </x:c>
      <x:c r="E98" s="5"/>
      <x:c r="F98" s="5"/>
      <x:c r="G98" s="5"/>
      <x:c r="H98" s="5"/>
    </x:row>
    <x:row r="99" ht="34" customHeight="1">
      <x:c r="A99" s="9" t="n">
        <x:v>97</x:v>
      </x:c>
      <x:c r="B99" s="5" t="n">
        <x:f>ROUNDUP(ROUND(10*1.04^A99,6),0)</x:f>
        <x:v>449</x:v>
      </x:c>
      <x:c r="C99" s="5" t="n">
        <x:f>C98+B98</x:f>
        <x:v>11025</x:v>
      </x:c>
      <x:c r="D99" s="21" t="n">
        <x:f>1.04^A99</x:f>
        <x:v>44.89871503067889</x:v>
      </x:c>
      <x:c r="E99" s="5"/>
      <x:c r="F99" s="5"/>
      <x:c r="G99" s="5"/>
      <x:c r="H99" s="5"/>
    </x:row>
    <x:row r="100" ht="34" customHeight="1">
      <x:c r="A100" s="9" t="n">
        <x:v>98</x:v>
      </x:c>
      <x:c r="B100" s="5" t="n">
        <x:f>ROUNDUP(ROUND(10*1.04^A100,6),0)</x:f>
        <x:v>467</x:v>
      </x:c>
      <x:c r="C100" s="5" t="n">
        <x:f>C99+B99</x:f>
        <x:v>11474</x:v>
      </x:c>
      <x:c r="D100" s="21" t="n">
        <x:f>1.04^A100</x:f>
        <x:v>46.694663631906046</x:v>
      </x:c>
      <x:c r="E100" s="5"/>
      <x:c r="F100" s="5"/>
      <x:c r="G100" s="5"/>
      <x:c r="H100" s="5"/>
    </x:row>
    <x:row r="101" ht="34" customHeight="1">
      <x:c r="A101" s="9" t="n">
        <x:v>99</x:v>
      </x:c>
      <x:c r="B101" s="5" t="n">
        <x:f>ROUNDUP(ROUND(10*1.04^A101,6),0)</x:f>
        <x:v>486</x:v>
      </x:c>
      <x:c r="C101" s="5" t="n">
        <x:f>C100+B100</x:f>
        <x:v>11941</x:v>
      </x:c>
      <x:c r="D101" s="21" t="n">
        <x:f>1.04^A101</x:f>
        <x:v>48.56245017718229</x:v>
      </x:c>
      <x:c r="E101" s="5"/>
      <x:c r="F101" s="5"/>
      <x:c r="G101" s="5"/>
      <x:c r="H101" s="5"/>
    </x:row>
    <x:row r="102" ht="34" customHeight="1">
      <x:c r="A102" s="9" t="n">
        <x:v>100</x:v>
      </x:c>
      <x:c r="B102" s="5"/>
      <x:c r="C102" s="5" t="n">
        <x:f>C101+B101</x:f>
        <x:v>12427</x:v>
      </x:c>
      <x:c r="D102" s="21" t="n">
        <x:f>1.04^A102</x:f>
        <x:v>50.50494818426959</x:v>
      </x:c>
      <x:c r="E102" s="5"/>
      <x:c r="F102" s="5"/>
      <x:c r="G102" s="5"/>
      <x:c r="H102" s="5"/>
    </x:row>
  </x:sheetData>
  <x:pageMargins left="0.7" right="0.7" top="0.75" bottom="0.75" header="0.3" footer="0.3"/>
  <x:tableParts count="1">
    <x:tablePart xmlns:r="http://schemas.openxmlformats.org/officeDocument/2006/relationships" r:id="R8363c378f7ec4707"/>
  </x:tableParts>
</x:worksheet>
</file>

<file path=xl/worksheets/sheet6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83" hidden="0" customWidth="1"/>
    <x:col min="4" max="4" width="73" hidden="0" customWidth="1"/>
    <x:col min="5" max="5" width="83" hidden="0" customWidth="1"/>
    <x:col min="6" max="6" width="78" hidden="0" customWidth="1"/>
    <x:col min="7" max="7" width="86" hidden="0" customWidth="1"/>
    <x:col min="8" max="8" width="86" hidden="0" customWidth="1"/>
    <x:col min="9" max="9" width="86" hidden="0" customWidth="1"/>
    <x:col min="10" max="10" width="88" hidden="0" customWidth="1"/>
  </x:cols>
  <x:sheetData>
    <x:row r="1" ht="46" customHeight="1">
      <x:c r="A1" s="8" t="str">
        <x:v>SkillId</x:v>
      </x:c>
      <x:c r="B1" s="8" t="str">
        <x:v>Key</x:v>
      </x:c>
      <x:c r="C1" s="8" t="str">
        <x:v>SkillAssetPath</x:v>
      </x:c>
      <x:c r="D1" s="8" t="str">
        <x:v>IconPath</x:v>
      </x:c>
      <x:c r="E1" s="8" t="str">
        <x:v>BloomIconPath</x:v>
      </x:c>
      <x:c r="F1" s="8" t="str">
        <x:v>EffectPrefabPath</x:v>
      </x:c>
      <x:c r="G1" s="8" t="str">
        <x:v>CastingPrefabPath</x:v>
      </x:c>
      <x:c r="H1" s="8" t="str">
        <x:v>SecondaryPrefabPath</x:v>
      </x:c>
      <x:c r="I1" s="8" t="str">
        <x:v>BloomPrefabPath</x:v>
      </x:c>
      <x:c r="J1" s="8" t="str">
        <x:v>BloomCastingPrefabPath</x:v>
      </x:c>
    </x:row>
    <x:row r="2" ht="34" customHeight="1">
      <x:c r="A2" s="9" t="n">
        <x:v>0</x:v>
      </x:c>
      <x:c r="B2" s="16" t="str">
        <x:f>'Skills'!B2</x:f>
        <x:v>Lightning</x:v>
      </x:c>
      <x:c r="C2" s="5" t="str">
        <x:v>Assets/MageTower/SO/Lightning/MageTowerSkill_Lightning.asset</x:v>
      </x:c>
      <x:c r="D2" s="5" t="str">
        <x:v>Assets/_Project/Art/Icons/MageTower/Lightning.png</x:v>
      </x:c>
      <x:c r="E2" s="5" t="str">
        <x:v>Assets/_Project/Art/Icons/MageTower/Lightning_Bloom.png</x:v>
      </x:c>
      <x:c r="F2" s="5" t="str">
        <x:v>Assets/_Project/Prefabs/VFX/MageTower/Lightning.prefab</x:v>
      </x:c>
      <x:c r="G2" s="5"/>
      <x:c r="H2" s="5"/>
      <x:c r="I2" s="5" t="str">
        <x:v>Assets/_Project/Prefabs/VFX/MageTower/LightningBloomStrike.prefab</x:v>
      </x:c>
      <x:c r="J2" s="5" t="str">
        <x:v>Assets/_Project/Prefabs/VFX/MageTower/LightningBloomCloud.prefab</x:v>
      </x:c>
    </x:row>
    <x:row r="3" ht="34" customHeight="1">
      <x:c r="A3" s="9" t="n">
        <x:v>1</x:v>
      </x:c>
      <x:c r="B3" s="16" t="str">
        <x:f>'Skills'!B3</x:f>
        <x:v>IceSpike</x:v>
      </x:c>
      <x:c r="C3" s="5" t="str">
        <x:v>Assets/MageTower/SO/IceSpike/MageTowerSkill_IceSpike.asset</x:v>
      </x:c>
      <x:c r="D3" s="5" t="str">
        <x:v>Assets/_Project/Art/Icons/MageTower/IceSpike.png</x:v>
      </x:c>
      <x:c r="E3" s="5" t="str">
        <x:v>Assets/_Project/Art/Icons/MageTower/IceSpike_Bloom.png</x:v>
      </x:c>
      <x:c r="F3" s="5" t="str">
        <x:v>Assets/_Project/Prefabs/VFX/MageTower/IceSpike.prefab</x:v>
      </x:c>
      <x:c r="G3" s="5"/>
      <x:c r="H3" s="5"/>
      <x:c r="I3" s="5" t="str">
        <x:v>Assets/_Project/Prefabs/VFX/MageTower/IceBloomCrystal.prefab</x:v>
      </x:c>
      <x:c r="J3" s="5" t="str">
        <x:v>Assets/_Project/Prefabs/VFX/MageTower/IceBloomWarning.prefab</x:v>
      </x:c>
    </x:row>
    <x:row r="4" ht="34" customHeight="1">
      <x:c r="A4" s="9" t="n">
        <x:v>2</x:v>
      </x:c>
      <x:c r="B4" s="16" t="str">
        <x:f>'Skills'!B4</x:f>
        <x:v>FireTornado</x:v>
      </x:c>
      <x:c r="C4" s="5" t="str">
        <x:v>Assets/MageTower/SO/FireTornado/MageTowerSkill_FireTornado.asset</x:v>
      </x:c>
      <x:c r="D4" s="5" t="str">
        <x:v>Assets/_Project/Art/Icons/MageTower/FireTornado.png</x:v>
      </x:c>
      <x:c r="E4" s="5" t="str">
        <x:v>Assets/_Project/Art/Icons/MageTower/FireTornado_Bloom.png</x:v>
      </x:c>
      <x:c r="F4" s="5" t="str">
        <x:v>Assets/_Project/Prefabs/VFX/MageTower/FireTornado.prefab</x:v>
      </x:c>
      <x:c r="G4" s="5"/>
      <x:c r="H4" s="5"/>
      <x:c r="I4" s="5"/>
      <x:c r="J4" s="5"/>
    </x:row>
    <x:row r="5" ht="34" customHeight="1">
      <x:c r="A5" s="9" t="n">
        <x:v>3</x:v>
      </x:c>
      <x:c r="B5" s="16" t="str">
        <x:f>'Skills'!B5</x:f>
        <x:v>ArcaneVolley</x:v>
      </x:c>
      <x:c r="C5" s="5" t="str">
        <x:v>Assets/MageTower/SO/ArcaneVolley/MageTowerSkill_ArcaneVolley.asset</x:v>
      </x:c>
      <x:c r="D5" s="5" t="str">
        <x:v>Assets/_Project/Art/Icons/MageTower/ArcaneVolley.png</x:v>
      </x:c>
      <x:c r="E5" s="5" t="str">
        <x:v>Assets/_Project/Art/Icons/MageTower/ArcaneVolley_Bloom.png</x:v>
      </x:c>
      <x:c r="F5" s="5" t="str">
        <x:v>Assets/_Project/Prefabs/VFX/MageTower/ArcaneVolley.prefab</x:v>
      </x:c>
      <x:c r="G5" s="5"/>
      <x:c r="H5" s="5" t="str">
        <x:v>Assets/_Project/Prefabs/VFX/MageTower/ArcaneImpact.prefab</x:v>
      </x:c>
      <x:c r="I5" s="5"/>
      <x:c r="J5" s="5"/>
    </x:row>
    <x:row r="6" ht="34" customHeight="1">
      <x:c r="A6" s="9" t="n">
        <x:v>4</x:v>
      </x:c>
      <x:c r="B6" s="16" t="str">
        <x:f>'Skills'!B6</x:f>
        <x:v>VenomMist</x:v>
      </x:c>
      <x:c r="C6" s="5" t="str">
        <x:v>Assets/MageTower/SO/VenomMist/MageTowerSkill_VenomMist.asset</x:v>
      </x:c>
      <x:c r="D6" s="5" t="str">
        <x:v>Assets/_Project/Art/Icons/MageTower/VenomMist.png</x:v>
      </x:c>
      <x:c r="E6" s="5" t="str">
        <x:v>Assets/_Project/Art/Icons/MageTower/VenomMist_Bloom.png</x:v>
      </x:c>
      <x:c r="F6" s="5" t="str">
        <x:v>Assets/_Project/Prefabs/VFX/MageTower/VenomMist.prefab</x:v>
      </x:c>
      <x:c r="G6" s="5"/>
      <x:c r="H6" s="5"/>
      <x:c r="I6" s="5"/>
      <x:c r="J6" s="5"/>
    </x:row>
    <x:row r="7" ht="34" customHeight="1">
      <x:c r="A7" s="9" t="n">
        <x:v>5</x:v>
      </x:c>
      <x:c r="B7" s="16" t="str">
        <x:f>'Skills'!B7</x:f>
        <x:v>StoneSeal</x:v>
      </x:c>
      <x:c r="C7" s="5" t="str">
        <x:v>Assets/MageTower/SO/StoneSeal/MageTowerSkill_StoneSeal.asset</x:v>
      </x:c>
      <x:c r="D7" s="5" t="str">
        <x:v>Assets/_Project/Art/Icons/MageTower/StoneSeal.png</x:v>
      </x:c>
      <x:c r="E7" s="5" t="str">
        <x:v>Assets/_Project/Art/Icons/MageTower/StoneSeal_Bloom.png</x:v>
      </x:c>
      <x:c r="F7" s="5" t="str">
        <x:v>Assets/_Project/Prefabs/VFX/MageTower/StoneSeal.prefab</x:v>
      </x:c>
      <x:c r="G7" s="5" t="str">
        <x:v>Assets/_Project/Prefabs/VFX/MageTower/GroundTelegraph.prefab</x:v>
      </x:c>
      <x:c r="H7" s="5"/>
      <x:c r="I7" s="5"/>
      <x:c r="J7" s="5"/>
    </x:row>
    <x:row r="8" ht="34" customHeight="1">
      <x:c r="A8" s="9" t="n">
        <x:v>7</x:v>
      </x:c>
      <x:c r="B8" s="16" t="str">
        <x:f>'Skills'!B8</x:f>
        <x:v>Sanctuary</x:v>
      </x:c>
      <x:c r="C8" s="5" t="str">
        <x:v>Assets/MageTower/SO/Sanctuary/MageTowerSkill_Sanctuary.asset</x:v>
      </x:c>
      <x:c r="D8" s="5" t="str">
        <x:v>Assets/_Project/Art/Icons/MageTower/Sanctuary.png</x:v>
      </x:c>
      <x:c r="E8" s="5" t="str">
        <x:v>Assets/_Project/Art/Icons/MageTower/Sanctuary_Bloom.png</x:v>
      </x:c>
      <x:c r="F8" s="5" t="str">
        <x:v>Assets/_Project/Prefabs/VFX/MageTower/Sanctuary.prefab</x:v>
      </x:c>
      <x:c r="G8" s="5"/>
      <x:c r="H8" s="5" t="str">
        <x:v>Assets/_Project/Prefabs/VFX/MageTower/SanctuaryHeal.prefab</x:v>
      </x:c>
      <x:c r="I8" s="5"/>
      <x:c r="J8" s="5"/>
    </x:row>
    <x:row r="9" ht="34" customHeight="1">
      <x:c r="A9" s="9" t="n">
        <x:v>8</x:v>
      </x:c>
      <x:c r="B9" s="16" t="str">
        <x:f>'Skills'!B9</x:f>
        <x:v>Meteor</x:v>
      </x:c>
      <x:c r="C9" s="5" t="str">
        <x:v>Assets/MageTower/SO/Meteor/MageTowerSkill_Meteor.asset</x:v>
      </x:c>
      <x:c r="D9" s="5" t="str">
        <x:v>Assets/_Project/Art/Icons/MageTower/Meteor.png</x:v>
      </x:c>
      <x:c r="E9" s="5" t="str">
        <x:v>Assets/_Project/Art/Icons/MageTower/Meteor_Bloom.png</x:v>
      </x:c>
      <x:c r="F9" s="5" t="str">
        <x:v>Assets/_Project/Prefabs/VFX/MageTower/Meteor.prefab</x:v>
      </x:c>
      <x:c r="G9" s="5" t="str">
        <x:v>Assets/_Project/Prefabs/VFX/MageTower/GroundTelegraph.prefab</x:v>
      </x:c>
      <x:c r="H9" s="5" t="str">
        <x:v>Assets/_Project/Prefabs/VFX/MageTower/MeteorCrater.prefab</x:v>
      </x:c>
      <x:c r="I9" s="5"/>
      <x:c r="J9" s="5"/>
    </x:row>
    <x:row r="10" ht="34" customHeight="1">
      <x:c r="A10" s="9" t="n">
        <x:v>9</x:v>
      </x:c>
      <x:c r="B10" s="16" t="str">
        <x:f>'Skills'!B10</x:f>
        <x:v>VoidRift</x:v>
      </x:c>
      <x:c r="C10" s="5" t="str">
        <x:v>Assets/MageTower/SO/VoidRift/MageTowerSkill_VoidRift.asset</x:v>
      </x:c>
      <x:c r="D10" s="5" t="str">
        <x:v>Assets/_Project/Art/Icons/MageTower/VoidRift.png</x:v>
      </x:c>
      <x:c r="E10" s="5" t="str">
        <x:v>Assets/_Project/Art/Icons/MageTower/VoidRift_Bloom.png</x:v>
      </x:c>
      <x:c r="F10" s="5" t="str">
        <x:v>Assets/_Project/Prefabs/VFX/MageTower/VoidRift.prefab</x:v>
      </x:c>
      <x:c r="G10" s="5"/>
      <x:c r="H10" s="5" t="str">
        <x:v>Assets/_Project/Prefabs/VFX/MageTower/VoidCollapse.prefab</x:v>
      </x:c>
      <x:c r="I10" s="5"/>
      <x:c r="J10" s="5"/>
    </x:row>
    <x:row r="11" ht="34" customHeight="1">
      <x:c r="A11" s="9"/>
      <x:c r="B11" s="16"/>
      <x:c r="C11" s="5"/>
      <x:c r="D11" s="5"/>
      <x:c r="E11" s="5"/>
      <x:c r="F11" s="5"/>
      <x:c r="G11" s="5"/>
      <x:c r="H11" s="5"/>
      <x:c r="I11" s="5"/>
      <x:c r="J11" s="5"/>
    </x:row>
  </x:sheetData>
  <x:pageMargins left="0.7" right="0.7" top="0.75" bottom="0.75" header="0.3" footer="0.3"/>
  <x:tableParts count="1">
    <x:tablePart xmlns:r="http://schemas.openxmlformats.org/officeDocument/2006/relationships" r:id="R6f47310ac26043f9"/>
  </x:tableParts>
</x:worksheet>
</file>

<file path=xl/worksheets/sheet7.xml><?xml version="1.0" encoding="utf-8"?>
<x:worksheet xmlns:x="http://schemas.openxmlformats.org/spreadsheetml/2006/main">
  <x:sheetPr>
    <x:tabColor rgb="FF2D6176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42" hidden="0" customWidth="1"/>
    <x:col min="3" max="3" width="72" hidden="0" customWidth="1"/>
    <x:col min="4" max="4" width="56" hidden="0" customWidth="1"/>
  </x:cols>
  <x:sheetData>
    <x:row r="1" ht="46" customHeight="1">
      <x:c r="A1" s="8" t="str">
        <x:v>SkillId</x:v>
      </x:c>
      <x:c r="B1" s="8" t="str">
        <x:v>지점 선택</x:v>
      </x:c>
      <x:c r="C1" s="8" t="str">
        <x:v>판정과 대상</x:v>
      </x:c>
      <x:c r="D1" s="8" t="str">
        <x:v>표시 순서</x:v>
      </x:c>
    </x:row>
    <x:row r="2" ht="76" customHeight="1">
      <x:c r="A2" s="9" t="n">
        <x:v>0</x:v>
      </x:c>
      <x:c r="B2" s="5" t="str">
        <x:v>적이 가장 많이 모인 지점</x:v>
      </x:c>
      <x:c r="C2" s="5" t="str">
        <x:v>고정 원형 범위 · 천벌의 구름 높이와 벼락 길이는 상단 여백에 맞춤
연출 높이 보정으로 타격 지점을 아래로 이동하지 않음</x:v>
      </x:c>
      <x:c r="D2" s="5" t="str">
        <x:v>즉발 낙뢰 전면 · 구름 전면</x:v>
      </x:c>
    </x:row>
    <x:row r="3" ht="76" customHeight="1">
      <x:c r="A3" s="9" t="n">
        <x:v>1</x:v>
      </x:c>
      <x:c r="B3" s="5" t="str">
        <x:v>전장의 유효 적 순회</x:v>
      </x:c>
      <x:c r="C3" s="5" t="str">
        <x:v>개화는 시전 시작 시 단일/다수 분기</x:v>
      </x:c>
      <x:c r="D3" s="5" t="str">
        <x:v>빙정 전면 · 바닥 예고 후면</x:v>
      </x:c>
    </x:row>
    <x:row r="4" ht="76" customHeight="1">
      <x:c r="A4" s="9" t="n">
        <x:v>2</x:v>
      </x:c>
      <x:c r="B4" s="5" t="str">
        <x:v>현재 중심에 가까운 살아 있는 적 추적</x:v>
      </x:c>
      <x:c r="C4" s="5" t="str">
        <x:v>이동 장판 안 최대 3체</x:v>
      </x:c>
      <x:c r="D4" s="5" t="str">
        <x:v>지속 장판 후면</x:v>
      </x:c>
    </x:row>
    <x:row r="5" ht="76" customHeight="1">
      <x:c r="A5" s="9" t="n">
        <x:v>3</x:v>
      </x:c>
      <x:c r="B5" s="5" t="str">
        <x:v>전장 내 적을 차례로 선택</x:v>
      </x:c>
      <x:c r="C5" s="5" t="str">
        <x:v>별빛은 비행 전반 70% 동안 대상을 추적한 뒤 낙하 지점을 확정
0.22초 간격 · 비행 0.48초</x:v>
      </x:c>
      <x:c r="D5" s="5" t="str">
        <x:v>낙하와 충돌 전면</x:v>
      </x:c>
    </x:row>
    <x:row r="6" ht="76" customHeight="1">
      <x:c r="A6" s="9" t="n">
        <x:v>4</x:v>
      </x:c>
      <x:c r="B6" s="5" t="str">
        <x:v>적이 가장 많이 모인 지점 · 가장자리 안쪽 보정</x:v>
      </x:c>
      <x:c r="C6" s="5" t="str">
        <x:v>고정 장판 안 최대 5체 · 틱마다 재판정 · 감속 25%, 기절과 별도 유지</x:v>
      </x:c>
      <x:c r="D6" s="5" t="str">
        <x:v>지속 장판 후면</x:v>
      </x:c>
    </x:row>
    <x:row r="7" ht="76" customHeight="1">
      <x:c r="A7" s="9" t="n">
        <x:v>5</x:v>
      </x:c>
      <x:c r="B7" s="5" t="str">
        <x:v>적이 가장 많이 모인 지점</x:v>
      </x:c>
      <x:c r="C7" s="5" t="str">
        <x:v>고정 범위 최대 4체 · 기절이 기존 감속을 지우지 않음</x:v>
      </x:c>
      <x:c r="D7" s="5" t="str">
        <x:v>바닥 예고 후면 · 솟는 바위 전면</x:v>
      </x:c>
    </x:row>
    <x:row r="8" ht="76" customHeight="1">
      <x:c r="A8" s="9" t="n">
        <x:v>7</x:v>
      </x:c>
      <x:c r="B8" s="5" t="str">
        <x:v>생존 아군 중 HP 비율 최저</x:v>
      </x:c>
      <x:c r="C8" s="5" t="str">
        <x:v>매 회복마다 대상 재선정</x:v>
      </x:c>
      <x:c r="D8" s="5" t="str">
        <x:v>한 번 등장 후 지속시간 동안 회복 파동. 종료 시 한 번 퇴장</x:v>
      </x:c>
    </x:row>
    <x:row r="9" ht="76" customHeight="1">
      <x:c r="A9" s="9" t="n">
        <x:v>8</x:v>
      </x:c>
      <x:c r="B9" s="5" t="str">
        <x:v>적이 가장 많이 모인 지점 · 가장자리 안쪽 보정</x:v>
      </x:c>
      <x:c r="C9" s="5" t="str">
        <x:v>예고 위치 고정 · 충돌 후 잔열 2회</x:v>
      </x:c>
      <x:c r="D9" s="5" t="str">
        <x:v>운석과 폭발 전면 · 잔열 후면</x:v>
      </x:c>
    </x:row>
    <x:row r="10" ht="76" customHeight="1">
      <x:c r="A10" s="9" t="n">
        <x:v>9</x:v>
      </x:c>
      <x:c r="B10" s="5" t="str">
        <x:v>공중 균열, 피해 반경 1.3, 흡입 반경 1.95 월드 단위</x:v>
      </x:c>
      <x:c r="C10" s="5" t="str">
        <x:v>흡입은 보이는 균열보다 50% 넓게 적용. 피해·붕괴 반경 유지</x:v>
      </x:c>
      <x:c r="D10" s="5" t="str">
        <x:v>지속 균열 후면 · 붕괴 전면</x:v>
      </x:c>
    </x:row>
    <x:row r="11" ht="76" customHeight="1">
      <x:c r="A11" s="9"/>
      <x:c r="B11" s="5"/>
      <x:c r="C11" s="5"/>
      <x:c r="D11" s="5"/>
    </x:row>
  </x:sheetData>
  <x:pageMargins left="0.7" right="0.7" top="0.75" bottom="0.75" header="0.3" footer="0.3"/>
  <x:tableParts count="1">
    <x:tablePart xmlns:r="http://schemas.openxmlformats.org/officeDocument/2006/relationships" r:id="Ra3f445c770e24027"/>
  </x:tableParts>
</x:worksheet>
</file>

<file path=xl/worksheets/sheet8.xml><?xml version="1.0" encoding="utf-8"?>
<x:worksheet xmlns:x="http://schemas.openxmlformats.org/spreadsheetml/2006/main">
  <x:sheetPr>
    <x:tabColor rgb="FF70858C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116" hidden="0" customWidth="1"/>
  </x:cols>
  <x:sheetData>
    <x:row r="1" ht="46" customHeight="1">
      <x:c r="A1" s="8" t="str">
        <x:v>Topic</x:v>
      </x:c>
      <x:c r="B1" s="8" t="str">
        <x:v>Description</x:v>
      </x:c>
    </x:row>
    <x:row r="2" ht="62" customHeight="1">
      <x:c r="A2" s="5" t="str">
        <x:v>편성 조작</x:v>
      </x:c>
      <x:c r="B2" s="5" t="str">
        <x:v>슬롯 선택 → 스킬 선택 → 장착 또는 교체. 다른 슬롯의 스킬을 고르면 원자적으로 자리 바꾸기. 해제·교체는 진행 중인 효과를 취소하지 않으며 슬롯 및 스킬 쿨타임을 모두 보존합니다.</x:v>
      </x:c>
    </x:row>
    <x:row r="3" ht="62" customHeight="1">
      <x:c r="A3" s="5" t="str">
        <x:v>시전 기록</x:v>
      </x:c>
      <x:c r="B3" s="5" t="str">
        <x:v>스킬 시전 카운터는 메모리에 즉시 반영하고 짧게 묶어 비동기로 저장합니다. 재화 거래는 앞선 저장 완료를 확인한 뒤 기록하며 앱 백그라운드와 계정 전환에서 남은 카운터를 저장합니다.</x:v>
      </x:c>
    </x:row>
    <x:row r="4" ht="62" customHeight="1">
      <x:c r="A4" s="5" t="str">
        <x:v>용도</x:v>
      </x:c>
      <x:c r="B4" s="5" t="str">
        <x:v>개발자 열람용 스킬 카탈로그입니다. 현재 런타임 원본은 MageTowerSkillList와 각 MageTowerSkillSO입니다. 이 파일의 편집 내용은 자동으로 게임에 반영되지 않습니다.</x:v>
      </x:c>
    </x:row>
    <x:row r="5" ht="62" customHeight="1">
      <x:c r="A5" s="5" t="str">
        <x:v>수정 절차</x:v>
      </x:c>
      <x:c r="B5" s="5" t="str">
        <x:v>스킬 데이터와 동작을 수정한 뒤 카탈로그를 함께 갱신합니다. 향후 임포터 연결 시 SkillId와 Key를 고정 키로 사용하고 수치 검증 후 데이터베이스를 교체합니다.</x:v>
      </x:c>
    </x:row>
    <x:row r="6" ht="62" customHeight="1">
      <x:c r="A6" s="5" t="str">
        <x:v>버전</x:v>
      </x:c>
      <x:c r="B6" s="5" t="str">
        <x:v>게임 0.12.0. 스킬 데이터 계약 mage-4. 9종, ID 0–5·7–9. 삭제된 ID 6은 재사용하지 않습니다.</x:v>
      </x:c>
    </x:row>
    <x:row r="7" ht="62" customHeight="1">
      <x:c r="A7" s="5" t="str">
        <x:v>단위</x:v>
      </x:c>
      <x:c r="B7" s="5" t="str">
        <x:v>BasePower는 강화 전 한 번의 피해 또는 회복량입니다. RadiusWU는 월드 단위입니다. Bloom 배율은 강화·각성을 반영한 1회 효과량에 곱합니다.</x:v>
      </x:c>
    </x:row>
    <x:row r="8" ht="62" customHeight="1">
      <x:c r="A8" s="5" t="str">
        <x:v>공통 성장</x:v>
      </x:c>
      <x:c r="B8" s="5" t="str">
        <x:v>직접 강화 E는 비전 지식으로 0~100, 각성 A는 동일 스킬 파편으로 0~10. A4/A8에 각각 1회 추가(화염 회오리는 2틱), A마다 효과량 +5%와 쿨타임 -2%. 운석은 고정 1회 충돌과 잔열 2회이며 타격 수 보너스를 사용하지 않습니다.</x:v>
      </x:c>
    </x:row>
    <x:row r="9" ht="62" customHeight="1">
      <x:c r="A9" s="5" t="str">
        <x:v>개화 저장</x:v>
      </x:c>
      <x:c r="B9" s="5" t="str">
        <x:v>A10에서 해금되며 기본은 꺼짐입니다. 마탑 상세에서 전환하고 다음 시전부터 적용합니다. 진행 중인 시전의 배율·대상 조건·쿨타임은 바뀌지 않습니다.</x:v>
      </x:c>
    </x:row>
    <x:row r="10" ht="62" customHeight="1">
      <x:c r="A10" s="5" t="str">
        <x:v>회복과 전투력</x:v>
      </x:c>
      <x:c r="B10" s="5" t="str">
        <x:v>회복의 성역은 살아있는 아군 중 HP 비율이 가장 낮은 대상을 반복 회복합니다. 전원이 HP 90% 이상이면 자동 시전을 보류합니다. 회복·제어 효용은 단일 대상 DPS 기반 전투력에 더하지 않습니다.</x:v>
      </x:c>
    </x:row>
    <x:row r="11" ht="62" customHeight="1">
      <x:c r="A11" s="5" t="str">
        <x:v>확률</x:v>
      </x:c>
      <x:c r="B11" s="5" t="str">
        <x:v>전체 뽑기는 스킬 50%, 비전 지식 10개 30%·20개 15%·50개 5%. 9종 스킬은 같은 확률(각 50%/9)입니다.</x:v>
      </x:c>
    </x:row>
    <x:row r="12" ht="62" customHeight="1">
      <x:c r="A12" s="5" t="str">
        <x:v>파편</x:v>
      </x:c>
      <x:c r="B12" s="5" t="str">
        <x:v>첫 획득은 해금만 지급합니다. 모든 스킬의 중복 뽑기는 30파편입니다. 메인 최초 보상의 기존 중복 대체 및 명시적 파편 보상은 1개 단위를 유지합니다.</x:v>
      </x:c>
    </x:row>
    <x:row r="13" ht="62" customHeight="1">
      <x:c r="A13" s="5" t="str">
        <x:v>투자 기간</x:v>
      </x:c>
      <x:c r="B13" s="5" t="str">
        <x:v>각성 누적 55파편. 주당 21회 마탑 뽑기 기준으로 미보유 특정 스킬의 평균 개화 기간은 54회, 약 2.57주입니다. 기존 파편과 최초 보상은 제외합니다.</x:v>
      </x:c>
    </x:row>
    <x:row r="14" ht="62" customHeight="1">
      <x:c r="A14" s="5" t="str">
        <x:v>확률 편차</x:v>
      </x:c>
      <x:c r="B14" s="5" t="str">
        <x:v>Acquisition의 P90은 정확한 음이항 계산입니다. 스킬당 95회까지 약 90%가 목표를 달성합니다. 천장이나 기간 보장은 없습니다.</x:v>
      </x:c>
    </x:row>
    <x:row r="15" ht="84" customHeight="1">
      <x:c r="A15" s="5" t="str">
        <x:v>특수 개화</x:v>
      </x:c>
      <x:c r="B15" s="5" t="str">
        <x:v>천벌은 약 2초 예고 후 고정 반경 2.1 월드 단위 안 최대 10체를 공격합니다. 기기 비율이 피해 범위를 바꾸지 않습니다. Bloom의 최소·최대 반경은 모두 2.1입니다. 만년빙정은 시전 시작 시 유효 적 1체 여부로 단일/다수 형태를 선택합니다.</x:v>
      </x:c>
    </x:row>
    <x:row r="16" ht="62" customHeight="1">
      <x:c r="A16" s="5" t="str">
        <x:v>최적화</x:v>
      </x:c>
      <x:c r="B16" s="5" t="str">
        <x:v>아이콘48px·16색 이내·Point. Atlas_UIPixel ASTC4×4. VFX는 공유 시트와 사전 생성 AnimationClip·프리팹을 사용하고 Atlas_MageVFX에 포함합니다. 저사양은 동시 얼음 연출만 줄이고 피해 수는 유지합니다.</x:v>
      </x:c>
    </x:row>
    <x:row r="17" ht="62" customHeight="1">
      <x:c r="A17" s="5" t="str">
        <x:v>개화 아이콘</x:v>
      </x:c>
      <x:c r="B17" s="5" t="str">
        <x:v>개화 ON이면 BloomIcon을 사용합니다. 기본 실루엣과 구도를 유지하고 작은 발광·색조만 변화합니다. OFF 및 미해금 상태는 원본 아이콘을 사용합니다.</x:v>
      </x:c>
    </x:row>
    <x:row r="18" ht="84" customHeight="1">
      <x:c r="A18" s="5" t="str">
        <x:v>타격 연출</x:v>
      </x:c>
      <x:c r="B18" s="5" t="str">
        <x:v>타격 시점에 피해·피격 반응·효과음을 맞춥니다. 별빛은 겹쳐 낙하하고 운석은 충돌 후 잔열을 남깁니다. 기절과 감속은 독립 만료하며 감속은 합산하지 않고 가장 강한 효과만 적용합니다. 전장 전환 시 진행 중인 타격과 이펙트를 취소합니다.</x:v>
      </x:c>
    </x:row>
    <x:row r="19" ht="84" customHeight="1">
      <x:c r="A19" s="5" t="str">
        <x:v>외부 원본</x:v>
      </x:c>
      <x:c r="B19" s="5" t="str">
        <x:v>ExternalAssets는 원본 저장소이며 직접 변경하지 않습니다. Assets 탭의 작업본만 사용합니다. 생성 출처는 AI/comfyui/mage-skills/20260915, 20260916-combat 및 20260917-polish입니다. 운석 잔흔은 두 모델 비교 후 채택한 단일 64px·6색 지면 데칼입니다.</x:v>
      </x:c>
    </x:row>
    <x:row r="20" ht="62" customHeight="1">
      <x:c r="A20" s="5" t="str">
        <x:v>서버 계약</x:v>
      </x:c>
      <x:c r="B20" s="5" t="str">
        <x:v>MageSkillStateSnapshot schema1은 catalogVersion·progressionRevision·정렬된 스킬 상태·장착 ID를 내보냅니다. 기존 계정/권한/전체 저장 리비전 계약과 함께 사용해야 합니다. 서버 응답을 적용하는 기능은 추가하지 않았습니다.</x:v>
      </x:c>
    </x:row>
    <x:row r="21" ht="62" customHeight="1">
      <x:c r="A21" s="5" t="str">
        <x:v>레거시 코드</x:v>
      </x:c>
      <x:c r="B21" s="5" t="str">
        <x:v>64비트 packed code는 개화를 담지 못하고 파편 상한65535입니다. 범위를 넘으면 예외로 거부하며 새 스냅샷을 사용합니다. 기존 저장 JSON의 BloomEnabled 누락은 false로 읽습니다.</x:v>
      </x:c>
    </x:row>
    <x:row r="22" ht="62" customHeight="1">
      <x:c r="A22" s="5" t="str">
        <x:v>보류 개화</x:v>
      </x:c>
      <x:c r="B22" s="5" t="str">
        <x:v>천벌·만년빙정 외 7종은 개화 미정이며 피해 또는 회복량이 15% 증가합니다.</x:v>
      </x:c>
    </x:row>
  </x:sheetData>
  <x:pageMargins left="0.7" right="0.7" top="0.75" bottom="0.75" header="0.3" footer="0.3"/>
  <x:tableParts count="1">
    <x:tablePart xmlns:r="http://schemas.openxmlformats.org/officeDocument/2006/relationships" r:id="R865e0bac42044ae0"/>
  </x:tableParts>
</x:worksheet>
</file>