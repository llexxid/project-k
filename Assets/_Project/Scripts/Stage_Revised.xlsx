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itHub\project-k\personalDocs\프로젝트 정보\"/>
    </mc:Choice>
  </mc:AlternateContent>
  <xr:revisionPtr revIDLastSave="0" documentId="13_ncr:1_{5A4EDB18-9CD7-4F8B-899D-6763058DA97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tageDefinitions" sheetId="1" r:id="rId1"/>
    <sheet name="StageMonsters" sheetId="2" r:id="rId2"/>
    <sheet name="BossFlow" sheetId="3" r:id="rId3"/>
    <sheet name="KillCountFlow" sheetId="4" r:id="rId4"/>
    <sheet name="CodeLists" sheetId="5" r:id="rId5"/>
    <sheet name="Guide" sheetId="6" r:id="rId6"/>
    <sheet name="베타개정" sheetId="7" r:id="rId10"/>
  </sheets>
  <definedNames>
    <definedName name="MonsterNameList">CodeLists!$M$2:$M$11</definedName>
    <definedName name="_xlnm.Print_Area" localSheetId="5">Guide!$A$1:$H$71</definedName>
    <definedName name="TargetMonsterTypeList">CodeLists!$O$2:$O$12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Project K</author>
  </authors>
  <commentList>
    <comment ref="A1" authorId="0" shapeId="0" xr:uid="{00000000-0006-0000-0000-000001000000}">
      <text>
        <r>
          <rPr>
            <sz val="11"/>
            <rFont val="Carlito"/>
          </rPr>
          <t>Main, GoldDungeon, RubyDungeon 중 선택합니다.</t>
        </r>
      </text>
    </comment>
    <comment ref="B1" authorId="0" shapeId="0" xr:uid="{00000000-0006-0000-0000-000002000000}">
      <text>
        <r>
          <rPr>
            <sz val="11"/>
            <rFont val="Carlito"/>
          </rPr>
          <t>스테이지 또는 던전 난이도 번호입니다.</t>
        </r>
      </text>
    </comment>
    <comment ref="C1" authorId="0" shapeId="0" xr:uid="{00000000-0006-0000-0000-000003000000}">
      <text>
        <r>
          <rPr>
            <sz val="11"/>
            <rFont val="Carlito"/>
          </rPr>
          <t>웨이브 번호입니다. 현재 던전은 1을 사용합니다.</t>
        </r>
      </text>
    </comment>
    <comment ref="D1" authorId="0" shapeId="0" xr:uid="{00000000-0006-0000-0000-000004000000}">
      <text>
        <r>
          <rPr>
            <sz val="11"/>
            <rFont val="Carlito"/>
          </rPr>
          <t>메인 진행, 보스 도전, 처치 수 도전 중 선택합니다.</t>
        </r>
      </text>
    </comment>
    <comment ref="E1" authorId="0" shapeId="0" xr:uid="{00000000-0006-0000-0000-000005000000}">
      <text>
        <r>
          <rPr>
            <sz val="11"/>
            <rFont val="Carlito"/>
          </rPr>
          <t>해당 스테이지 몬스터의 능력치 배율입니다.</t>
        </r>
      </text>
    </comment>
    <comment ref="F1" authorId="0" shapeId="0" xr:uid="{00000000-0006-0000-0000-000006000000}">
      <text>
        <r>
          <rPr>
            <sz val="11"/>
            <rFont val="Carlito"/>
          </rPr>
          <t>배경과 환경 리소스 프리셋 코드입니다.</t>
        </r>
      </text>
    </comment>
    <comment ref="G1" authorId="0" shapeId="0" xr:uid="{00000000-0006-0000-0000-000007000000}">
      <text>
        <r>
          <rPr>
            <sz val="11"/>
            <rFont val="Carlito"/>
          </rPr>
          <t>Unity의 스폰 위치 프리셋 식별자입니다. 현재 런타임 위치 선택에는 연결되지 않았습니다.</t>
        </r>
      </text>
    </comment>
    <comment ref="H1" authorId="0" shapeId="0" xr:uid="{00000000-0006-0000-0000-000008000000}">
      <text>
        <r>
          <rPr>
            <sz val="11"/>
            <rFont val="Carlito"/>
          </rPr>
          <t>BossFlow 또는 KillCountFlow의 FlowConfigId와 연결합니다. Main은 비워둡니다.</t>
        </r>
      </text>
    </comment>
    <comment ref="I1" authorId="0" shapeId="0" xr:uid="{00000000-0006-0000-0000-000009000000}">
      <text>
        <r>
          <rPr>
            <sz val="11"/>
            <rFont val="Carlito"/>
          </rPr>
          <t>보상 데이터 그룹 식별자입니다.</t>
        </r>
      </text>
    </comment>
    <comment ref="J1" authorId="0" shapeId="0" xr:uid="{00000000-0006-0000-0000-00000A000000}">
      <text>
        <r>
          <rPr>
            <sz val="11"/>
            <rFont val="Carlito"/>
          </rPr>
          <t>제한 시간(초). 0이면 제한 시간이 없습니다.</t>
        </r>
      </text>
    </comment>
    <comment ref="K1" authorId="0" shapeId="0" xr:uid="{00000000-0006-0000-0000-00000B000000}">
      <text>
        <r>
          <rPr>
            <sz val="11"/>
            <rFont val="Carlito"/>
          </rPr>
          <t>LoopPool 반복 생성 간격(초). LoopPool을 쓰면 0보다 커야 합니다.</t>
        </r>
      </text>
    </comment>
    <comment ref="L1" authorId="0" shapeId="0" xr:uid="{00000000-0006-0000-0000-00000C000000}">
      <text>
        <r>
          <rPr>
            <sz val="11"/>
            <rFont val="Carlito"/>
          </rPr>
          <t>남은 몬스터가 이 값보다 적을 때 반복 생성합니다. LoopPool을 쓰면 1 이상입니다.</t>
        </r>
      </text>
    </comment>
    <comment ref="M1" authorId="0" shapeId="0" xr:uid="{00000000-0006-0000-0000-00000D000000}">
      <text>
        <r>
          <rPr>
            <sz val="11"/>
            <rFont val="Carlito"/>
          </rPr>
          <t>eSFXType의 BGM 코드입니다. 비워두면 BGM을 사용하지 않습니다.</t>
        </r>
      </text>
    </comment>
    <comment ref="N1" authorId="0" shapeId="0" xr:uid="{00000000-0006-0000-0000-00000E000000}">
      <text>
        <r>
          <rPr>
            <sz val="11"/>
            <rFont val="Carlito"/>
          </rPr>
          <t>스테이지 활성화 여부입니다.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Project K</author>
  </authors>
  <commentList>
    <comment ref="A1" authorId="0" shapeId="0" xr:uid="{00000000-0006-0000-0100-000001000000}">
      <text>
        <r>
          <rPr>
            <sz val="11"/>
            <rFont val="Carlito"/>
          </rPr>
          <t>콘텐츠 종류. Main, GoldDungeon, RubyDungeon 중 선택합니다.</t>
        </r>
      </text>
    </comment>
    <comment ref="B1" authorId="0" shapeId="0" xr:uid="{00000000-0006-0000-0100-000002000000}">
      <text>
        <r>
          <rPr>
            <sz val="11"/>
            <rFont val="Carlito"/>
          </rPr>
          <t>스테이지 또는 던전 난이도 번호. StageDefinitions의 값과 같아야 합니다.</t>
        </r>
      </text>
    </comment>
    <comment ref="C1" authorId="0" shapeId="0" xr:uid="{00000000-0006-0000-0100-000003000000}">
      <text>
        <r>
          <rPr>
            <sz val="11"/>
            <rFont val="Carlito"/>
          </rPr>
          <t>웨이브 번호. StageDefinitions의 값과 같아야 합니다.</t>
        </r>
      </text>
    </comment>
    <comment ref="D1" authorId="0" shapeId="0" xr:uid="{00000000-0006-0000-0100-000004000000}">
      <text>
        <r>
          <rPr>
            <sz val="11"/>
            <rFont val="Carlito"/>
          </rPr>
          <t>생성할 eMonsterType 코드. 드롭다운에서 선택하세요.</t>
        </r>
      </text>
    </comment>
    <comment ref="E1" authorId="0" shapeId="0" xr:uid="{00000000-0006-0000-0100-000005000000}">
      <text>
        <r>
          <rPr>
            <sz val="11"/>
            <rFont val="Carlito"/>
          </rPr>
          <t>한 번에 생성할 수량. 1 이상이며 제거할 때는 행을 삭제합니다.</t>
        </r>
      </text>
    </comment>
    <comment ref="F1" authorId="0" shapeId="0" xr:uid="{00000000-0006-0000-0100-000006000000}">
      <text>
        <r>
          <rPr>
            <sz val="11"/>
            <rFont val="Carlito"/>
          </rPr>
          <t>반복 생성 가중치용 값. 현재 런타임 확률 계산에는 사용되지 않습니다.</t>
        </r>
      </text>
    </comment>
    <comment ref="G1" authorId="0" shapeId="0" xr:uid="{00000000-0006-0000-0100-000007000000}">
      <text>
        <r>
          <rPr>
            <sz val="11"/>
            <rFont val="Carlito"/>
          </rPr>
          <t>Initial=일반, Boss=보스, LoopPool=반복 생성 대상입니다.</t>
        </r>
      </text>
    </comment>
    <comment ref="H1" authorId="0" shapeId="0" xr:uid="{00000000-0006-0000-0100-000008000000}">
      <text>
        <r>
          <rPr>
            <sz val="11"/>
            <rFont val="Carlito"/>
          </rPr>
          <t>Default=일반 위치, Center=보스 위치. 현재 런타임 위치 선택에는 아직 연결되지 않았습니다.</t>
        </r>
      </text>
    </comment>
    <comment ref="I1" authorId="0" shapeId="0" xr:uid="{00000000-0006-0000-0100-000009000000}">
      <text>
        <r>
          <rPr>
            <sz val="11"/>
            <rFont val="Carlito"/>
          </rPr>
          <t>생성 지연 시간. 현재 런타임에는 적용되지 않으므로 0을 유지합니다.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Project K</author>
  </authors>
  <commentList>
    <comment ref="A1" authorId="0" shapeId="0" xr:uid="{00000000-0006-0000-0200-000001000000}">
      <text>
        <r>
          <rPr>
            <sz val="11"/>
            <rFont val="Carlito"/>
          </rPr>
          <t>StageDefinitions.FlowConfigId에서 참조하는 고유 ID입니다. 중복할 수 없습니다.</t>
        </r>
      </text>
    </comment>
    <comment ref="B1" authorId="0" shapeId="0" xr:uid="{00000000-0006-0000-0200-000002000000}">
      <text>
        <r>
          <rPr>
            <sz val="11"/>
            <rFont val="Carlito"/>
          </rPr>
          <t>보스 몬스터 코드. StageMonsters의 해당 보스와 같아야 합니다.</t>
        </r>
      </text>
    </comment>
    <comment ref="C1" authorId="0" shapeId="0" xr:uid="{00000000-0006-0000-0200-000003000000}">
      <text>
        <r>
          <rPr>
            <sz val="11"/>
            <rFont val="Carlito"/>
          </rPr>
          <t>보스 종료 시 남은 몬스터를 정리할지 여부입니다.</t>
        </r>
      </text>
    </comment>
    <comment ref="D1" authorId="0" shapeId="0" xr:uid="{00000000-0006-0000-0200-000004000000}">
      <text>
        <r>
          <rPr>
            <sz val="11"/>
            <rFont val="Carlito"/>
          </rPr>
          <t>패배했을 때의 다음 행동입니다.</t>
        </r>
      </text>
    </comment>
    <comment ref="E1" authorId="0" shapeId="0" xr:uid="{00000000-0006-0000-0200-000005000000}">
      <text>
        <r>
          <rPr>
            <sz val="11"/>
            <rFont val="Carlito"/>
          </rPr>
          <t>기획자 메모이며 런타임 데이터에는 포함되지 않습니다.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Project K</author>
  </authors>
  <commentList>
    <comment ref="A1" authorId="0" shapeId="0" xr:uid="{00000000-0006-0000-0300-000001000000}">
      <text>
        <r>
          <rPr>
            <sz val="11"/>
            <rFont val="Carlito"/>
          </rPr>
          <t>StageDefinitions.FlowConfigId에서 참조하는 고유 ID입니다. 중복할 수 없습니다.</t>
        </r>
      </text>
    </comment>
    <comment ref="B1" authorId="0" shapeId="0" xr:uid="{00000000-0006-0000-0300-000002000000}">
      <text>
        <r>
          <rPr>
            <sz val="11"/>
            <rFont val="Carlito"/>
          </rPr>
          <t>클리어에 필요한 처치 수입니다. 1 이상이어야 합니다.</t>
        </r>
      </text>
    </comment>
    <comment ref="C1" authorId="0" shapeId="0" xr:uid="{00000000-0006-0000-0300-000003000000}">
      <text>
        <r>
          <rPr>
            <sz val="11"/>
            <rFont val="Carlito"/>
          </rPr>
          <t>Any는 모든 몬스터, 특정 코드는 해당 몬스터만 집계합니다.</t>
        </r>
      </text>
    </comment>
    <comment ref="D1" authorId="0" shapeId="0" xr:uid="{00000000-0006-0000-0300-000004000000}">
      <text>
        <r>
          <rPr>
            <sz val="11"/>
            <rFont val="Carlito"/>
          </rPr>
          <t>패배했을 때의 다음 행동입니다. 기존에 잘못 연결된 F열 드롭다운을 D열로 수정했습니다.</t>
        </r>
      </text>
    </comment>
    <comment ref="E1" authorId="0" shapeId="0" xr:uid="{00000000-0006-0000-0300-000005000000}">
      <text>
        <r>
          <rPr>
            <sz val="11"/>
            <rFont val="Carlito"/>
          </rPr>
          <t>기획자 메모이며 런타임 데이터에는 포함되지 않습니다.</t>
        </r>
      </text>
    </comment>
  </commentList>
</comments>
</file>

<file path=xl/sharedStrings.xml><?xml version="1.0" encoding="utf-8"?>
<sst xmlns="http://schemas.openxmlformats.org/spreadsheetml/2006/main" count="715" uniqueCount="227">
  <si>
    <t>StageType</t>
  </si>
  <si>
    <t>Stage</t>
  </si>
  <si>
    <t>Wave</t>
  </si>
  <si>
    <t>FlowType</t>
  </si>
  <si>
    <t>MonsterStatMultiplier</t>
  </si>
  <si>
    <t>EnvironmentId</t>
  </si>
  <si>
    <t>SpawnPointSetId</t>
  </si>
  <si>
    <t>FlowConfigId</t>
  </si>
  <si>
    <t>RewardGroupId</t>
  </si>
  <si>
    <t>TimeLimitSec</t>
  </si>
  <si>
    <t>LoopSpawnIntervalSec</t>
  </si>
  <si>
    <t>LoopSpawnAliveThreshold</t>
  </si>
  <si>
    <t>BgmType</t>
  </si>
  <si>
    <t>Enabled</t>
  </si>
  <si>
    <t>Main</t>
  </si>
  <si>
    <t>MainProgression</t>
  </si>
  <si>
    <t>MainField1</t>
  </si>
  <si>
    <t>MainDefault</t>
  </si>
  <si>
    <t>BGM</t>
  </si>
  <si>
    <t>true</t>
  </si>
  <si>
    <t>MainField2</t>
  </si>
  <si>
    <t>GoldDungeon</t>
  </si>
  <si>
    <t>BossChallenge</t>
  </si>
  <si>
    <t>GoldBossFixed</t>
  </si>
  <si>
    <t>BOSS_GOLD_BANDIT</t>
  </si>
  <si>
    <t>REWARD_GOLD_01</t>
  </si>
  <si>
    <t>REWARD_GOLD_02</t>
  </si>
  <si>
    <t>REWARD_GOLD_03</t>
  </si>
  <si>
    <t>BOSS_GOLD_ORC</t>
  </si>
  <si>
    <t>REWARD_GOLD_04</t>
  </si>
  <si>
    <t>REWARD_GOLD_05</t>
  </si>
  <si>
    <t>RubyDungeon</t>
  </si>
  <si>
    <t>KillCountChallenge</t>
  </si>
  <si>
    <t>RubyDefault</t>
  </si>
  <si>
    <t>KILL_RUBY_01</t>
  </si>
  <si>
    <t>REWARD_RUBY_01</t>
  </si>
  <si>
    <t>KILL_RUBY_02</t>
  </si>
  <si>
    <t>REWARD_RUBY_02</t>
  </si>
  <si>
    <t>KILL_RUBY_03</t>
  </si>
  <si>
    <t>REWARD_RUBY_03</t>
  </si>
  <si>
    <t>KILL_RUBY_04</t>
  </si>
  <si>
    <t>REWARD_RUBY_04</t>
  </si>
  <si>
    <t>KILL_RUBY_05</t>
  </si>
  <si>
    <t>REWARD_RUBY_05</t>
  </si>
  <si>
    <t>MonsterName</t>
  </si>
  <si>
    <t>Count</t>
  </si>
  <si>
    <t>SpawnWeight</t>
  </si>
  <si>
    <t>SpawnPhase</t>
  </si>
  <si>
    <t>SpawnPointGroupId</t>
  </si>
  <si>
    <t>SpawnDelaySec</t>
  </si>
  <si>
    <t>MON_BANDIT_LEADER</t>
  </si>
  <si>
    <t>Initial</t>
  </si>
  <si>
    <t>Default</t>
  </si>
  <si>
    <t>MON_BANDIT_ARCHER</t>
  </si>
  <si>
    <t>MON_BANDIT_SHIELD</t>
  </si>
  <si>
    <t>BANDIT_KING</t>
  </si>
  <si>
    <t>Boss</t>
  </si>
  <si>
    <t>Center</t>
  </si>
  <si>
    <t>ORC</t>
  </si>
  <si>
    <t>AMORED_ORC</t>
  </si>
  <si>
    <t>ORC_KING</t>
  </si>
  <si>
    <t>LoopPool</t>
  </si>
  <si>
    <t>BossMonsterType</t>
  </si>
  <si>
    <t>ClearRemainingMonsters</t>
  </si>
  <si>
    <t>DefeatAction</t>
  </si>
  <si>
    <t>Notes</t>
  </si>
  <si>
    <t>AwaitDefeatChoice</t>
  </si>
  <si>
    <t>골드 던전 1~3</t>
  </si>
  <si>
    <t>골드 던전 4~5</t>
  </si>
  <si>
    <t>RequiredKillCount</t>
  </si>
  <si>
    <t>TargetMonsterType</t>
  </si>
  <si>
    <t>Any</t>
  </si>
  <si>
    <t>1스테이지 일반 몬스터 사용</t>
  </si>
  <si>
    <t>2스테이지 일반 몬스터 사용</t>
  </si>
  <si>
    <t>StageTypeDescription</t>
  </si>
  <si>
    <t>FlowTypeDescription</t>
  </si>
  <si>
    <t>DefeatActionDescription</t>
  </si>
  <si>
    <t>SpawnPhaseDescription</t>
  </si>
  <si>
    <t>EnvironmentDescription</t>
  </si>
  <si>
    <t>SpawnPointSetDescription</t>
  </si>
  <si>
    <t>MonsterNameDescription</t>
  </si>
  <si>
    <t>메인 스테이지</t>
  </si>
  <si>
    <t>11웨이브 선형 진행</t>
  </si>
  <si>
    <t>RetryOrReturn</t>
  </si>
  <si>
    <t>재도전 또는 메인 복귀</t>
  </si>
  <si>
    <t>최초 일괄 생성</t>
  </si>
  <si>
    <t>메인 1계열 맵</t>
  </si>
  <si>
    <t>메인 공용 스폰 프리셋</t>
  </si>
  <si>
    <t>MON_SKELETON</t>
  </si>
  <si>
    <t>사용 가능 코드</t>
  </si>
  <si>
    <t>보스 처치형 골드 던전</t>
  </si>
  <si>
    <t>지정 보스 처치</t>
  </si>
  <si>
    <t>Retry</t>
  </si>
  <si>
    <t>즉시 재도전</t>
  </si>
  <si>
    <t>보스 생성</t>
  </si>
  <si>
    <t>메인 2계열 맵</t>
  </si>
  <si>
    <t>골드 보스 고정 위치</t>
  </si>
  <si>
    <t>MON_GOBLIN</t>
  </si>
  <si>
    <t>처치 수형 루비 던전</t>
  </si>
  <si>
    <t>지정 처치 수 달성</t>
  </si>
  <si>
    <t>ReturnToMain</t>
  </si>
  <si>
    <t>메인으로 복귀</t>
  </si>
  <si>
    <t>반복 생성 대상</t>
  </si>
  <si>
    <t>골드 던전 맵</t>
  </si>
  <si>
    <t>루비 던전 공용 위치</t>
  </si>
  <si>
    <t>MON_ORC</t>
  </si>
  <si>
    <t>ORC와 서로 다른 코드</t>
  </si>
  <si>
    <t>TimedSurvival</t>
  </si>
  <si>
    <t>지정 시간 생존</t>
  </si>
  <si>
    <t>루비 던전 맵</t>
  </si>
  <si>
    <t>보스 코드</t>
  </si>
  <si>
    <t>오타처럼 보여도 현재 코드명을 그대로 사용</t>
  </si>
  <si>
    <t>MON_ORC와 서로 다른 코드</t>
  </si>
  <si>
    <t>Stage 데이터 편집 가이드</t>
  </si>
  <si>
    <t>기획자가 몬스터 구성과 던전 목표를 안전하게 수정하기 위한 작업 지침 · 시트명과 1행 헤더는 변경하지 마세요.</t>
  </si>
  <si>
    <t>1. 빠른 작업 순서</t>
  </si>
  <si>
    <t>순서</t>
  </si>
  <si>
    <t>작업</t>
  </si>
  <si>
    <t>확인 사항</t>
  </si>
  <si>
    <t>1</t>
  </si>
  <si>
    <t>대상 찾기</t>
  </si>
  <si>
    <t>StageDefinitions에서 StageType / Stage / Wave 조합을 먼저 확인합니다.</t>
  </si>
  <si>
    <t>2</t>
  </si>
  <si>
    <t>기존 행 복사</t>
  </si>
  <si>
    <t>StageMonsters의 비슷한 행을 표 안에서 복사합니다. 시트 밖에 새 표를 만들지 않습니다.</t>
  </si>
  <si>
    <t>3</t>
  </si>
  <si>
    <t>몬스터 구성</t>
  </si>
  <si>
    <t>MonsterName, Count, SpawnPhase를 수정합니다. 같은 웨이브에 여러 종류면 같은 키로 행을 추가합니다.</t>
  </si>
  <si>
    <t>4</t>
  </si>
  <si>
    <t>던전 조건 확인</t>
  </si>
  <si>
    <t>Gold는 BossFlow, Ruby는 KillCountFlow와 StageDefinitions의 반복 생성 값을 함께 확인합니다.</t>
  </si>
  <si>
    <t>5</t>
  </si>
  <si>
    <t>저장 및 전달</t>
  </si>
  <si>
    <t>xlsx 형식으로 저장하고 변경한 StageType / Stage / Wave와 의도를 개발자에게 전달합니다.</t>
  </si>
  <si>
    <t>2. 어떤 시트를 언제 수정하나요?</t>
  </si>
  <si>
    <t>시트</t>
  </si>
  <si>
    <t>수정 시점</t>
  </si>
  <si>
    <t>수정하는 값</t>
  </si>
  <si>
    <t>주의</t>
  </si>
  <si>
    <t>StageMonsters</t>
  </si>
  <si>
    <t>몬스터 종류·수량 변경</t>
  </si>
  <si>
    <t>MonsterName / Count / SpawnPhase</t>
  </si>
  <si>
    <t>몬스터 구성 작업의 기본 시트</t>
  </si>
  <si>
    <t>StageDefinitions</t>
  </si>
  <si>
    <t>스테이지·난이도 설정 변경</t>
  </si>
  <si>
    <t>시간, 스탯 배율, 반복 간격·생존 한도</t>
  </si>
  <si>
    <t>StageMonsters의 키와 반드시 일치</t>
  </si>
  <si>
    <t>BossFlow</t>
  </si>
  <si>
    <t>Gold 보스 변경</t>
  </si>
  <si>
    <t>보스 종류와 패배 처리</t>
  </si>
  <si>
    <t>StageDefinitions.FlowConfigId와 연결</t>
  </si>
  <si>
    <t>KillCountFlow</t>
  </si>
  <si>
    <t>Ruby 목표 변경</t>
  </si>
  <si>
    <t>목표 처치 수와 대상</t>
  </si>
  <si>
    <t>CodeLists</t>
  </si>
  <si>
    <t>코드 확인</t>
  </si>
  <si>
    <t>선택 가능한 코드와 설명</t>
  </si>
  <si>
    <t>개발자 합의 없이 기존 코드를 변경하지 않음</t>
  </si>
  <si>
    <t>3. StageMonsters 열별 입력 규칙</t>
  </si>
  <si>
    <t>필드</t>
  </si>
  <si>
    <t>필수</t>
  </si>
  <si>
    <t>의미</t>
  </si>
  <si>
    <t>입력 규칙</t>
  </si>
  <si>
    <t>예시 / 적용 상태</t>
  </si>
  <si>
    <t>예</t>
  </si>
  <si>
    <t>콘텐츠 종류</t>
  </si>
  <si>
    <t>Main / GoldDungeon / RubyDungeon</t>
  </si>
  <si>
    <t>스테이지·난이도 번호</t>
  </si>
  <si>
    <t>StageDefinitions와 같은 번호</t>
  </si>
  <si>
    <t>웨이브 번호</t>
  </si>
  <si>
    <t>메인 1~11, 현재 던전 1</t>
  </si>
  <si>
    <t>생성할 몬스터 코드</t>
  </si>
  <si>
    <t>드롭다운에서 선택</t>
  </si>
  <si>
    <t>한 번에 생성하는 수량</t>
  </si>
  <si>
    <t>1 이상의 정수</t>
  </si>
  <si>
    <t>10</t>
  </si>
  <si>
    <t>반복 생성 가중치용 값</t>
  </si>
  <si>
    <t>0 이상의 정수</t>
  </si>
  <si>
    <t>현재 런타임 미적용</t>
  </si>
  <si>
    <t>생성 방식</t>
  </si>
  <si>
    <t>Initial / Boss / LoopPool</t>
  </si>
  <si>
    <t>아래 콘텐츠별 규칙 참고</t>
  </si>
  <si>
    <t>선택</t>
  </si>
  <si>
    <t>스폰 위치 그룹</t>
  </si>
  <si>
    <t>Default / Center</t>
  </si>
  <si>
    <t>현재 런타임 위치 선택 미적용</t>
  </si>
  <si>
    <t>생성 지연 시간</t>
  </si>
  <si>
    <t>0 이상의 숫자</t>
  </si>
  <si>
    <t>현재 런타임 미적용, 0 유지</t>
  </si>
  <si>
    <t>4. 콘텐츠별 작성 예시</t>
  </si>
  <si>
    <t>콘텐츠</t>
  </si>
  <si>
    <t>StageMonsters 규칙</t>
  </si>
  <si>
    <t>함께 확인할 시트</t>
  </si>
  <si>
    <t>예시</t>
  </si>
  <si>
    <t>일반=Initial, 보스=Boss
SpawnWeight=0</t>
  </si>
  <si>
    <t>Main | 1 | 3 | MON_BANDIT_ARCHER | 8 | 0 | Initial | Default | 0</t>
  </si>
  <si>
    <t>Boss / Count=1 / Center</t>
  </si>
  <si>
    <t>BossFlow + StageDefinitions</t>
  </si>
  <si>
    <t>GoldDungeon | 1 | 1 | BANDIT_KING | 1 | 0 | Boss | Center | 0</t>
  </si>
  <si>
    <t>LoopPool
Count=반복 1회 수량</t>
  </si>
  <si>
    <t>KillCountFlow + StageDefinitions</t>
  </si>
  <si>
    <t>RubyDungeon | 3 | 1 | MON_BANDIT_SHIELD | 2 | 20 | LoopPool | Default | 0</t>
  </si>
  <si>
    <t>5. 사용 가능한 MonsterName</t>
  </si>
  <si>
    <t>코드</t>
  </si>
  <si>
    <t>설명</t>
  </si>
  <si>
    <t>6. 오류 예방 체크리스트</t>
  </si>
  <si>
    <t>□</t>
  </si>
  <si>
    <t>Count는 반드시 1 이상입니다. 몬스터를 제거하려면 Count=0이 아니라 해당 행을 삭제합니다.</t>
  </si>
  <si>
    <t>같은 웨이브에 여러 몬스터를 넣을 때 StageType / Stage / Wave를 동일하게 작성합니다.</t>
  </si>
  <si>
    <t>StageDefinitions에 있는 모든 스테이지·웨이브에는 StageMonsters 행이 최소 1개 필요합니다.</t>
  </si>
  <si>
    <t>GoldDungeon의 MonsterName은 연결된 BossFlow.BossMonsterType과 같아야 합니다.</t>
  </si>
  <si>
    <t>LoopPool을 사용하면 StageDefinitions의 LoopSpawnIntervalSec &gt; 0, LoopSpawnAliveThreshold &gt;= 1이어야 합니다.</t>
  </si>
  <si>
    <t>새 행은 기존 행 복사 또는 Excel 표의 마지막 셀에서 Tab으로 추가해 서식과 검증을 이어받습니다.</t>
  </si>
  <si>
    <t>시트명과 1행 헤더를 바꾸지 않습니다. 값은 공백 없이 드롭다운 코드 그대로 입력합니다.</t>
  </si>
  <si>
    <t>7. 현재 구현상 주의 사항</t>
  </si>
  <si>
    <t>값은 저장되지만 현재 확률 추첨에 사용되지 않습니다. Ruby의 실제 한 묶음 구성은 Count가 결정합니다.</t>
  </si>
  <si>
    <t>스폰 위치 ID</t>
  </si>
  <si>
    <t>SpawnPointSetId와 SpawnPointGroupId는 현재 실제 위치 선택에 연결되지 않았습니다.</t>
  </si>
  <si>
    <t>스테이지 시작 시 한 묶음이 즉시 생성되고, 이후 반복 간격마다 조건을 확인해 다시 생성됩니다.</t>
  </si>
  <si>
    <t>파일 경로</t>
  </si>
  <si>
    <t>현재 생성기는 personalDocs/Stage_Revised.xlsx를 찾지만 이 문서는 personalDocs/프로젝트 정보/Stage_Revised.xlsx에 있습니다. 개발자가 경로를 맞춰야 반영됩니다.</t>
  </si>
  <si>
    <t>8. 저장 후 개발자 확인 절차</t>
  </si>
  <si>
    <t>변경된 StageType / Stage / Wave와 의도를 개발자에게 전달합니다.</t>
  </si>
  <si>
    <t>개발자가 Unity 메뉴 MyTools &gt; Stage &gt; Generate Stage Data를 실행합니다.</t>
  </si>
  <si>
    <t>Console에서 '[StageDataGenerator] 생성 완료' 또는 시트명·행 번호가 포함된 오류를 확인합니다.</t>
  </si>
  <si>
    <t>플레이 테스트로 등장 종류·수량, 보스 판정, 반복 생성, 제한 시간과 클리어 조건을 확인합니다.</t>
  </si>
  <si>
    <t xml:space="preserve">값은 저장되지만 현재 지연 생성에 사용되지 않습니다.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</si>
</sst>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"/>
    <numFmt numFmtId="165" formatCode="0.0##"/>
    <numFmt numFmtId="166" formatCode="0"/>
    <numFmt numFmtId="167" formatCode="0.0%"/>
    <numFmt numFmtId="168" formatCode="0%"/>
    <numFmt numFmtId="169" formatCode="0.0"/>
    <numFmt numFmtId="170" formatCode="0.00"/>
    <numFmt numFmtId="171" formatCode="0.000&quot;배&quot;"/>
    <numFmt numFmtId="172" formatCode="0.00&quot;배&quot;"/>
  </numFmts>
  <fonts count="19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b/>
      <sz val="18"/>
      <color rgb="FFFFFFFF"/>
      <name val="맑은 고딕"/>
      <family val="3"/>
      <charset val="129"/>
    </font>
    <font>
      <sz val="10"/>
      <color rgb="FFDDEBF7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1F2937"/>
      <name val="맑은 고딕"/>
      <family val="3"/>
      <charset val="129"/>
    </font>
    <font>
      <b/>
      <sz val="10"/>
      <color rgb="FF1F2937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Carlito"/>
    </font>
    <font>
      <sz val="11"/>
      <name val="맑은 고딕"/>
    </font>
    <font>
      <sz val="10"/>
      <name val="맑은 고딕"/>
    </font>
    <font>
      <b/>
      <sz val="13"/>
      <color rgb="FFFFFFFF"/>
      <name val="맑은 고딕"/>
    </font>
    <font>
      <sz val="10"/>
      <color rgb="FF4A5664"/>
      <name val="맑은 고딕"/>
    </font>
    <font>
      <sz val="10"/>
      <color rgb="FF0062BA"/>
      <name val="맑은 고딕"/>
    </font>
    <font>
      <b/>
      <sz val="10"/>
      <color rgb="FFFFFFFF"/>
      <name val="맑은 고딕"/>
    </font>
    <font>
      <sz val="10"/>
      <color rgb="FF000000"/>
      <name val="맑은 고딕"/>
    </font>
  </fonts>
  <fills count="22">
    <fill>
      <patternFill patternType="none"/>
    </fill>
    <fill>
      <patternFill patternType="gray125"/>
    </fill>
    <fill>
      <patternFill patternType="solid">
        <fgColor rgb="FF255C66"/>
      </patternFill>
    </fill>
    <fill>
      <patternFill patternType="solid">
        <fgColor rgb="FFDCEEF8"/>
      </patternFill>
    </fill>
    <fill>
      <patternFill patternType="solid">
        <fgColor rgb="FFFFF1BF"/>
      </patternFill>
    </fill>
    <fill>
      <patternFill patternType="solid">
        <fgColor rgb="FFF8DCE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EAF3F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3F4F6"/>
      </patternFill>
    </fill>
    <fill>
      <patternFill patternType="none"/>
    </fill>
    <fill>
      <patternFill patternType="gray125"/>
    </fill>
    <fill>
      <patternFill patternType="solid">
        <fgColor rgb="FF26374A"/>
      </patternFill>
    </fill>
    <fill>
      <patternFill patternType="solid">
        <fgColor rgb="FFEDF4FF"/>
      </patternFill>
    </fill>
    <fill>
      <patternFill patternType="solid">
        <fgColor rgb="FF41576C"/>
      </patternFill>
    </fill>
    <fill>
      <patternFill patternType="solid">
        <fgColor rgb="FFF1F4F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/>
  </borders>
  <cellStyleXfs count="3">
    <xf numFmtId="0" fontId="0" fillId="0" borderId="0"/>
    <xf numFmtId="0" fontId="2" fillId="0" borderId="0"/>
    <xf numFmtId="0" fontId="11" fillId="15" borderId="2"/>
  </cellStyleXfs>
  <cellXfs count="85">
    <xf numFmtId="0" fontId="0" fillId="0" borderId="0" xfId="0"/>
    <xf numFmtId="0" fontId="1" fillId="2" borderId="0" xfId="1" applyFont="1" applyFill="1" applyAlignment="1">
      <alignment vertical="center" wrapText="1"/>
    </xf>
    <xf numFmtId="0" fontId="0" fillId="0" borderId="0" xfId="1" applyFont="1" applyAlignment="1">
      <alignment vertical="center"/>
    </xf>
    <xf numFmtId="0" fontId="10" fillId="6" borderId="1" xfId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0" fillId="7" borderId="0" xfId="1" applyFont="1" applyFill="1" applyAlignment="1">
      <alignment vertical="center" wrapText="1"/>
    </xf>
    <xf numFmtId="0" fontId="0" fillId="3" borderId="0" xfId="1" applyFont="1" applyFill="1" applyAlignment="1">
      <alignment vertical="center" wrapText="1"/>
    </xf>
    <xf numFmtId="2" fontId="0" fillId="3" borderId="0" xfId="1" applyNumberFormat="1" applyFont="1" applyFill="1" applyAlignment="1">
      <alignment vertical="center" wrapText="1"/>
    </xf>
    <xf numFmtId="0" fontId="0" fillId="11" borderId="0" xfId="1" applyFont="1" applyFill="1" applyAlignment="1">
      <alignment vertical="center" wrapText="1"/>
    </xf>
    <xf numFmtId="0" fontId="0" fillId="12" borderId="0" xfId="1" applyFont="1" applyFill="1" applyAlignment="1">
      <alignment vertical="center" wrapText="1"/>
    </xf>
    <xf numFmtId="0" fontId="0" fillId="0" borderId="0" xfId="0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4" borderId="0" xfId="1" applyFont="1" applyFill="1" applyAlignment="1">
      <alignment vertical="center" wrapText="1"/>
    </xf>
    <xf numFmtId="2" fontId="0" fillId="4" borderId="0" xfId="1" applyNumberFormat="1" applyFont="1" applyFill="1" applyAlignment="1">
      <alignment vertical="center" wrapText="1"/>
    </xf>
    <xf numFmtId="0" fontId="0" fillId="5" borderId="0" xfId="1" applyFont="1" applyFill="1" applyAlignment="1">
      <alignment vertical="center" wrapText="1"/>
    </xf>
    <xf numFmtId="2" fontId="0" fillId="5" borderId="0" xfId="1" applyNumberFormat="1" applyFont="1" applyFill="1" applyAlignment="1">
      <alignment vertical="center" wrapText="1"/>
    </xf>
    <xf numFmtId="0" fontId="0" fillId="8" borderId="0" xfId="1" applyFont="1" applyFill="1" applyAlignment="1">
      <alignment vertical="center" wrapText="1"/>
    </xf>
    <xf numFmtId="2" fontId="0" fillId="11" borderId="0" xfId="1" applyNumberFormat="1" applyFont="1" applyFill="1" applyAlignment="1">
      <alignment vertical="center" wrapText="1"/>
    </xf>
    <xf numFmtId="0" fontId="0" fillId="12" borderId="0" xfId="1" applyFont="1" applyFill="1" applyAlignment="1">
      <alignment vertical="center"/>
    </xf>
    <xf numFmtId="0" fontId="0" fillId="8" borderId="0" xfId="1" applyFont="1" applyFill="1" applyAlignment="1">
      <alignment vertical="center"/>
    </xf>
    <xf numFmtId="0" fontId="0" fillId="14" borderId="0" xfId="1" applyFont="1" applyFill="1" applyAlignment="1">
      <alignment vertical="center"/>
    </xf>
    <xf numFmtId="2" fontId="0" fillId="8" borderId="0" xfId="1" applyNumberFormat="1" applyFont="1" applyFill="1" applyAlignment="1">
      <alignment vertical="center"/>
    </xf>
    <xf numFmtId="0" fontId="8" fillId="10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1" fillId="15" borderId="2" xfId="2"/>
    <xf numFmtId="0" fontId="12" fillId="15" borderId="2" xfId="2" applyNumberFormat="1" applyFont="1" applyFill="1" applyBorder="1"/>
    <xf numFmtId="0" fontId="13" fillId="15" borderId="2" xfId="2" applyNumberFormat="1" applyFont="1" applyFill="1" applyBorder="1"/>
    <xf numFmtId="0" fontId="13" fillId="15" borderId="2" xfId="2" applyNumberFormat="1" applyFont="1" applyFill="1" applyBorder="1" applyAlignment="1">
      <alignment vertical="center"/>
    </xf>
    <xf numFmtId="164" fontId="13" fillId="15" borderId="2" xfId="2" applyNumberFormat="1" applyFont="1" applyFill="1" applyBorder="1" applyAlignment="1">
      <alignment vertical="center"/>
    </xf>
    <xf numFmtId="164" fontId="13" fillId="17" borderId="2" xfId="2" applyNumberFormat="1" applyFont="1" applyFill="1" applyBorder="1" applyAlignment="1">
      <alignment vertical="center"/>
    </xf>
    <xf numFmtId="164" fontId="14" fillId="17" borderId="2" xfId="2" applyNumberFormat="1" applyFont="1" applyFill="1" applyBorder="1" applyAlignment="1">
      <alignment vertical="center"/>
    </xf>
    <xf numFmtId="164" fontId="15" fillId="15" borderId="2" xfId="2" applyNumberFormat="1" applyFont="1" applyFill="1" applyBorder="1" applyAlignment="1">
      <alignment vertical="center"/>
    </xf>
    <xf numFmtId="164" fontId="15" fillId="15" borderId="2" xfId="2" applyNumberFormat="1" applyFont="1" applyFill="1" applyBorder="1" applyAlignment="1">
      <alignment vertical="center" wrapText="1"/>
    </xf>
    <xf numFmtId="164" fontId="13" fillId="18" borderId="2" xfId="2" applyNumberFormat="1" applyFont="1" applyFill="1" applyBorder="1" applyAlignment="1">
      <alignment vertical="center"/>
    </xf>
    <xf numFmtId="164" fontId="16" fillId="18" borderId="2" xfId="2" applyNumberFormat="1" applyFont="1" applyFill="1" applyBorder="1" applyAlignment="1">
      <alignment vertical="center"/>
    </xf>
    <xf numFmtId="165" fontId="16" fillId="18" borderId="2" xfId="2" applyNumberFormat="1" applyFont="1" applyFill="1" applyBorder="1" applyAlignment="1">
      <alignment vertical="center"/>
    </xf>
    <xf numFmtId="164" fontId="13" fillId="19" borderId="2" xfId="2" applyNumberFormat="1" applyFont="1" applyFill="1" applyBorder="1" applyAlignment="1">
      <alignment vertical="center"/>
    </xf>
    <xf numFmtId="164" fontId="17" fillId="19" borderId="2" xfId="2" applyNumberFormat="1" applyFont="1" applyFill="1" applyBorder="1" applyAlignment="1">
      <alignment vertical="center"/>
    </xf>
    <xf numFmtId="164" fontId="17" fillId="19" borderId="2" xfId="2" applyNumberFormat="1" applyFont="1" applyFill="1" applyBorder="1" applyAlignment="1">
      <alignment vertical="center" wrapText="1"/>
    </xf>
    <xf numFmtId="164" fontId="13" fillId="15" borderId="2" xfId="2" applyNumberFormat="1" applyFont="1" applyFill="1" applyBorder="1" applyAlignment="1">
      <alignment vertical="center" wrapText="1"/>
    </xf>
    <xf numFmtId="164" fontId="13" fillId="20" borderId="2" xfId="2" applyNumberFormat="1" applyFont="1" applyFill="1" applyBorder="1" applyAlignment="1">
      <alignment vertical="center" wrapText="1"/>
    </xf>
    <xf numFmtId="166" fontId="13" fillId="15" borderId="2" xfId="2" applyNumberFormat="1" applyFont="1" applyFill="1" applyBorder="1" applyAlignment="1">
      <alignment vertical="center" wrapText="1"/>
    </xf>
    <xf numFmtId="166" fontId="13" fillId="20" borderId="2" xfId="2" applyNumberFormat="1" applyFont="1" applyFill="1" applyBorder="1" applyAlignment="1">
      <alignment vertical="center" wrapText="1"/>
    </xf>
    <xf numFmtId="167" fontId="13" fillId="15" borderId="2" xfId="2" applyNumberFormat="1" applyFont="1" applyFill="1" applyBorder="1" applyAlignment="1">
      <alignment vertical="center" wrapText="1"/>
    </xf>
    <xf numFmtId="167" fontId="13" fillId="20" borderId="2" xfId="2" applyNumberFormat="1" applyFont="1" applyFill="1" applyBorder="1" applyAlignment="1">
      <alignment vertical="center" wrapText="1"/>
    </xf>
    <xf numFmtId="164" fontId="13" fillId="21" borderId="2" xfId="2" applyNumberFormat="1" applyFont="1" applyFill="1" applyBorder="1" applyAlignment="1">
      <alignment vertical="center"/>
    </xf>
    <xf numFmtId="164" fontId="18" fillId="21" borderId="2" xfId="2" applyNumberFormat="1" applyFont="1" applyFill="1" applyBorder="1" applyAlignment="1">
      <alignment vertical="center"/>
    </xf>
    <xf numFmtId="164" fontId="18" fillId="21" borderId="2" xfId="2" applyNumberFormat="1" applyFont="1" applyFill="1" applyBorder="1" applyAlignment="1">
      <alignment vertical="center" wrapText="1"/>
    </xf>
    <xf numFmtId="164" fontId="13" fillId="20" borderId="2" xfId="2" applyNumberFormat="1" applyFont="1" applyFill="1" applyBorder="1" applyAlignment="1">
      <alignment vertical="center"/>
    </xf>
    <xf numFmtId="164" fontId="18" fillId="20" borderId="2" xfId="2" applyNumberFormat="1" applyFont="1" applyFill="1" applyBorder="1" applyAlignment="1">
      <alignment vertical="center"/>
    </xf>
    <xf numFmtId="164" fontId="18" fillId="20" borderId="2" xfId="2" applyNumberFormat="1" applyFont="1" applyFill="1" applyBorder="1" applyAlignment="1">
      <alignment vertical="center" wrapText="1"/>
    </xf>
    <xf numFmtId="168" fontId="13" fillId="15" borderId="2" xfId="2" applyNumberFormat="1" applyFont="1" applyFill="1" applyBorder="1" applyAlignment="1">
      <alignment vertical="center" wrapText="1"/>
    </xf>
    <xf numFmtId="168" fontId="13" fillId="20" borderId="2" xfId="2" applyNumberFormat="1" applyFont="1" applyFill="1" applyBorder="1" applyAlignment="1">
      <alignment vertical="center" wrapText="1"/>
    </xf>
    <xf numFmtId="169" fontId="13" fillId="15" borderId="2" xfId="2" applyNumberFormat="1" applyFont="1" applyFill="1" applyBorder="1" applyAlignment="1">
      <alignment vertical="center" wrapText="1"/>
    </xf>
    <xf numFmtId="169" fontId="13" fillId="20" borderId="2" xfId="2" applyNumberFormat="1" applyFont="1" applyFill="1" applyBorder="1" applyAlignment="1">
      <alignment vertical="center" wrapText="1"/>
    </xf>
    <xf numFmtId="170" fontId="13" fillId="15" borderId="2" xfId="2" applyNumberFormat="1" applyFont="1" applyFill="1" applyBorder="1" applyAlignment="1">
      <alignment vertical="center" wrapText="1"/>
    </xf>
    <xf numFmtId="170" fontId="13" fillId="20" borderId="2" xfId="2" applyNumberFormat="1" applyFont="1" applyFill="1" applyBorder="1" applyAlignment="1">
      <alignment vertical="center" wrapText="1"/>
    </xf>
    <xf numFmtId="171" fontId="13" fillId="15" borderId="2" xfId="2" applyNumberFormat="1" applyFont="1" applyFill="1" applyBorder="1" applyAlignment="1">
      <alignment vertical="center" wrapText="1"/>
    </xf>
    <xf numFmtId="171" fontId="13" fillId="20" borderId="2" xfId="2" applyNumberFormat="1" applyFont="1" applyFill="1" applyBorder="1" applyAlignment="1">
      <alignment vertical="center" wrapText="1"/>
    </xf>
    <xf numFmtId="172" fontId="13" fillId="15" borderId="2" xfId="2" applyNumberFormat="1" applyFont="1" applyFill="1" applyBorder="1" applyAlignment="1">
      <alignment vertical="center" wrapText="1"/>
    </xf>
    <xf numFmtId="172" fontId="13" fillId="20" borderId="2" xfId="2" applyNumberFormat="1" applyFont="1" applyFill="1" applyBorder="1" applyAlignment="1">
      <alignment vertical="center" wrapText="1"/>
    </xf>
    <xf numFmtId="164" fontId="14" fillId="17" borderId="2" xfId="2" applyNumberFormat="1" applyFont="1" applyFill="1" applyBorder="1" applyAlignment="1">
      <alignment vertical="center" wrapText="1"/>
    </xf>
    <xf numFmtId="165" fontId="16" fillId="18" borderId="2" xfId="2" applyNumberFormat="1" applyFont="1" applyFill="1" applyBorder="1" applyAlignment="1">
      <alignment vertical="center" wrapText="1"/>
    </xf>
    <xf numFmtId="164" fontId="13" fillId="21" borderId="2" xfId="2" applyNumberFormat="1" applyFont="1" applyFill="1" applyBorder="1" applyAlignment="1">
      <alignment vertical="center" wrapText="1"/>
    </xf>
  </cellXfs>
  <cellStyles count="2">
    <cellStyle name="Normal" xfId="1" xr:uid="{00000000-0005-0000-0000-000001000000}"/>
    <cellStyle name="표준" xfId="0" builtinId="0"/>
  </cellStyles>
  <dxfs count="4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0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geDefinitionsTable" displayName="StageDefinitionsTable" ref="A1:N33" totalsRowShown="0">
  <autoFilter ref="A1:N33" xr:uid="{00000000-0009-0000-0100-000001000000}"/>
  <tableColumns count="14">
    <tableColumn id="1" xr3:uid="{00000000-0010-0000-0000-000001000000}" name="StageType"/>
    <tableColumn id="2" xr3:uid="{00000000-0010-0000-0000-000002000000}" name="Stage"/>
    <tableColumn id="3" xr3:uid="{00000000-0010-0000-0000-000003000000}" name="Wave"/>
    <tableColumn id="4" xr3:uid="{00000000-0010-0000-0000-000004000000}" name="FlowType"/>
    <tableColumn id="5" xr3:uid="{00000000-0010-0000-0000-000005000000}" name="MonsterStatMultiplier"/>
    <tableColumn id="6" xr3:uid="{00000000-0010-0000-0000-000006000000}" name="EnvironmentId"/>
    <tableColumn id="7" xr3:uid="{00000000-0010-0000-0000-000007000000}" name="SpawnPointSetId"/>
    <tableColumn id="8" xr3:uid="{00000000-0010-0000-0000-000008000000}" name="FlowConfigId"/>
    <tableColumn id="9" xr3:uid="{00000000-0010-0000-0000-000009000000}" name="RewardGroupId"/>
    <tableColumn id="10" xr3:uid="{00000000-0010-0000-0000-00000A000000}" name="TimeLimitSec"/>
    <tableColumn id="11" xr3:uid="{00000000-0010-0000-0000-00000B000000}" name="LoopSpawnIntervalSec"/>
    <tableColumn id="12" xr3:uid="{00000000-0010-0000-0000-00000C000000}" name="LoopSpawnAliveThreshold"/>
    <tableColumn id="13" xr3:uid="{00000000-0010-0000-0000-00000D000000}" name="BgmType"/>
    <tableColumn id="14" xr3:uid="{00000000-0010-0000-0000-00000E000000}" name="Enable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geMonstersTable" displayName="StageMonstersTable" ref="A1:I47" totalsRowShown="0">
  <autoFilter ref="A1:I47" xr:uid="{00000000-0009-0000-0100-000002000000}"/>
  <tableColumns count="9">
    <tableColumn id="1" xr3:uid="{00000000-0010-0000-0100-000001000000}" name="StageType"/>
    <tableColumn id="2" xr3:uid="{00000000-0010-0000-0100-000002000000}" name="Stage"/>
    <tableColumn id="3" xr3:uid="{00000000-0010-0000-0100-000003000000}" name="Wave"/>
    <tableColumn id="4" xr3:uid="{00000000-0010-0000-0100-000004000000}" name="MonsterName"/>
    <tableColumn id="5" xr3:uid="{00000000-0010-0000-0100-000005000000}" name="Count"/>
    <tableColumn id="6" xr3:uid="{00000000-0010-0000-0100-000006000000}" name="SpawnWeight"/>
    <tableColumn id="7" xr3:uid="{00000000-0010-0000-0100-000007000000}" name="SpawnPhase"/>
    <tableColumn id="8" xr3:uid="{00000000-0010-0000-0100-000008000000}" name="SpawnPointGroupId"/>
    <tableColumn id="9" xr3:uid="{00000000-0010-0000-0100-000009000000}" name="SpawnDelaySe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ossFlowTable" displayName="BossFlowTable" ref="A1:E3" totalsRowShown="0">
  <autoFilter ref="A1:E3" xr:uid="{00000000-0009-0000-0100-000003000000}"/>
  <tableColumns count="5">
    <tableColumn id="1" xr3:uid="{00000000-0010-0000-0200-000001000000}" name="FlowConfigId"/>
    <tableColumn id="2" xr3:uid="{00000000-0010-0000-0200-000002000000}" name="BossMonsterType"/>
    <tableColumn id="3" xr3:uid="{00000000-0010-0000-0200-000003000000}" name="ClearRemainingMonsters"/>
    <tableColumn id="4" xr3:uid="{00000000-0010-0000-0200-000004000000}" name="DefeatAction"/>
    <tableColumn id="5" xr3:uid="{00000000-0010-0000-0200-000005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KillCountFlowTable" displayName="KillCountFlowTable" ref="A1:E6" totalsRowShown="0">
  <autoFilter ref="A1:E6" xr:uid="{00000000-0009-0000-0100-000004000000}"/>
  <tableColumns count="5">
    <tableColumn id="1" xr3:uid="{00000000-0010-0000-0300-000001000000}" name="FlowConfigId"/>
    <tableColumn id="2" xr3:uid="{00000000-0010-0000-0300-000002000000}" name="RequiredKillCount"/>
    <tableColumn id="3" xr3:uid="{00000000-0010-0000-0300-000003000000}" name="TargetMonsterType"/>
    <tableColumn id="4" xr3:uid="{00000000-0010-0000-0300-000004000000}" name="DefeatAction"/>
    <tableColumn id="5" xr3:uid="{00000000-0010-0000-0300-000005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deListsTable" displayName="CodeListsTable" ref="A1:L7" totalsRowShown="0">
  <autoFilter ref="A1:L7" xr:uid="{00000000-0009-0000-0100-000005000000}"/>
  <tableColumns count="12">
    <tableColumn id="1" xr3:uid="{00000000-0010-0000-0400-000001000000}" name="StageType"/>
    <tableColumn id="2" xr3:uid="{00000000-0010-0000-0400-000002000000}" name="StageTypeDescription"/>
    <tableColumn id="3" xr3:uid="{00000000-0010-0000-0400-000003000000}" name="FlowType"/>
    <tableColumn id="4" xr3:uid="{00000000-0010-0000-0400-000004000000}" name="FlowTypeDescription"/>
    <tableColumn id="5" xr3:uid="{00000000-0010-0000-0400-000005000000}" name="DefeatAction"/>
    <tableColumn id="6" xr3:uid="{00000000-0010-0000-0400-000006000000}" name="DefeatActionDescription"/>
    <tableColumn id="7" xr3:uid="{00000000-0010-0000-0400-000007000000}" name="SpawnPhase"/>
    <tableColumn id="8" xr3:uid="{00000000-0010-0000-0400-000008000000}" name="SpawnPhaseDescription"/>
    <tableColumn id="9" xr3:uid="{00000000-0010-0000-0400-000009000000}" name="EnvironmentId"/>
    <tableColumn id="10" xr3:uid="{00000000-0010-0000-0400-00000A000000}" name="EnvironmentDescription"/>
    <tableColumn id="11" xr3:uid="{00000000-0010-0000-0400-00000B000000}" name="SpawnPointSetId"/>
    <tableColumn id="12" xr3:uid="{00000000-0010-0000-0400-00000C000000}" name="SpawnPointSet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showGridLines="0" topLeftCell="F1" zoomScale="90" workbookViewId="0">
      <pane xSplit="3" ySplit="1" topLeftCell="D14" activePane="bottomRight" state="frozen"/>
      <selection pane="topRight"/>
      <selection pane="bottomLeft"/>
      <selection pane="bottomRight" activeCell="I32" sqref="I32"/>
    </sheetView>
  </sheetViews>
  <sheetFormatPr defaultRowHeight="13.8"/>
  <cols>
    <col min="1" max="1" width="16" customWidth="1"/>
    <col min="2" max="3" width="9" customWidth="1"/>
    <col min="4" max="4" width="22" customWidth="1"/>
    <col min="5" max="5" width="20" customWidth="1"/>
    <col min="6" max="6" width="18" customWidth="1"/>
    <col min="7" max="7" width="22" customWidth="1"/>
    <col min="8" max="8" width="23" customWidth="1"/>
    <col min="9" max="9" width="20" customWidth="1"/>
    <col min="10" max="10" width="15" customWidth="1"/>
    <col min="11" max="11" width="23" customWidth="1"/>
    <col min="12" max="12" width="25" customWidth="1"/>
    <col min="13" max="13" width="14" customWidth="1"/>
    <col min="14" max="14" width="12" customWidth="1"/>
  </cols>
  <sheetData>
    <row r="1" spans="1:14" ht="34.049999999999997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 t="s">
        <v>14</v>
      </c>
      <c r="B2" s="5">
        <v>1</v>
      </c>
      <c r="C2" s="5">
        <v>1</v>
      </c>
      <c r="D2" s="6" t="s">
        <v>15</v>
      </c>
      <c r="E2" s="7">
        <v>1</v>
      </c>
      <c r="F2" s="6" t="s">
        <v>16</v>
      </c>
      <c r="G2" s="8" t="s">
        <v>17</v>
      </c>
      <c r="H2" s="9"/>
      <c r="I2" s="9"/>
      <c r="J2" s="7">
        <v>0</v>
      </c>
      <c r="K2" s="6">
        <v>0</v>
      </c>
      <c r="L2" s="6">
        <v>0</v>
      </c>
      <c r="M2" s="10" t="s">
        <v>18</v>
      </c>
      <c r="N2" s="11" t="s">
        <v>19</v>
      </c>
    </row>
    <row r="3" spans="1:14">
      <c r="A3" s="5" t="s">
        <v>14</v>
      </c>
      <c r="B3" s="5">
        <v>1</v>
      </c>
      <c r="C3" s="5">
        <v>2</v>
      </c>
      <c r="D3" s="6" t="s">
        <v>15</v>
      </c>
      <c r="E3" s="7">
        <v>1</v>
      </c>
      <c r="F3" s="6" t="s">
        <v>16</v>
      </c>
      <c r="G3" s="8" t="s">
        <v>17</v>
      </c>
      <c r="H3" s="9"/>
      <c r="I3" s="9"/>
      <c r="J3" s="7">
        <v>0</v>
      </c>
      <c r="K3" s="6">
        <v>0</v>
      </c>
      <c r="L3" s="6">
        <v>0</v>
      </c>
      <c r="M3" s="10" t="s">
        <v>18</v>
      </c>
      <c r="N3" s="11" t="s">
        <v>19</v>
      </c>
    </row>
    <row r="4" spans="1:14">
      <c r="A4" s="5" t="s">
        <v>14</v>
      </c>
      <c r="B4" s="5">
        <v>1</v>
      </c>
      <c r="C4" s="5">
        <v>3</v>
      </c>
      <c r="D4" s="6" t="s">
        <v>15</v>
      </c>
      <c r="E4" s="7">
        <v>1</v>
      </c>
      <c r="F4" s="6" t="s">
        <v>16</v>
      </c>
      <c r="G4" s="8" t="s">
        <v>17</v>
      </c>
      <c r="H4" s="9"/>
      <c r="I4" s="9"/>
      <c r="J4" s="7">
        <v>0</v>
      </c>
      <c r="K4" s="6">
        <v>0</v>
      </c>
      <c r="L4" s="6">
        <v>0</v>
      </c>
      <c r="M4" s="10" t="s">
        <v>18</v>
      </c>
      <c r="N4" s="11" t="s">
        <v>19</v>
      </c>
    </row>
    <row r="5" spans="1:14">
      <c r="A5" s="5" t="s">
        <v>14</v>
      </c>
      <c r="B5" s="5">
        <v>1</v>
      </c>
      <c r="C5" s="5">
        <v>4</v>
      </c>
      <c r="D5" s="6" t="s">
        <v>15</v>
      </c>
      <c r="E5" s="7">
        <v>1</v>
      </c>
      <c r="F5" s="6" t="s">
        <v>16</v>
      </c>
      <c r="G5" s="8" t="s">
        <v>17</v>
      </c>
      <c r="H5" s="9"/>
      <c r="I5" s="9"/>
      <c r="J5" s="7">
        <v>0</v>
      </c>
      <c r="K5" s="6">
        <v>0</v>
      </c>
      <c r="L5" s="6">
        <v>0</v>
      </c>
      <c r="M5" s="10" t="s">
        <v>18</v>
      </c>
      <c r="N5" s="11" t="s">
        <v>19</v>
      </c>
    </row>
    <row r="6" spans="1:14">
      <c r="A6" s="5" t="s">
        <v>14</v>
      </c>
      <c r="B6" s="5">
        <v>1</v>
      </c>
      <c r="C6" s="5">
        <v>5</v>
      </c>
      <c r="D6" s="6" t="s">
        <v>15</v>
      </c>
      <c r="E6" s="7">
        <v>1</v>
      </c>
      <c r="F6" s="6" t="s">
        <v>16</v>
      </c>
      <c r="G6" s="8" t="s">
        <v>17</v>
      </c>
      <c r="H6" s="9"/>
      <c r="I6" s="9"/>
      <c r="J6" s="7">
        <v>0</v>
      </c>
      <c r="K6" s="6">
        <v>0</v>
      </c>
      <c r="L6" s="6">
        <v>0</v>
      </c>
      <c r="M6" s="10" t="s">
        <v>18</v>
      </c>
      <c r="N6" s="11" t="s">
        <v>19</v>
      </c>
    </row>
    <row r="7" spans="1:14">
      <c r="A7" s="5" t="s">
        <v>14</v>
      </c>
      <c r="B7" s="5">
        <v>1</v>
      </c>
      <c r="C7" s="5">
        <v>6</v>
      </c>
      <c r="D7" s="6" t="s">
        <v>15</v>
      </c>
      <c r="E7" s="7">
        <v>1</v>
      </c>
      <c r="F7" s="6" t="s">
        <v>16</v>
      </c>
      <c r="G7" s="8" t="s">
        <v>17</v>
      </c>
      <c r="H7" s="9"/>
      <c r="I7" s="9"/>
      <c r="J7" s="7">
        <v>0</v>
      </c>
      <c r="K7" s="6">
        <v>0</v>
      </c>
      <c r="L7" s="6">
        <v>0</v>
      </c>
      <c r="M7" s="10" t="s">
        <v>18</v>
      </c>
      <c r="N7" s="11" t="s">
        <v>19</v>
      </c>
    </row>
    <row r="8" spans="1:14">
      <c r="A8" s="5" t="s">
        <v>14</v>
      </c>
      <c r="B8" s="5">
        <v>1</v>
      </c>
      <c r="C8" s="5">
        <v>7</v>
      </c>
      <c r="D8" s="6" t="s">
        <v>15</v>
      </c>
      <c r="E8" s="7">
        <v>1</v>
      </c>
      <c r="F8" s="6" t="s">
        <v>16</v>
      </c>
      <c r="G8" s="8" t="s">
        <v>17</v>
      </c>
      <c r="H8" s="9"/>
      <c r="I8" s="9"/>
      <c r="J8" s="7">
        <v>0</v>
      </c>
      <c r="K8" s="6">
        <v>0</v>
      </c>
      <c r="L8" s="6">
        <v>0</v>
      </c>
      <c r="M8" s="10" t="s">
        <v>18</v>
      </c>
      <c r="N8" s="11" t="s">
        <v>19</v>
      </c>
    </row>
    <row r="9" spans="1:14">
      <c r="A9" s="5" t="s">
        <v>14</v>
      </c>
      <c r="B9" s="5">
        <v>1</v>
      </c>
      <c r="C9" s="5">
        <v>8</v>
      </c>
      <c r="D9" s="6" t="s">
        <v>15</v>
      </c>
      <c r="E9" s="7">
        <v>1</v>
      </c>
      <c r="F9" s="6" t="s">
        <v>16</v>
      </c>
      <c r="G9" s="8" t="s">
        <v>17</v>
      </c>
      <c r="H9" s="9"/>
      <c r="I9" s="9"/>
      <c r="J9" s="7">
        <v>0</v>
      </c>
      <c r="K9" s="6">
        <v>0</v>
      </c>
      <c r="L9" s="6">
        <v>0</v>
      </c>
      <c r="M9" s="10" t="s">
        <v>18</v>
      </c>
      <c r="N9" s="11" t="s">
        <v>19</v>
      </c>
    </row>
    <row r="10" spans="1:14">
      <c r="A10" s="5" t="s">
        <v>14</v>
      </c>
      <c r="B10" s="5">
        <v>1</v>
      </c>
      <c r="C10" s="5">
        <v>9</v>
      </c>
      <c r="D10" s="6" t="s">
        <v>15</v>
      </c>
      <c r="E10" s="7">
        <v>1</v>
      </c>
      <c r="F10" s="6" t="s">
        <v>16</v>
      </c>
      <c r="G10" s="8" t="s">
        <v>17</v>
      </c>
      <c r="H10" s="9"/>
      <c r="I10" s="9"/>
      <c r="J10" s="7">
        <v>0</v>
      </c>
      <c r="K10" s="6">
        <v>0</v>
      </c>
      <c r="L10" s="6">
        <v>0</v>
      </c>
      <c r="M10" s="10" t="s">
        <v>18</v>
      </c>
      <c r="N10" s="11" t="s">
        <v>19</v>
      </c>
    </row>
    <row r="11" spans="1:14">
      <c r="A11" s="5" t="s">
        <v>14</v>
      </c>
      <c r="B11" s="5">
        <v>1</v>
      </c>
      <c r="C11" s="5">
        <v>10</v>
      </c>
      <c r="D11" s="6" t="s">
        <v>15</v>
      </c>
      <c r="E11" s="7">
        <v>1</v>
      </c>
      <c r="F11" s="6" t="s">
        <v>16</v>
      </c>
      <c r="G11" s="8" t="s">
        <v>17</v>
      </c>
      <c r="H11" s="9"/>
      <c r="I11" s="9"/>
      <c r="J11" s="7">
        <v>0</v>
      </c>
      <c r="K11" s="6">
        <v>0</v>
      </c>
      <c r="L11" s="6">
        <v>0</v>
      </c>
      <c r="M11" s="10" t="s">
        <v>18</v>
      </c>
      <c r="N11" s="11" t="s">
        <v>19</v>
      </c>
    </row>
    <row r="12" spans="1:14">
      <c r="A12" s="5" t="s">
        <v>14</v>
      </c>
      <c r="B12" s="5">
        <v>1</v>
      </c>
      <c r="C12" s="5">
        <v>11</v>
      </c>
      <c r="D12" s="6" t="s">
        <v>15</v>
      </c>
      <c r="E12" s="7">
        <v>1</v>
      </c>
      <c r="F12" s="6" t="s">
        <v>16</v>
      </c>
      <c r="G12" s="8" t="s">
        <v>17</v>
      </c>
      <c r="H12" s="9"/>
      <c r="I12" s="9"/>
      <c r="J12" s="7">
        <v>30</v>
      </c>
      <c r="K12" s="6">
        <v>0</v>
      </c>
      <c r="L12" s="6">
        <v>0</v>
      </c>
      <c r="M12" s="10" t="s">
        <v>18</v>
      </c>
      <c r="N12" s="11" t="s">
        <v>19</v>
      </c>
    </row>
    <row r="13" spans="1:14">
      <c r="A13" s="5" t="s">
        <v>14</v>
      </c>
      <c r="B13" s="5">
        <v>2</v>
      </c>
      <c r="C13" s="5">
        <v>1</v>
      </c>
      <c r="D13" s="6" t="s">
        <v>15</v>
      </c>
      <c r="E13" s="7">
        <v>1</v>
      </c>
      <c r="F13" s="6" t="s">
        <v>20</v>
      </c>
      <c r="G13" s="8" t="s">
        <v>17</v>
      </c>
      <c r="H13" s="9"/>
      <c r="I13" s="9"/>
      <c r="J13" s="7">
        <v>0</v>
      </c>
      <c r="K13" s="6">
        <v>0</v>
      </c>
      <c r="L13" s="6">
        <v>0</v>
      </c>
      <c r="M13" s="10" t="s">
        <v>18</v>
      </c>
      <c r="N13" s="11" t="s">
        <v>19</v>
      </c>
    </row>
    <row r="14" spans="1:14">
      <c r="A14" s="5" t="s">
        <v>14</v>
      </c>
      <c r="B14" s="5">
        <v>2</v>
      </c>
      <c r="C14" s="5">
        <v>2</v>
      </c>
      <c r="D14" s="6" t="s">
        <v>15</v>
      </c>
      <c r="E14" s="7">
        <v>1</v>
      </c>
      <c r="F14" s="6" t="s">
        <v>20</v>
      </c>
      <c r="G14" s="8" t="s">
        <v>17</v>
      </c>
      <c r="H14" s="9"/>
      <c r="I14" s="9"/>
      <c r="J14" s="7">
        <v>0</v>
      </c>
      <c r="K14" s="6">
        <v>0</v>
      </c>
      <c r="L14" s="6">
        <v>0</v>
      </c>
      <c r="M14" s="10" t="s">
        <v>18</v>
      </c>
      <c r="N14" s="11" t="s">
        <v>19</v>
      </c>
    </row>
    <row r="15" spans="1:14">
      <c r="A15" s="5" t="s">
        <v>14</v>
      </c>
      <c r="B15" s="5">
        <v>2</v>
      </c>
      <c r="C15" s="5">
        <v>3</v>
      </c>
      <c r="D15" s="6" t="s">
        <v>15</v>
      </c>
      <c r="E15" s="7">
        <v>1</v>
      </c>
      <c r="F15" s="6" t="s">
        <v>20</v>
      </c>
      <c r="G15" s="8" t="s">
        <v>17</v>
      </c>
      <c r="H15" s="9"/>
      <c r="I15" s="9"/>
      <c r="J15" s="7">
        <v>0</v>
      </c>
      <c r="K15" s="6">
        <v>0</v>
      </c>
      <c r="L15" s="6">
        <v>0</v>
      </c>
      <c r="M15" s="10" t="s">
        <v>18</v>
      </c>
      <c r="N15" s="11" t="s">
        <v>19</v>
      </c>
    </row>
    <row r="16" spans="1:14">
      <c r="A16" s="5" t="s">
        <v>14</v>
      </c>
      <c r="B16" s="5">
        <v>2</v>
      </c>
      <c r="C16" s="5">
        <v>4</v>
      </c>
      <c r="D16" s="6" t="s">
        <v>15</v>
      </c>
      <c r="E16" s="7">
        <v>1</v>
      </c>
      <c r="F16" s="6" t="s">
        <v>20</v>
      </c>
      <c r="G16" s="8" t="s">
        <v>17</v>
      </c>
      <c r="H16" s="9"/>
      <c r="I16" s="9"/>
      <c r="J16" s="7">
        <v>0</v>
      </c>
      <c r="K16" s="6">
        <v>0</v>
      </c>
      <c r="L16" s="6">
        <v>0</v>
      </c>
      <c r="M16" s="10" t="s">
        <v>18</v>
      </c>
      <c r="N16" s="11" t="s">
        <v>19</v>
      </c>
    </row>
    <row r="17" spans="1:14">
      <c r="A17" s="5" t="s">
        <v>14</v>
      </c>
      <c r="B17" s="5">
        <v>2</v>
      </c>
      <c r="C17" s="5">
        <v>5</v>
      </c>
      <c r="D17" s="6" t="s">
        <v>15</v>
      </c>
      <c r="E17" s="7">
        <v>1</v>
      </c>
      <c r="F17" s="6" t="s">
        <v>20</v>
      </c>
      <c r="G17" s="8" t="s">
        <v>17</v>
      </c>
      <c r="H17" s="9"/>
      <c r="I17" s="9"/>
      <c r="J17" s="7">
        <v>0</v>
      </c>
      <c r="K17" s="6">
        <v>0</v>
      </c>
      <c r="L17" s="6">
        <v>0</v>
      </c>
      <c r="M17" s="10" t="s">
        <v>18</v>
      </c>
      <c r="N17" s="11" t="s">
        <v>19</v>
      </c>
    </row>
    <row r="18" spans="1:14">
      <c r="A18" s="5" t="s">
        <v>14</v>
      </c>
      <c r="B18" s="5">
        <v>2</v>
      </c>
      <c r="C18" s="5">
        <v>6</v>
      </c>
      <c r="D18" s="6" t="s">
        <v>15</v>
      </c>
      <c r="E18" s="7">
        <v>1</v>
      </c>
      <c r="F18" s="6" t="s">
        <v>20</v>
      </c>
      <c r="G18" s="8" t="s">
        <v>17</v>
      </c>
      <c r="H18" s="9"/>
      <c r="I18" s="9"/>
      <c r="J18" s="7">
        <v>0</v>
      </c>
      <c r="K18" s="6">
        <v>0</v>
      </c>
      <c r="L18" s="6">
        <v>0</v>
      </c>
      <c r="M18" s="10" t="s">
        <v>18</v>
      </c>
      <c r="N18" s="11" t="s">
        <v>19</v>
      </c>
    </row>
    <row r="19" spans="1:14">
      <c r="A19" s="5" t="s">
        <v>14</v>
      </c>
      <c r="B19" s="5">
        <v>2</v>
      </c>
      <c r="C19" s="5">
        <v>7</v>
      </c>
      <c r="D19" s="6" t="s">
        <v>15</v>
      </c>
      <c r="E19" s="7">
        <v>1</v>
      </c>
      <c r="F19" s="6" t="s">
        <v>20</v>
      </c>
      <c r="G19" s="8" t="s">
        <v>17</v>
      </c>
      <c r="H19" s="9"/>
      <c r="I19" s="9"/>
      <c r="J19" s="7">
        <v>0</v>
      </c>
      <c r="K19" s="6">
        <v>0</v>
      </c>
      <c r="L19" s="6">
        <v>0</v>
      </c>
      <c r="M19" s="10" t="s">
        <v>18</v>
      </c>
      <c r="N19" s="11" t="s">
        <v>19</v>
      </c>
    </row>
    <row r="20" spans="1:14">
      <c r="A20" s="5" t="s">
        <v>14</v>
      </c>
      <c r="B20" s="5">
        <v>2</v>
      </c>
      <c r="C20" s="5">
        <v>8</v>
      </c>
      <c r="D20" s="6" t="s">
        <v>15</v>
      </c>
      <c r="E20" s="7">
        <v>1</v>
      </c>
      <c r="F20" s="6" t="s">
        <v>20</v>
      </c>
      <c r="G20" s="8" t="s">
        <v>17</v>
      </c>
      <c r="H20" s="9"/>
      <c r="I20" s="9"/>
      <c r="J20" s="7">
        <v>0</v>
      </c>
      <c r="K20" s="6">
        <v>0</v>
      </c>
      <c r="L20" s="6">
        <v>0</v>
      </c>
      <c r="M20" s="10" t="s">
        <v>18</v>
      </c>
      <c r="N20" s="11" t="s">
        <v>19</v>
      </c>
    </row>
    <row r="21" spans="1:14">
      <c r="A21" s="5" t="s">
        <v>14</v>
      </c>
      <c r="B21" s="5">
        <v>2</v>
      </c>
      <c r="C21" s="5">
        <v>9</v>
      </c>
      <c r="D21" s="6" t="s">
        <v>15</v>
      </c>
      <c r="E21" s="7">
        <v>1</v>
      </c>
      <c r="F21" s="6" t="s">
        <v>20</v>
      </c>
      <c r="G21" s="8" t="s">
        <v>17</v>
      </c>
      <c r="H21" s="9"/>
      <c r="I21" s="9"/>
      <c r="J21" s="7">
        <v>0</v>
      </c>
      <c r="K21" s="6">
        <v>0</v>
      </c>
      <c r="L21" s="6">
        <v>0</v>
      </c>
      <c r="M21" s="10" t="s">
        <v>18</v>
      </c>
      <c r="N21" s="11" t="s">
        <v>19</v>
      </c>
    </row>
    <row r="22" spans="1:14">
      <c r="A22" s="5" t="s">
        <v>14</v>
      </c>
      <c r="B22" s="5">
        <v>2</v>
      </c>
      <c r="C22" s="5">
        <v>10</v>
      </c>
      <c r="D22" s="6" t="s">
        <v>15</v>
      </c>
      <c r="E22" s="7">
        <v>1</v>
      </c>
      <c r="F22" s="6" t="s">
        <v>20</v>
      </c>
      <c r="G22" s="8" t="s">
        <v>17</v>
      </c>
      <c r="H22" s="9"/>
      <c r="I22" s="9"/>
      <c r="J22" s="7">
        <v>0</v>
      </c>
      <c r="K22" s="6">
        <v>0</v>
      </c>
      <c r="L22" s="6">
        <v>0</v>
      </c>
      <c r="M22" s="10" t="s">
        <v>18</v>
      </c>
      <c r="N22" s="11" t="s">
        <v>19</v>
      </c>
    </row>
    <row r="23" spans="1:14">
      <c r="A23" s="5" t="s">
        <v>14</v>
      </c>
      <c r="B23" s="5">
        <v>2</v>
      </c>
      <c r="C23" s="5">
        <v>11</v>
      </c>
      <c r="D23" s="6" t="s">
        <v>15</v>
      </c>
      <c r="E23" s="7">
        <v>1</v>
      </c>
      <c r="F23" s="6" t="s">
        <v>20</v>
      </c>
      <c r="G23" s="8" t="s">
        <v>17</v>
      </c>
      <c r="H23" s="9"/>
      <c r="I23" s="9"/>
      <c r="J23" s="7">
        <v>30</v>
      </c>
      <c r="K23" s="6">
        <v>0</v>
      </c>
      <c r="L23" s="6">
        <v>0</v>
      </c>
      <c r="M23" s="10" t="s">
        <v>18</v>
      </c>
      <c r="N23" s="11" t="s">
        <v>19</v>
      </c>
    </row>
    <row r="24" spans="1:14">
      <c r="A24" s="5" t="s">
        <v>21</v>
      </c>
      <c r="B24" s="5">
        <v>1</v>
      </c>
      <c r="C24" s="5">
        <v>1</v>
      </c>
      <c r="D24" s="12" t="s">
        <v>22</v>
      </c>
      <c r="E24" s="13">
        <v>1</v>
      </c>
      <c r="F24" s="12" t="s">
        <v>21</v>
      </c>
      <c r="G24" s="8" t="s">
        <v>23</v>
      </c>
      <c r="H24" s="9" t="s">
        <v>24</v>
      </c>
      <c r="I24" s="9" t="s">
        <v>25</v>
      </c>
      <c r="J24" s="13">
        <v>30</v>
      </c>
      <c r="K24" s="12">
        <v>0</v>
      </c>
      <c r="L24" s="12">
        <v>0</v>
      </c>
      <c r="M24" s="10" t="s">
        <v>18</v>
      </c>
      <c r="N24" s="11" t="s">
        <v>19</v>
      </c>
    </row>
    <row r="25" spans="1:14">
      <c r="A25" s="5" t="s">
        <v>21</v>
      </c>
      <c r="B25" s="5">
        <v>2</v>
      </c>
      <c r="C25" s="5">
        <v>1</v>
      </c>
      <c r="D25" s="12" t="s">
        <v>22</v>
      </c>
      <c r="E25" s="13">
        <v>1.5</v>
      </c>
      <c r="F25" s="12" t="s">
        <v>21</v>
      </c>
      <c r="G25" s="8" t="s">
        <v>23</v>
      </c>
      <c r="H25" s="9" t="s">
        <v>24</v>
      </c>
      <c r="I25" s="9" t="s">
        <v>26</v>
      </c>
      <c r="J25" s="13">
        <v>30</v>
      </c>
      <c r="K25" s="12">
        <v>0</v>
      </c>
      <c r="L25" s="12">
        <v>0</v>
      </c>
      <c r="M25" s="10" t="s">
        <v>18</v>
      </c>
      <c r="N25" s="11" t="s">
        <v>19</v>
      </c>
    </row>
    <row r="26" spans="1:14">
      <c r="A26" s="5" t="s">
        <v>21</v>
      </c>
      <c r="B26" s="5">
        <v>3</v>
      </c>
      <c r="C26" s="5">
        <v>1</v>
      </c>
      <c r="D26" s="12" t="s">
        <v>22</v>
      </c>
      <c r="E26" s="13">
        <v>2</v>
      </c>
      <c r="F26" s="12" t="s">
        <v>21</v>
      </c>
      <c r="G26" s="8" t="s">
        <v>23</v>
      </c>
      <c r="H26" s="9" t="s">
        <v>24</v>
      </c>
      <c r="I26" s="9" t="s">
        <v>27</v>
      </c>
      <c r="J26" s="13">
        <v>30</v>
      </c>
      <c r="K26" s="12">
        <v>0</v>
      </c>
      <c r="L26" s="12">
        <v>0</v>
      </c>
      <c r="M26" s="10" t="s">
        <v>18</v>
      </c>
      <c r="N26" s="11" t="s">
        <v>19</v>
      </c>
    </row>
    <row r="27" spans="1:14">
      <c r="A27" s="5" t="s">
        <v>21</v>
      </c>
      <c r="B27" s="5">
        <v>4</v>
      </c>
      <c r="C27" s="5">
        <v>1</v>
      </c>
      <c r="D27" s="12" t="s">
        <v>22</v>
      </c>
      <c r="E27" s="13">
        <v>2.5</v>
      </c>
      <c r="F27" s="12" t="s">
        <v>21</v>
      </c>
      <c r="G27" s="8" t="s">
        <v>23</v>
      </c>
      <c r="H27" s="9" t="s">
        <v>28</v>
      </c>
      <c r="I27" s="9" t="s">
        <v>29</v>
      </c>
      <c r="J27" s="13">
        <v>30</v>
      </c>
      <c r="K27" s="12">
        <v>0</v>
      </c>
      <c r="L27" s="12">
        <v>0</v>
      </c>
      <c r="M27" s="10" t="s">
        <v>18</v>
      </c>
      <c r="N27" s="11" t="s">
        <v>19</v>
      </c>
    </row>
    <row r="28" spans="1:14">
      <c r="A28" s="5" t="s">
        <v>21</v>
      </c>
      <c r="B28" s="5">
        <v>5</v>
      </c>
      <c r="C28" s="5">
        <v>1</v>
      </c>
      <c r="D28" s="12" t="s">
        <v>22</v>
      </c>
      <c r="E28" s="13">
        <v>3</v>
      </c>
      <c r="F28" s="12" t="s">
        <v>21</v>
      </c>
      <c r="G28" s="8" t="s">
        <v>23</v>
      </c>
      <c r="H28" s="9" t="s">
        <v>28</v>
      </c>
      <c r="I28" s="9" t="s">
        <v>30</v>
      </c>
      <c r="J28" s="13">
        <v>30</v>
      </c>
      <c r="K28" s="12">
        <v>0</v>
      </c>
      <c r="L28" s="12">
        <v>0</v>
      </c>
      <c r="M28" s="10" t="s">
        <v>18</v>
      </c>
      <c r="N28" s="11" t="s">
        <v>19</v>
      </c>
    </row>
    <row r="29" spans="1:14">
      <c r="A29" s="5" t="s">
        <v>31</v>
      </c>
      <c r="B29" s="5">
        <v>1</v>
      </c>
      <c r="C29" s="5">
        <v>1</v>
      </c>
      <c r="D29" s="14" t="s">
        <v>32</v>
      </c>
      <c r="E29" s="15">
        <v>1</v>
      </c>
      <c r="F29" s="14" t="s">
        <v>31</v>
      </c>
      <c r="G29" s="8" t="s">
        <v>33</v>
      </c>
      <c r="H29" s="9" t="s">
        <v>34</v>
      </c>
      <c r="I29" s="9" t="s">
        <v>35</v>
      </c>
      <c r="J29" s="15">
        <v>60</v>
      </c>
      <c r="K29" s="14">
        <v>2</v>
      </c>
      <c r="L29" s="14">
        <v>10</v>
      </c>
      <c r="M29" s="10" t="s">
        <v>18</v>
      </c>
      <c r="N29" s="11" t="s">
        <v>19</v>
      </c>
    </row>
    <row r="30" spans="1:14">
      <c r="A30" s="5" t="s">
        <v>31</v>
      </c>
      <c r="B30" s="5">
        <v>2</v>
      </c>
      <c r="C30" s="5">
        <v>1</v>
      </c>
      <c r="D30" s="14" t="s">
        <v>32</v>
      </c>
      <c r="E30" s="15">
        <v>1.5</v>
      </c>
      <c r="F30" s="14" t="s">
        <v>31</v>
      </c>
      <c r="G30" s="8" t="s">
        <v>33</v>
      </c>
      <c r="H30" s="9" t="s">
        <v>36</v>
      </c>
      <c r="I30" s="9" t="s">
        <v>37</v>
      </c>
      <c r="J30" s="15">
        <v>75</v>
      </c>
      <c r="K30" s="14">
        <v>2</v>
      </c>
      <c r="L30" s="14">
        <v>10</v>
      </c>
      <c r="M30" s="10" t="s">
        <v>18</v>
      </c>
      <c r="N30" s="11" t="s">
        <v>19</v>
      </c>
    </row>
    <row r="31" spans="1:14">
      <c r="A31" s="5" t="s">
        <v>31</v>
      </c>
      <c r="B31" s="5">
        <v>3</v>
      </c>
      <c r="C31" s="5">
        <v>1</v>
      </c>
      <c r="D31" s="14" t="s">
        <v>32</v>
      </c>
      <c r="E31" s="15">
        <v>2</v>
      </c>
      <c r="F31" s="14" t="s">
        <v>31</v>
      </c>
      <c r="G31" s="8" t="s">
        <v>33</v>
      </c>
      <c r="H31" s="9" t="s">
        <v>38</v>
      </c>
      <c r="I31" s="9" t="s">
        <v>39</v>
      </c>
      <c r="J31" s="15">
        <v>90</v>
      </c>
      <c r="K31" s="14">
        <v>2</v>
      </c>
      <c r="L31" s="14">
        <v>10</v>
      </c>
      <c r="M31" s="10" t="s">
        <v>18</v>
      </c>
      <c r="N31" s="11" t="s">
        <v>19</v>
      </c>
    </row>
    <row r="32" spans="1:14">
      <c r="A32" s="5" t="s">
        <v>31</v>
      </c>
      <c r="B32" s="5">
        <v>4</v>
      </c>
      <c r="C32" s="5">
        <v>1</v>
      </c>
      <c r="D32" s="14" t="s">
        <v>32</v>
      </c>
      <c r="E32" s="15">
        <v>2.5</v>
      </c>
      <c r="F32" s="14" t="s">
        <v>31</v>
      </c>
      <c r="G32" s="8" t="s">
        <v>33</v>
      </c>
      <c r="H32" s="9" t="s">
        <v>40</v>
      </c>
      <c r="I32" s="9" t="s">
        <v>41</v>
      </c>
      <c r="J32" s="15">
        <v>105</v>
      </c>
      <c r="K32" s="14">
        <v>2</v>
      </c>
      <c r="L32" s="14">
        <v>10</v>
      </c>
      <c r="M32" s="10" t="s">
        <v>18</v>
      </c>
      <c r="N32" s="11" t="s">
        <v>19</v>
      </c>
    </row>
    <row r="33" spans="1:14">
      <c r="A33" s="5" t="s">
        <v>31</v>
      </c>
      <c r="B33" s="5">
        <v>5</v>
      </c>
      <c r="C33" s="5">
        <v>1</v>
      </c>
      <c r="D33" s="14" t="s">
        <v>32</v>
      </c>
      <c r="E33" s="15">
        <v>3</v>
      </c>
      <c r="F33" s="14" t="s">
        <v>31</v>
      </c>
      <c r="G33" s="8" t="s">
        <v>33</v>
      </c>
      <c r="H33" s="9" t="s">
        <v>42</v>
      </c>
      <c r="I33" s="9" t="s">
        <v>43</v>
      </c>
      <c r="J33" s="15">
        <v>120</v>
      </c>
      <c r="K33" s="14">
        <v>2</v>
      </c>
      <c r="L33" s="14">
        <v>10</v>
      </c>
      <c r="M33" s="10" t="s">
        <v>18</v>
      </c>
      <c r="N33" s="11" t="s">
        <v>19</v>
      </c>
    </row>
  </sheetData>
  <phoneticPr fontId="3" type="noConversion"/>
  <dataValidations count="9">
    <dataValidation type="list" showInputMessage="1" showErrorMessage="1" errorTitle="입력값 오류" error="허용된 StageType을 입력하세요." promptTitle="콘텐츠 종류" prompt="드롭다운에서 선택하세요." sqref="A2:A1000" xr:uid="{00000000-0002-0000-0000-000000000000}">
      <formula1>"Main,GoldDungeon,RubyDungeon"</formula1>
    </dataValidation>
    <dataValidation type="whole" showInputMessage="1" showErrorMessage="1" errorTitle="숫자 범위 오류" error="Stage는 1~4095 정수여야 합니다." promptTitle="숫자 입력" prompt="1~4095 정수" sqref="B2:B1000" xr:uid="{00000000-0002-0000-0000-000001000000}">
      <formula1>1</formula1>
      <formula2>4095</formula2>
    </dataValidation>
    <dataValidation type="whole" showInputMessage="1" showErrorMessage="1" errorTitle="숫자 범위 오류" error="Wave는 1~65535 정수여야 합니다." promptTitle="숫자 입력" prompt="1 이상의 웨이브 번호" sqref="C2:C1000" xr:uid="{00000000-0002-0000-0000-000002000000}">
      <formula1>1</formula1>
      <formula2>65535</formula2>
    </dataValidation>
    <dataValidation type="list" showInputMessage="1" showErrorMessage="1" errorTitle="입력값 오류" error="허용된 FlowType을 입력하세요." promptTitle="진행 방식" prompt="콘텐츠에 맞는 방식을 선택하세요." sqref="D2:D1000" xr:uid="{00000000-0002-0000-0000-000003000000}">
      <formula1>"MainProgression,BossChallenge,KillCountChallenge"</formula1>
    </dataValidation>
    <dataValidation type="list" showInputMessage="1" showErrorMessage="1" errorTitle="입력값 오류" error="허용된 EnvironmentId를 입력하세요." promptTitle="환경 프리셋" prompt="드롭다운에서 선택하세요." sqref="F2:F1000" xr:uid="{00000000-0002-0000-0000-000004000000}">
      <formula1>"MainField1,MainField2,GoldDungeon,RubyDungeon"</formula1>
    </dataValidation>
    <dataValidation type="decimal" operator="greaterThanOrEqual" showInputMessage="1" showErrorMessage="1" errorTitle="숫자 범위 오류" error="TimeLimitSec는 0 이상이어야 합니다." promptTitle="숫자 입력" prompt="0이면 제한 없음" sqref="J2:J1000" xr:uid="{00000000-0002-0000-0000-000005000000}">
      <formula1>0</formula1>
    </dataValidation>
    <dataValidation type="decimal" operator="greaterThanOrEqual" showInputMessage="1" showErrorMessage="1" errorTitle="숫자 범위 오류" error="LoopSpawnIntervalSec는 0 이상이어야 합니다." promptTitle="숫자 입력" prompt="LoopPool이면 0보다 크게 입력" sqref="K2:K1000" xr:uid="{00000000-0002-0000-0000-000006000000}">
      <formula1>0</formula1>
    </dataValidation>
    <dataValidation type="whole" operator="greaterThanOrEqual" showInputMessage="1" showErrorMessage="1" errorTitle="숫자 범위 오류" error="LoopSpawnAliveThreshold는 0 이상이어야 합니다." promptTitle="숫자 입력" prompt="LoopPool이면 1 이상 입력" sqref="L2:L1000" xr:uid="{00000000-0002-0000-0000-000007000000}">
      <formula1>0</formula1>
    </dataValidation>
    <dataValidation type="list" showInputMessage="1" showErrorMessage="1" errorTitle="입력값 오류" error="TRUE 또는 FALSE를 입력하세요." promptTitle="활성화" prompt="TRUE 또는 FALSE" sqref="N2:N1000" xr:uid="{00000000-0002-0000-0000-000008000000}">
      <formula1>"TRUE,FALSE"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showGridLines="0" zoomScale="90" workbookViewId="0">
      <pane xSplit="3" ySplit="1" topLeftCell="D14" activePane="bottomRight" state="frozen"/>
      <selection pane="topRight"/>
      <selection pane="bottomLeft"/>
      <selection pane="bottomRight" activeCell="H13" sqref="H13"/>
    </sheetView>
  </sheetViews>
  <sheetFormatPr defaultRowHeight="13.8"/>
  <cols>
    <col min="1" max="1" width="16" customWidth="1"/>
    <col min="2" max="3" width="10" customWidth="1"/>
    <col min="4" max="4" width="25" customWidth="1"/>
    <col min="5" max="5" width="10" customWidth="1"/>
    <col min="6" max="6" width="14" customWidth="1"/>
    <col min="7" max="7" width="16" customWidth="1"/>
    <col min="8" max="8" width="22" customWidth="1"/>
    <col min="9" max="9" width="16" customWidth="1"/>
  </cols>
  <sheetData>
    <row r="1" spans="1:9" ht="34.049999999999997" customHeight="1">
      <c r="A1" s="3" t="s">
        <v>0</v>
      </c>
      <c r="B1" s="3" t="s">
        <v>1</v>
      </c>
      <c r="C1" s="3" t="s">
        <v>2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</row>
    <row r="2" spans="1:9">
      <c r="A2" s="5" t="s">
        <v>14</v>
      </c>
      <c r="B2" s="5">
        <v>1</v>
      </c>
      <c r="C2" s="5">
        <v>1</v>
      </c>
      <c r="D2" s="16" t="s">
        <v>50</v>
      </c>
      <c r="E2" s="16">
        <v>1</v>
      </c>
      <c r="F2" s="8">
        <v>0</v>
      </c>
      <c r="G2" s="16" t="s">
        <v>51</v>
      </c>
      <c r="H2" s="8" t="s">
        <v>52</v>
      </c>
      <c r="I2" s="17">
        <v>0</v>
      </c>
    </row>
    <row r="3" spans="1:9">
      <c r="A3" s="5" t="s">
        <v>14</v>
      </c>
      <c r="B3" s="5">
        <v>1</v>
      </c>
      <c r="C3" s="5">
        <v>2</v>
      </c>
      <c r="D3" s="16" t="s">
        <v>53</v>
      </c>
      <c r="E3" s="16">
        <v>7</v>
      </c>
      <c r="F3" s="8">
        <v>0</v>
      </c>
      <c r="G3" s="16" t="s">
        <v>51</v>
      </c>
      <c r="H3" s="8" t="s">
        <v>52</v>
      </c>
      <c r="I3" s="17">
        <v>0</v>
      </c>
    </row>
    <row r="4" spans="1:9">
      <c r="A4" s="5" t="s">
        <v>14</v>
      </c>
      <c r="B4" s="5">
        <v>1</v>
      </c>
      <c r="C4" s="5">
        <v>2</v>
      </c>
      <c r="D4" s="16" t="s">
        <v>50</v>
      </c>
      <c r="E4" s="16">
        <v>3</v>
      </c>
      <c r="F4" s="8">
        <v>0</v>
      </c>
      <c r="G4" s="16" t="s">
        <v>51</v>
      </c>
      <c r="H4" s="8" t="s">
        <v>52</v>
      </c>
      <c r="I4" s="17">
        <v>0</v>
      </c>
    </row>
    <row r="5" spans="1:9">
      <c r="A5" s="5" t="s">
        <v>14</v>
      </c>
      <c r="B5" s="5">
        <v>1</v>
      </c>
      <c r="C5" s="5">
        <v>3</v>
      </c>
      <c r="D5" s="16" t="s">
        <v>53</v>
      </c>
      <c r="E5" s="16">
        <v>10</v>
      </c>
      <c r="F5" s="8">
        <v>0</v>
      </c>
      <c r="G5" s="16" t="s">
        <v>51</v>
      </c>
      <c r="H5" s="8" t="s">
        <v>52</v>
      </c>
      <c r="I5" s="17">
        <v>0</v>
      </c>
    </row>
    <row r="6" spans="1:9">
      <c r="A6" s="5" t="s">
        <v>14</v>
      </c>
      <c r="B6" s="5">
        <v>1</v>
      </c>
      <c r="C6" s="5">
        <v>3</v>
      </c>
      <c r="D6" s="16" t="s">
        <v>50</v>
      </c>
      <c r="E6" s="16">
        <v>4</v>
      </c>
      <c r="F6" s="8">
        <v>0</v>
      </c>
      <c r="G6" s="16" t="s">
        <v>51</v>
      </c>
      <c r="H6" s="8" t="s">
        <v>52</v>
      </c>
      <c r="I6" s="17">
        <v>0</v>
      </c>
    </row>
    <row r="7" spans="1:9">
      <c r="A7" s="5" t="s">
        <v>14</v>
      </c>
      <c r="B7" s="5">
        <v>1</v>
      </c>
      <c r="C7" s="5">
        <v>4</v>
      </c>
      <c r="D7" s="16" t="s">
        <v>53</v>
      </c>
      <c r="E7" s="16">
        <v>12</v>
      </c>
      <c r="F7" s="8">
        <v>0</v>
      </c>
      <c r="G7" s="16" t="s">
        <v>51</v>
      </c>
      <c r="H7" s="8" t="s">
        <v>52</v>
      </c>
      <c r="I7" s="17">
        <v>0</v>
      </c>
    </row>
    <row r="8" spans="1:9">
      <c r="A8" s="5" t="s">
        <v>14</v>
      </c>
      <c r="B8" s="5">
        <v>1</v>
      </c>
      <c r="C8" s="5">
        <v>4</v>
      </c>
      <c r="D8" s="16" t="s">
        <v>50</v>
      </c>
      <c r="E8" s="16">
        <v>7</v>
      </c>
      <c r="F8" s="8">
        <v>0</v>
      </c>
      <c r="G8" s="16" t="s">
        <v>51</v>
      </c>
      <c r="H8" s="8" t="s">
        <v>52</v>
      </c>
      <c r="I8" s="17">
        <v>0</v>
      </c>
    </row>
    <row r="9" spans="1:9">
      <c r="A9" s="5" t="s">
        <v>14</v>
      </c>
      <c r="B9" s="5">
        <v>1</v>
      </c>
      <c r="C9" s="5">
        <v>5</v>
      </c>
      <c r="D9" s="16" t="s">
        <v>53</v>
      </c>
      <c r="E9" s="16">
        <v>12</v>
      </c>
      <c r="F9" s="8">
        <v>0</v>
      </c>
      <c r="G9" s="16" t="s">
        <v>51</v>
      </c>
      <c r="H9" s="8" t="s">
        <v>52</v>
      </c>
      <c r="I9" s="17">
        <v>0</v>
      </c>
    </row>
    <row r="10" spans="1:9">
      <c r="A10" s="5" t="s">
        <v>14</v>
      </c>
      <c r="B10" s="5">
        <v>1</v>
      </c>
      <c r="C10" s="5">
        <v>5</v>
      </c>
      <c r="D10" s="16" t="s">
        <v>50</v>
      </c>
      <c r="E10" s="16">
        <v>12</v>
      </c>
      <c r="F10" s="8">
        <v>0</v>
      </c>
      <c r="G10" s="16" t="s">
        <v>51</v>
      </c>
      <c r="H10" s="8" t="s">
        <v>52</v>
      </c>
      <c r="I10" s="17">
        <v>0</v>
      </c>
    </row>
    <row r="11" spans="1:9">
      <c r="A11" s="5" t="s">
        <v>14</v>
      </c>
      <c r="B11" s="5">
        <v>1</v>
      </c>
      <c r="C11" s="5">
        <v>6</v>
      </c>
      <c r="D11" s="16" t="s">
        <v>53</v>
      </c>
      <c r="E11" s="16">
        <v>10</v>
      </c>
      <c r="F11" s="8">
        <v>0</v>
      </c>
      <c r="G11" s="16" t="s">
        <v>51</v>
      </c>
      <c r="H11" s="8" t="s">
        <v>52</v>
      </c>
      <c r="I11" s="17">
        <v>0</v>
      </c>
    </row>
    <row r="12" spans="1:9">
      <c r="A12" s="5" t="s">
        <v>14</v>
      </c>
      <c r="B12" s="5">
        <v>1</v>
      </c>
      <c r="C12" s="5">
        <v>6</v>
      </c>
      <c r="D12" s="16" t="s">
        <v>50</v>
      </c>
      <c r="E12" s="16">
        <v>10</v>
      </c>
      <c r="F12" s="8">
        <v>0</v>
      </c>
      <c r="G12" s="16" t="s">
        <v>51</v>
      </c>
      <c r="H12" s="8" t="s">
        <v>52</v>
      </c>
      <c r="I12" s="17">
        <v>0</v>
      </c>
    </row>
    <row r="13" spans="1:9">
      <c r="A13" s="5" t="s">
        <v>14</v>
      </c>
      <c r="B13" s="5">
        <v>1</v>
      </c>
      <c r="C13" s="5">
        <v>6</v>
      </c>
      <c r="D13" s="16" t="s">
        <v>54</v>
      </c>
      <c r="E13" s="16">
        <v>3</v>
      </c>
      <c r="F13" s="8">
        <v>0</v>
      </c>
      <c r="G13" s="16" t="s">
        <v>51</v>
      </c>
      <c r="H13" s="8" t="s">
        <v>52</v>
      </c>
      <c r="I13" s="17">
        <v>0</v>
      </c>
    </row>
    <row r="14" spans="1:9">
      <c r="A14" s="5" t="s">
        <v>14</v>
      </c>
      <c r="B14" s="5">
        <v>1</v>
      </c>
      <c r="C14" s="5">
        <v>7</v>
      </c>
      <c r="D14" s="16" t="s">
        <v>53</v>
      </c>
      <c r="E14" s="16">
        <v>5</v>
      </c>
      <c r="F14" s="8">
        <v>0</v>
      </c>
      <c r="G14" s="16" t="s">
        <v>51</v>
      </c>
      <c r="H14" s="8" t="s">
        <v>52</v>
      </c>
      <c r="I14" s="17">
        <v>0</v>
      </c>
    </row>
    <row r="15" spans="1:9">
      <c r="A15" s="5" t="s">
        <v>14</v>
      </c>
      <c r="B15" s="5">
        <v>1</v>
      </c>
      <c r="C15" s="5">
        <v>7</v>
      </c>
      <c r="D15" s="16" t="s">
        <v>50</v>
      </c>
      <c r="E15" s="16">
        <v>15</v>
      </c>
      <c r="F15" s="8">
        <v>0</v>
      </c>
      <c r="G15" s="16" t="s">
        <v>51</v>
      </c>
      <c r="H15" s="8" t="s">
        <v>52</v>
      </c>
      <c r="I15" s="17">
        <v>0</v>
      </c>
    </row>
    <row r="16" spans="1:9">
      <c r="A16" s="5" t="s">
        <v>14</v>
      </c>
      <c r="B16" s="5">
        <v>1</v>
      </c>
      <c r="C16" s="5">
        <v>7</v>
      </c>
      <c r="D16" s="16" t="s">
        <v>54</v>
      </c>
      <c r="E16" s="16">
        <v>5</v>
      </c>
      <c r="F16" s="8">
        <v>0</v>
      </c>
      <c r="G16" s="16" t="s">
        <v>51</v>
      </c>
      <c r="H16" s="8" t="s">
        <v>52</v>
      </c>
      <c r="I16" s="17">
        <v>0</v>
      </c>
    </row>
    <row r="17" spans="1:9">
      <c r="A17" s="5" t="s">
        <v>14</v>
      </c>
      <c r="B17" s="5">
        <v>1</v>
      </c>
      <c r="C17" s="5">
        <v>8</v>
      </c>
      <c r="D17" s="16" t="s">
        <v>50</v>
      </c>
      <c r="E17" s="16">
        <v>20</v>
      </c>
      <c r="F17" s="8">
        <v>0</v>
      </c>
      <c r="G17" s="16" t="s">
        <v>51</v>
      </c>
      <c r="H17" s="8" t="s">
        <v>52</v>
      </c>
      <c r="I17" s="17">
        <v>0</v>
      </c>
    </row>
    <row r="18" spans="1:9">
      <c r="A18" s="5" t="s">
        <v>14</v>
      </c>
      <c r="B18" s="5">
        <v>1</v>
      </c>
      <c r="C18" s="5">
        <v>9</v>
      </c>
      <c r="D18" s="16" t="s">
        <v>50</v>
      </c>
      <c r="E18" s="16">
        <v>25</v>
      </c>
      <c r="F18" s="8">
        <v>0</v>
      </c>
      <c r="G18" s="16" t="s">
        <v>51</v>
      </c>
      <c r="H18" s="8" t="s">
        <v>52</v>
      </c>
      <c r="I18" s="17">
        <v>0</v>
      </c>
    </row>
    <row r="19" spans="1:9">
      <c r="A19" s="5" t="s">
        <v>14</v>
      </c>
      <c r="B19" s="5">
        <v>1</v>
      </c>
      <c r="C19" s="5">
        <v>10</v>
      </c>
      <c r="D19" s="16" t="s">
        <v>50</v>
      </c>
      <c r="E19" s="16">
        <v>35</v>
      </c>
      <c r="F19" s="8">
        <v>0</v>
      </c>
      <c r="G19" s="16" t="s">
        <v>51</v>
      </c>
      <c r="H19" s="8" t="s">
        <v>52</v>
      </c>
      <c r="I19" s="17">
        <v>0</v>
      </c>
    </row>
    <row r="20" spans="1:9">
      <c r="A20" s="5" t="s">
        <v>14</v>
      </c>
      <c r="B20" s="5">
        <v>1</v>
      </c>
      <c r="C20" s="5">
        <v>11</v>
      </c>
      <c r="D20" s="16" t="s">
        <v>55</v>
      </c>
      <c r="E20" s="16">
        <v>1</v>
      </c>
      <c r="F20" s="8">
        <v>0</v>
      </c>
      <c r="G20" s="16" t="s">
        <v>56</v>
      </c>
      <c r="H20" s="8" t="s">
        <v>57</v>
      </c>
      <c r="I20" s="17">
        <v>0</v>
      </c>
    </row>
    <row r="21" spans="1:9">
      <c r="A21" s="5" t="s">
        <v>14</v>
      </c>
      <c r="B21" s="5">
        <v>2</v>
      </c>
      <c r="C21" s="5">
        <v>1</v>
      </c>
      <c r="D21" s="16" t="s">
        <v>58</v>
      </c>
      <c r="E21" s="16">
        <v>3</v>
      </c>
      <c r="F21" s="8">
        <v>0</v>
      </c>
      <c r="G21" s="16" t="s">
        <v>51</v>
      </c>
      <c r="H21" s="8" t="s">
        <v>52</v>
      </c>
      <c r="I21" s="17">
        <v>0</v>
      </c>
    </row>
    <row r="22" spans="1:9">
      <c r="A22" s="5" t="s">
        <v>14</v>
      </c>
      <c r="B22" s="5">
        <v>2</v>
      </c>
      <c r="C22" s="5">
        <v>2</v>
      </c>
      <c r="D22" s="16" t="s">
        <v>59</v>
      </c>
      <c r="E22" s="16">
        <v>10</v>
      </c>
      <c r="F22" s="8">
        <v>0</v>
      </c>
      <c r="G22" s="16" t="s">
        <v>51</v>
      </c>
      <c r="H22" s="8" t="s">
        <v>52</v>
      </c>
      <c r="I22" s="17">
        <v>0</v>
      </c>
    </row>
    <row r="23" spans="1:9">
      <c r="A23" s="5" t="s">
        <v>14</v>
      </c>
      <c r="B23" s="5">
        <v>2</v>
      </c>
      <c r="C23" s="5">
        <v>3</v>
      </c>
      <c r="D23" s="16" t="s">
        <v>58</v>
      </c>
      <c r="E23" s="16">
        <v>7</v>
      </c>
      <c r="F23" s="8">
        <v>0</v>
      </c>
      <c r="G23" s="16" t="s">
        <v>51</v>
      </c>
      <c r="H23" s="8" t="s">
        <v>52</v>
      </c>
      <c r="I23" s="17">
        <v>0</v>
      </c>
    </row>
    <row r="24" spans="1:9">
      <c r="A24" s="5" t="s">
        <v>14</v>
      </c>
      <c r="B24" s="5">
        <v>2</v>
      </c>
      <c r="C24" s="5">
        <v>4</v>
      </c>
      <c r="D24" s="16" t="s">
        <v>59</v>
      </c>
      <c r="E24" s="16">
        <v>12</v>
      </c>
      <c r="F24" s="8">
        <v>0</v>
      </c>
      <c r="G24" s="16" t="s">
        <v>51</v>
      </c>
      <c r="H24" s="8" t="s">
        <v>52</v>
      </c>
      <c r="I24" s="17">
        <v>0</v>
      </c>
    </row>
    <row r="25" spans="1:9">
      <c r="A25" s="5" t="s">
        <v>14</v>
      </c>
      <c r="B25" s="5">
        <v>2</v>
      </c>
      <c r="C25" s="5">
        <v>5</v>
      </c>
      <c r="D25" s="16" t="s">
        <v>58</v>
      </c>
      <c r="E25" s="16">
        <v>9</v>
      </c>
      <c r="F25" s="8">
        <v>0</v>
      </c>
      <c r="G25" s="16" t="s">
        <v>51</v>
      </c>
      <c r="H25" s="8" t="s">
        <v>52</v>
      </c>
      <c r="I25" s="17">
        <v>0</v>
      </c>
    </row>
    <row r="26" spans="1:9">
      <c r="A26" s="5" t="s">
        <v>14</v>
      </c>
      <c r="B26" s="5">
        <v>2</v>
      </c>
      <c r="C26" s="5">
        <v>6</v>
      </c>
      <c r="D26" s="16" t="s">
        <v>59</v>
      </c>
      <c r="E26" s="16">
        <v>6</v>
      </c>
      <c r="F26" s="8">
        <v>0</v>
      </c>
      <c r="G26" s="16" t="s">
        <v>51</v>
      </c>
      <c r="H26" s="8" t="s">
        <v>52</v>
      </c>
      <c r="I26" s="17">
        <v>0</v>
      </c>
    </row>
    <row r="27" spans="1:9">
      <c r="A27" s="5" t="s">
        <v>14</v>
      </c>
      <c r="B27" s="5">
        <v>2</v>
      </c>
      <c r="C27" s="5">
        <v>7</v>
      </c>
      <c r="D27" s="16" t="s">
        <v>58</v>
      </c>
      <c r="E27" s="16">
        <v>10</v>
      </c>
      <c r="F27" s="8">
        <v>0</v>
      </c>
      <c r="G27" s="16" t="s">
        <v>51</v>
      </c>
      <c r="H27" s="8" t="s">
        <v>52</v>
      </c>
      <c r="I27" s="17">
        <v>0</v>
      </c>
    </row>
    <row r="28" spans="1:9">
      <c r="A28" s="5" t="s">
        <v>14</v>
      </c>
      <c r="B28" s="5">
        <v>2</v>
      </c>
      <c r="C28" s="5">
        <v>8</v>
      </c>
      <c r="D28" s="16" t="s">
        <v>59</v>
      </c>
      <c r="E28" s="16">
        <v>11</v>
      </c>
      <c r="F28" s="8">
        <v>0</v>
      </c>
      <c r="G28" s="16" t="s">
        <v>51</v>
      </c>
      <c r="H28" s="8" t="s">
        <v>52</v>
      </c>
      <c r="I28" s="17">
        <v>0</v>
      </c>
    </row>
    <row r="29" spans="1:9">
      <c r="A29" s="5" t="s">
        <v>14</v>
      </c>
      <c r="B29" s="5">
        <v>2</v>
      </c>
      <c r="C29" s="5">
        <v>9</v>
      </c>
      <c r="D29" s="16" t="s">
        <v>58</v>
      </c>
      <c r="E29" s="16">
        <v>12</v>
      </c>
      <c r="F29" s="8">
        <v>0</v>
      </c>
      <c r="G29" s="16" t="s">
        <v>51</v>
      </c>
      <c r="H29" s="8" t="s">
        <v>52</v>
      </c>
      <c r="I29" s="17">
        <v>0</v>
      </c>
    </row>
    <row r="30" spans="1:9">
      <c r="A30" s="5" t="s">
        <v>14</v>
      </c>
      <c r="B30" s="5">
        <v>2</v>
      </c>
      <c r="C30" s="5">
        <v>10</v>
      </c>
      <c r="D30" s="16" t="s">
        <v>59</v>
      </c>
      <c r="E30" s="16">
        <v>8</v>
      </c>
      <c r="F30" s="8">
        <v>0</v>
      </c>
      <c r="G30" s="16" t="s">
        <v>51</v>
      </c>
      <c r="H30" s="8" t="s">
        <v>52</v>
      </c>
      <c r="I30" s="17">
        <v>0</v>
      </c>
    </row>
    <row r="31" spans="1:9">
      <c r="A31" s="5" t="s">
        <v>14</v>
      </c>
      <c r="B31" s="5">
        <v>2</v>
      </c>
      <c r="C31" s="5">
        <v>11</v>
      </c>
      <c r="D31" s="16" t="s">
        <v>60</v>
      </c>
      <c r="E31" s="16">
        <v>1</v>
      </c>
      <c r="F31" s="8">
        <v>0</v>
      </c>
      <c r="G31" s="16" t="s">
        <v>56</v>
      </c>
      <c r="H31" s="8" t="s">
        <v>57</v>
      </c>
      <c r="I31" s="17">
        <v>0</v>
      </c>
    </row>
    <row r="32" spans="1:9">
      <c r="A32" s="5" t="s">
        <v>21</v>
      </c>
      <c r="B32" s="5">
        <v>1</v>
      </c>
      <c r="C32" s="5">
        <v>1</v>
      </c>
      <c r="D32" s="16" t="s">
        <v>55</v>
      </c>
      <c r="E32" s="16">
        <v>1</v>
      </c>
      <c r="F32" s="8">
        <v>0</v>
      </c>
      <c r="G32" s="16" t="s">
        <v>56</v>
      </c>
      <c r="H32" s="8" t="s">
        <v>57</v>
      </c>
      <c r="I32" s="17">
        <v>0</v>
      </c>
    </row>
    <row r="33" spans="1:9">
      <c r="A33" s="5" t="s">
        <v>21</v>
      </c>
      <c r="B33" s="5">
        <v>2</v>
      </c>
      <c r="C33" s="5">
        <v>1</v>
      </c>
      <c r="D33" s="16" t="s">
        <v>55</v>
      </c>
      <c r="E33" s="16">
        <v>1</v>
      </c>
      <c r="F33" s="8">
        <v>0</v>
      </c>
      <c r="G33" s="16" t="s">
        <v>56</v>
      </c>
      <c r="H33" s="8" t="s">
        <v>57</v>
      </c>
      <c r="I33" s="17">
        <v>0</v>
      </c>
    </row>
    <row r="34" spans="1:9">
      <c r="A34" s="5" t="s">
        <v>21</v>
      </c>
      <c r="B34" s="5">
        <v>3</v>
      </c>
      <c r="C34" s="5">
        <v>1</v>
      </c>
      <c r="D34" s="16" t="s">
        <v>55</v>
      </c>
      <c r="E34" s="16">
        <v>1</v>
      </c>
      <c r="F34" s="8">
        <v>0</v>
      </c>
      <c r="G34" s="16" t="s">
        <v>56</v>
      </c>
      <c r="H34" s="8" t="s">
        <v>57</v>
      </c>
      <c r="I34" s="17">
        <v>0</v>
      </c>
    </row>
    <row r="35" spans="1:9">
      <c r="A35" s="5" t="s">
        <v>21</v>
      </c>
      <c r="B35" s="5">
        <v>4</v>
      </c>
      <c r="C35" s="5">
        <v>1</v>
      </c>
      <c r="D35" s="16" t="s">
        <v>60</v>
      </c>
      <c r="E35" s="16">
        <v>1</v>
      </c>
      <c r="F35" s="8">
        <v>0</v>
      </c>
      <c r="G35" s="16" t="s">
        <v>56</v>
      </c>
      <c r="H35" s="8" t="s">
        <v>57</v>
      </c>
      <c r="I35" s="17">
        <v>0</v>
      </c>
    </row>
    <row r="36" spans="1:9">
      <c r="A36" s="5" t="s">
        <v>21</v>
      </c>
      <c r="B36" s="5">
        <v>5</v>
      </c>
      <c r="C36" s="5">
        <v>1</v>
      </c>
      <c r="D36" s="16" t="s">
        <v>60</v>
      </c>
      <c r="E36" s="16">
        <v>1</v>
      </c>
      <c r="F36" s="8">
        <v>0</v>
      </c>
      <c r="G36" s="16" t="s">
        <v>56</v>
      </c>
      <c r="H36" s="8" t="s">
        <v>57</v>
      </c>
      <c r="I36" s="17">
        <v>0</v>
      </c>
    </row>
    <row r="37" spans="1:9">
      <c r="A37" s="5" t="s">
        <v>31</v>
      </c>
      <c r="B37" s="5">
        <v>1</v>
      </c>
      <c r="C37" s="5">
        <v>1</v>
      </c>
      <c r="D37" s="16" t="s">
        <v>50</v>
      </c>
      <c r="E37" s="16">
        <v>5</v>
      </c>
      <c r="F37" s="8">
        <v>50</v>
      </c>
      <c r="G37" s="16" t="s">
        <v>61</v>
      </c>
      <c r="H37" s="8" t="s">
        <v>52</v>
      </c>
      <c r="I37" s="17">
        <v>0</v>
      </c>
    </row>
    <row r="38" spans="1:9">
      <c r="A38" s="5" t="s">
        <v>31</v>
      </c>
      <c r="B38" s="5">
        <v>1</v>
      </c>
      <c r="C38" s="5">
        <v>1</v>
      </c>
      <c r="D38" s="16" t="s">
        <v>53</v>
      </c>
      <c r="E38" s="16">
        <v>5</v>
      </c>
      <c r="F38" s="8">
        <v>50</v>
      </c>
      <c r="G38" s="16" t="s">
        <v>61</v>
      </c>
      <c r="H38" s="8" t="s">
        <v>52</v>
      </c>
      <c r="I38" s="17">
        <v>0</v>
      </c>
    </row>
    <row r="39" spans="1:9">
      <c r="A39" s="5" t="s">
        <v>31</v>
      </c>
      <c r="B39" s="5">
        <v>2</v>
      </c>
      <c r="C39" s="5">
        <v>1</v>
      </c>
      <c r="D39" s="16" t="s">
        <v>50</v>
      </c>
      <c r="E39" s="16">
        <v>5</v>
      </c>
      <c r="F39" s="8">
        <v>50</v>
      </c>
      <c r="G39" s="16" t="s">
        <v>61</v>
      </c>
      <c r="H39" s="8" t="s">
        <v>52</v>
      </c>
      <c r="I39" s="17">
        <v>0</v>
      </c>
    </row>
    <row r="40" spans="1:9">
      <c r="A40" s="5" t="s">
        <v>31</v>
      </c>
      <c r="B40" s="5">
        <v>2</v>
      </c>
      <c r="C40" s="5">
        <v>1</v>
      </c>
      <c r="D40" s="16" t="s">
        <v>53</v>
      </c>
      <c r="E40" s="16">
        <v>5</v>
      </c>
      <c r="F40" s="8">
        <v>50</v>
      </c>
      <c r="G40" s="16" t="s">
        <v>61</v>
      </c>
      <c r="H40" s="8" t="s">
        <v>52</v>
      </c>
      <c r="I40" s="17">
        <v>0</v>
      </c>
    </row>
    <row r="41" spans="1:9">
      <c r="A41" s="5" t="s">
        <v>31</v>
      </c>
      <c r="B41" s="5">
        <v>3</v>
      </c>
      <c r="C41" s="5">
        <v>1</v>
      </c>
      <c r="D41" s="16" t="s">
        <v>50</v>
      </c>
      <c r="E41" s="16">
        <v>4</v>
      </c>
      <c r="F41" s="8">
        <v>40</v>
      </c>
      <c r="G41" s="16" t="s">
        <v>61</v>
      </c>
      <c r="H41" s="8" t="s">
        <v>52</v>
      </c>
      <c r="I41" s="17">
        <v>0</v>
      </c>
    </row>
    <row r="42" spans="1:9">
      <c r="A42" s="5" t="s">
        <v>31</v>
      </c>
      <c r="B42" s="5">
        <v>3</v>
      </c>
      <c r="C42" s="5">
        <v>1</v>
      </c>
      <c r="D42" s="16" t="s">
        <v>53</v>
      </c>
      <c r="E42" s="16">
        <v>4</v>
      </c>
      <c r="F42" s="8">
        <v>40</v>
      </c>
      <c r="G42" s="16" t="s">
        <v>61</v>
      </c>
      <c r="H42" s="8" t="s">
        <v>52</v>
      </c>
      <c r="I42" s="17">
        <v>0</v>
      </c>
    </row>
    <row r="43" spans="1:9">
      <c r="A43" s="5" t="s">
        <v>31</v>
      </c>
      <c r="B43" s="5">
        <v>3</v>
      </c>
      <c r="C43" s="5">
        <v>1</v>
      </c>
      <c r="D43" s="16" t="s">
        <v>54</v>
      </c>
      <c r="E43" s="16">
        <v>2</v>
      </c>
      <c r="F43" s="8">
        <v>20</v>
      </c>
      <c r="G43" s="16" t="s">
        <v>61</v>
      </c>
      <c r="H43" s="8" t="s">
        <v>52</v>
      </c>
      <c r="I43" s="17">
        <v>0</v>
      </c>
    </row>
    <row r="44" spans="1:9">
      <c r="A44" s="5" t="s">
        <v>31</v>
      </c>
      <c r="B44" s="5">
        <v>4</v>
      </c>
      <c r="C44" s="5">
        <v>1</v>
      </c>
      <c r="D44" s="16" t="s">
        <v>58</v>
      </c>
      <c r="E44" s="16">
        <v>6</v>
      </c>
      <c r="F44" s="8">
        <v>60</v>
      </c>
      <c r="G44" s="16" t="s">
        <v>61</v>
      </c>
      <c r="H44" s="8" t="s">
        <v>52</v>
      </c>
      <c r="I44" s="17">
        <v>0</v>
      </c>
    </row>
    <row r="45" spans="1:9">
      <c r="A45" s="5" t="s">
        <v>31</v>
      </c>
      <c r="B45" s="5">
        <v>4</v>
      </c>
      <c r="C45" s="5">
        <v>1</v>
      </c>
      <c r="D45" s="16" t="s">
        <v>59</v>
      </c>
      <c r="E45" s="16">
        <v>4</v>
      </c>
      <c r="F45" s="8">
        <v>40</v>
      </c>
      <c r="G45" s="16" t="s">
        <v>61</v>
      </c>
      <c r="H45" s="8" t="s">
        <v>52</v>
      </c>
      <c r="I45" s="17">
        <v>0</v>
      </c>
    </row>
    <row r="46" spans="1:9">
      <c r="A46" s="5" t="s">
        <v>31</v>
      </c>
      <c r="B46" s="5">
        <v>5</v>
      </c>
      <c r="C46" s="5">
        <v>1</v>
      </c>
      <c r="D46" s="16" t="s">
        <v>58</v>
      </c>
      <c r="E46" s="16">
        <v>5</v>
      </c>
      <c r="F46" s="8">
        <v>50</v>
      </c>
      <c r="G46" s="16" t="s">
        <v>61</v>
      </c>
      <c r="H46" s="8" t="s">
        <v>52</v>
      </c>
      <c r="I46" s="17">
        <v>0</v>
      </c>
    </row>
    <row r="47" spans="1:9">
      <c r="A47" s="5" t="s">
        <v>31</v>
      </c>
      <c r="B47" s="5">
        <v>5</v>
      </c>
      <c r="C47" s="5">
        <v>1</v>
      </c>
      <c r="D47" s="16" t="s">
        <v>59</v>
      </c>
      <c r="E47" s="16">
        <v>5</v>
      </c>
      <c r="F47" s="8">
        <v>50</v>
      </c>
      <c r="G47" s="16" t="s">
        <v>61</v>
      </c>
      <c r="H47" s="8" t="s">
        <v>52</v>
      </c>
      <c r="I47" s="17">
        <v>0</v>
      </c>
    </row>
  </sheetData>
  <phoneticPr fontId="3" type="noConversion"/>
  <conditionalFormatting sqref="E2:E1000">
    <cfRule type="cellIs" dxfId="2" priority="1" operator="lessThan">
      <formula>1</formula>
    </cfRule>
  </conditionalFormatting>
  <conditionalFormatting sqref="F2:F1000">
    <cfRule type="cellIs" dxfId="1" priority="2" operator="lessThan">
      <formula>0</formula>
    </cfRule>
  </conditionalFormatting>
  <conditionalFormatting sqref="I2:I1000">
    <cfRule type="cellIs" dxfId="0" priority="3" operator="lessThan">
      <formula>0</formula>
    </cfRule>
  </conditionalFormatting>
  <dataValidations count="9">
    <dataValidation type="list" showInputMessage="1" showErrorMessage="1" errorTitle="입력값 오류" error="Main, GoldDungeon, RubyDungeon 중 하나를 입력하세요." promptTitle="콘텐츠 종류" prompt="드롭다운에서 선택하세요." sqref="A2:A1000" xr:uid="{00000000-0002-0000-0100-000000000000}">
      <formula1>"Main,GoldDungeon,RubyDungeon"</formula1>
    </dataValidation>
    <dataValidation type="whole" showInputMessage="1" showErrorMessage="1" errorTitle="숫자 범위 오류" error="Stage는 1~4095 정수여야 합니다." promptTitle="숫자 입력" prompt="1~4095 정수" sqref="B2:B1000" xr:uid="{00000000-0002-0000-0100-000001000000}">
      <formula1>1</formula1>
      <formula2>4095</formula2>
    </dataValidation>
    <dataValidation type="whole" showInputMessage="1" showErrorMessage="1" errorTitle="숫자 범위 오류" error="Wave는 1~65535 정수여야 합니다." promptTitle="숫자 입력" prompt="1 이상의 웨이브 번호" sqref="C2:C1000" xr:uid="{00000000-0002-0000-0100-000002000000}">
      <formula1>1</formula1>
      <formula2>65535</formula2>
    </dataValidation>
    <dataValidation type="list" showInputMessage="1" showErrorMessage="1" errorTitle="입력값 오류" error="등록된 MonsterName을 선택하세요." promptTitle="몬스터 코드" prompt="CodeLists에 있는 코드만 선택하세요." sqref="D2:D1000" xr:uid="{00000000-0002-0000-0100-000003000000}">
      <formula1>MonsterNameList</formula1>
    </dataValidation>
    <dataValidation type="whole" operator="greaterThanOrEqual" showInputMessage="1" showErrorMessage="1" errorTitle="숫자 범위 오류" error="Count는 1 이상이어야 합니다. 제거하려면 행을 삭제하세요." promptTitle="숫자 입력" prompt="한 번에 생성할 수량" sqref="E2:E1000" xr:uid="{00000000-0002-0000-0100-000004000000}">
      <formula1>1</formula1>
    </dataValidation>
    <dataValidation type="whole" operator="greaterThanOrEqual" showInputMessage="1" showErrorMessage="1" errorTitle="숫자 범위 오류" error="SpawnWeight는 0 이상이어야 합니다." promptTitle="숫자 입력" prompt="0 이상의 가중치" sqref="F2:F1000" xr:uid="{00000000-0002-0000-0100-000005000000}">
      <formula1>0</formula1>
    </dataValidation>
    <dataValidation type="list" showInputMessage="1" showErrorMessage="1" errorTitle="입력값 오류" error="Initial, Boss, LoopPool 중 하나를 입력하세요." promptTitle="생성 단계" prompt="일반=Initial, 보스=Boss, 반복=LoopPool" sqref="G2:G1000" xr:uid="{00000000-0002-0000-0100-000006000000}">
      <formula1>"Initial,Boss,LoopPool"</formula1>
    </dataValidation>
    <dataValidation type="list" showInputMessage="1" showErrorMessage="1" errorTitle="입력값 오류" error="Default 또는 Center를 입력하세요." promptTitle="위치 그룹" prompt="일반=Default, 보스=Center" sqref="H2:H1000" xr:uid="{00000000-0002-0000-0100-000007000000}">
      <formula1>"Default,Center"</formula1>
    </dataValidation>
    <dataValidation type="decimal" operator="greaterThanOrEqual" showInputMessage="1" showErrorMessage="1" errorTitle="숫자 범위 오류" error="SpawnDelaySec는 0 이상이어야 합니다." promptTitle="숫자 입력" prompt="현재는 0 유지" sqref="I2:I1000" xr:uid="{00000000-0002-0000-0100-000008000000}">
      <formula1>0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showGridLines="0" zoomScale="90" workbookViewId="0">
      <pane ySplit="1" topLeftCell="A2" activePane="bottomLeft" state="frozen"/>
      <selection pane="bottomLeft"/>
    </sheetView>
  </sheetViews>
  <sheetFormatPr defaultRowHeight="13.8"/>
  <cols>
    <col min="1" max="4" width="25" customWidth="1"/>
    <col min="5" max="5" width="35" customWidth="1"/>
  </cols>
  <sheetData>
    <row r="1" spans="1:5" ht="34.049999999999997" customHeight="1">
      <c r="A1" s="3" t="s">
        <v>7</v>
      </c>
      <c r="B1" s="3" t="s">
        <v>62</v>
      </c>
      <c r="C1" s="3" t="s">
        <v>63</v>
      </c>
      <c r="D1" s="3" t="s">
        <v>64</v>
      </c>
      <c r="E1" s="3" t="s">
        <v>65</v>
      </c>
    </row>
    <row r="2" spans="1:5">
      <c r="A2" s="18" t="s">
        <v>24</v>
      </c>
      <c r="B2" s="19" t="s">
        <v>55</v>
      </c>
      <c r="C2" s="19" t="b">
        <v>1</v>
      </c>
      <c r="D2" s="19" t="s">
        <v>66</v>
      </c>
      <c r="E2" s="20" t="s">
        <v>67</v>
      </c>
    </row>
    <row r="3" spans="1:5">
      <c r="A3" s="18" t="s">
        <v>28</v>
      </c>
      <c r="B3" s="19" t="s">
        <v>60</v>
      </c>
      <c r="C3" s="19" t="b">
        <v>1</v>
      </c>
      <c r="D3" s="19" t="s">
        <v>66</v>
      </c>
      <c r="E3" s="20" t="s">
        <v>68</v>
      </c>
    </row>
  </sheetData>
  <phoneticPr fontId="3" type="noConversion"/>
  <dataValidations count="3">
    <dataValidation type="list" showInputMessage="1" showErrorMessage="1" errorTitle="입력값 오류" error="등록된 MonsterName을 선택하세요." promptTitle="보스 코드" prompt="StageMonsters의 Boss 행과 같은 코드를 선택하세요." sqref="B2:B1000" xr:uid="{00000000-0002-0000-0200-000000000000}">
      <formula1>MonsterNameList</formula1>
    </dataValidation>
    <dataValidation type="list" showInputMessage="1" showErrorMessage="1" errorTitle="입력값 오류" error="TRUE 또는 FALSE를 입력하세요." promptTitle="잔여 몬스터 정리" prompt="TRUE 또는 FALSE" sqref="C2:C1000" xr:uid="{00000000-0002-0000-0200-000001000000}">
      <formula1>"TRUE,FALSE"</formula1>
    </dataValidation>
    <dataValidation type="list" showInputMessage="1" showErrorMessage="1" errorTitle="입력값 오류" error="허용된 DefeatAction을 입력하세요." promptTitle="패배 처리" prompt="드롭다운에서 선택하세요." sqref="D2:D1000" xr:uid="{00000000-0002-0000-0200-000002000000}">
      <formula1>"AwaitDefeatChoice,RestartStage,ReturnToMainStage"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showGridLines="0" zoomScale="90" workbookViewId="0">
      <pane ySplit="1" topLeftCell="A2" activePane="bottomLeft" state="frozen"/>
      <selection pane="bottomLeft"/>
    </sheetView>
  </sheetViews>
  <sheetFormatPr defaultRowHeight="13.8"/>
  <cols>
    <col min="1" max="4" width="25" customWidth="1"/>
    <col min="5" max="5" width="42" customWidth="1"/>
    <col min="6" max="6" width="20" customWidth="1"/>
    <col min="7" max="7" width="32" customWidth="1"/>
  </cols>
  <sheetData>
    <row r="1" spans="1:7" ht="34.049999999999997" customHeight="1">
      <c r="A1" s="3" t="s">
        <v>7</v>
      </c>
      <c r="B1" s="3" t="s">
        <v>69</v>
      </c>
      <c r="C1" s="3" t="s">
        <v>70</v>
      </c>
      <c r="D1" s="3" t="s">
        <v>64</v>
      </c>
      <c r="E1" s="3" t="s">
        <v>65</v>
      </c>
      <c r="F1" s="3"/>
      <c r="G1" s="3"/>
    </row>
    <row r="2" spans="1:7">
      <c r="A2" s="18" t="s">
        <v>34</v>
      </c>
      <c r="B2" s="19">
        <v>10</v>
      </c>
      <c r="C2" s="19" t="s">
        <v>71</v>
      </c>
      <c r="D2" s="21" t="s">
        <v>66</v>
      </c>
      <c r="E2" s="20" t="s">
        <v>72</v>
      </c>
      <c r="F2" s="2"/>
      <c r="G2" s="2"/>
    </row>
    <row r="3" spans="1:7">
      <c r="A3" s="18" t="s">
        <v>36</v>
      </c>
      <c r="B3" s="19">
        <v>20</v>
      </c>
      <c r="C3" s="19" t="s">
        <v>71</v>
      </c>
      <c r="D3" s="21" t="s">
        <v>66</v>
      </c>
      <c r="E3" s="20" t="s">
        <v>72</v>
      </c>
      <c r="F3" s="2"/>
      <c r="G3" s="2"/>
    </row>
    <row r="4" spans="1:7">
      <c r="A4" s="18" t="s">
        <v>38</v>
      </c>
      <c r="B4" s="19">
        <v>30</v>
      </c>
      <c r="C4" s="19" t="s">
        <v>71</v>
      </c>
      <c r="D4" s="21" t="s">
        <v>66</v>
      </c>
      <c r="E4" s="20" t="s">
        <v>72</v>
      </c>
      <c r="F4" s="2"/>
      <c r="G4" s="2"/>
    </row>
    <row r="5" spans="1:7">
      <c r="A5" s="18" t="s">
        <v>40</v>
      </c>
      <c r="B5" s="19">
        <v>40</v>
      </c>
      <c r="C5" s="19" t="s">
        <v>71</v>
      </c>
      <c r="D5" s="21" t="s">
        <v>66</v>
      </c>
      <c r="E5" s="20" t="s">
        <v>73</v>
      </c>
      <c r="F5" s="2"/>
      <c r="G5" s="2"/>
    </row>
    <row r="6" spans="1:7">
      <c r="A6" s="18" t="s">
        <v>42</v>
      </c>
      <c r="B6" s="19">
        <v>50</v>
      </c>
      <c r="C6" s="19" t="s">
        <v>71</v>
      </c>
      <c r="D6" s="21" t="s">
        <v>66</v>
      </c>
      <c r="E6" s="20" t="s">
        <v>73</v>
      </c>
      <c r="F6" s="2"/>
      <c r="G6" s="2"/>
    </row>
  </sheetData>
  <phoneticPr fontId="3" type="noConversion"/>
  <dataValidations count="3">
    <dataValidation type="whole" operator="greaterThanOrEqual" showInputMessage="1" showErrorMessage="1" errorTitle="숫자 범위 오류" error="RequiredKillCount는 1 이상이어야 합니다." promptTitle="숫자 입력" prompt="목표 처치 수" sqref="B2:B1000" xr:uid="{00000000-0002-0000-0300-000000000000}">
      <formula1>1</formula1>
    </dataValidation>
    <dataValidation type="list" showInputMessage="1" showErrorMessage="1" errorTitle="입력값 오류" error="Any 또는 등록된 MonsterName을 선택하세요." promptTitle="목표 몬스터" prompt="모든 몬스터는 Any, 특정 대상은 코드를 선택하세요." sqref="C2:C1000" xr:uid="{00000000-0002-0000-0300-000001000000}">
      <formula1>TargetMonsterTypeList</formula1>
    </dataValidation>
    <dataValidation type="list" showInputMessage="1" showErrorMessage="1" errorTitle="입력값 오류" error="허용된 DefeatAction을 입력하세요." promptTitle="패배 처리" prompt="드롭다운에서 선택하세요." sqref="D2:D1000" xr:uid="{00000000-0002-0000-0300-000002000000}">
      <formula1>"AwaitDefeatChoice,RestartStage,ReturnToMainStage"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7" customWidth="1"/>
    <col min="2" max="2" width="28" customWidth="1"/>
    <col min="3" max="3" width="23" customWidth="1"/>
    <col min="4" max="4" width="28" customWidth="1"/>
    <col min="5" max="5" width="21" customWidth="1"/>
    <col min="6" max="6" width="28" customWidth="1"/>
    <col min="7" max="7" width="18" customWidth="1"/>
    <col min="8" max="8" width="25" customWidth="1"/>
    <col min="9" max="9" width="19" customWidth="1"/>
    <col min="10" max="10" width="25" customWidth="1"/>
    <col min="11" max="11" width="23" customWidth="1"/>
    <col min="12" max="12" width="30" customWidth="1"/>
    <col min="13" max="13" width="25" customWidth="1"/>
    <col min="14" max="14" width="35" customWidth="1"/>
    <col min="15" max="15" width="25" customWidth="1"/>
  </cols>
  <sheetData>
    <row r="1" spans="1:15" ht="31.95" customHeight="1">
      <c r="A1" s="1" t="s">
        <v>0</v>
      </c>
      <c r="B1" s="1" t="s">
        <v>74</v>
      </c>
      <c r="C1" s="1" t="s">
        <v>3</v>
      </c>
      <c r="D1" s="1" t="s">
        <v>75</v>
      </c>
      <c r="E1" s="1" t="s">
        <v>64</v>
      </c>
      <c r="F1" s="1" t="s">
        <v>76</v>
      </c>
      <c r="G1" s="1" t="s">
        <v>47</v>
      </c>
      <c r="H1" s="1" t="s">
        <v>77</v>
      </c>
      <c r="I1" s="1" t="s">
        <v>5</v>
      </c>
      <c r="J1" s="1" t="s">
        <v>78</v>
      </c>
      <c r="K1" s="1" t="s">
        <v>6</v>
      </c>
      <c r="L1" s="1" t="s">
        <v>79</v>
      </c>
      <c r="M1" s="4" t="s">
        <v>44</v>
      </c>
      <c r="N1" s="4" t="s">
        <v>80</v>
      </c>
      <c r="O1" s="4" t="s">
        <v>70</v>
      </c>
    </row>
    <row r="2" spans="1:15" ht="15.6">
      <c r="A2" s="2" t="s">
        <v>14</v>
      </c>
      <c r="B2" s="2" t="s">
        <v>81</v>
      </c>
      <c r="C2" s="2" t="s">
        <v>15</v>
      </c>
      <c r="D2" s="2" t="s">
        <v>82</v>
      </c>
      <c r="E2" s="2" t="s">
        <v>83</v>
      </c>
      <c r="F2" s="2" t="s">
        <v>84</v>
      </c>
      <c r="G2" s="2" t="s">
        <v>51</v>
      </c>
      <c r="H2" s="2" t="s">
        <v>85</v>
      </c>
      <c r="I2" s="2" t="s">
        <v>16</v>
      </c>
      <c r="J2" s="2" t="s">
        <v>86</v>
      </c>
      <c r="K2" s="2" t="s">
        <v>17</v>
      </c>
      <c r="L2" s="2" t="s">
        <v>87</v>
      </c>
      <c r="M2" s="22" t="s">
        <v>88</v>
      </c>
      <c r="N2" s="22" t="s">
        <v>89</v>
      </c>
      <c r="O2" s="22" t="s">
        <v>88</v>
      </c>
    </row>
    <row r="3" spans="1:15" ht="15.6">
      <c r="A3" s="2" t="s">
        <v>21</v>
      </c>
      <c r="B3" s="2" t="s">
        <v>90</v>
      </c>
      <c r="C3" s="2" t="s">
        <v>22</v>
      </c>
      <c r="D3" s="2" t="s">
        <v>91</v>
      </c>
      <c r="E3" s="2" t="s">
        <v>92</v>
      </c>
      <c r="F3" s="2" t="s">
        <v>93</v>
      </c>
      <c r="G3" s="2" t="s">
        <v>56</v>
      </c>
      <c r="H3" s="2" t="s">
        <v>94</v>
      </c>
      <c r="I3" s="2" t="s">
        <v>20</v>
      </c>
      <c r="J3" s="2" t="s">
        <v>95</v>
      </c>
      <c r="K3" s="2" t="s">
        <v>23</v>
      </c>
      <c r="L3" s="2" t="s">
        <v>96</v>
      </c>
      <c r="M3" s="23" t="s">
        <v>97</v>
      </c>
      <c r="N3" s="23" t="s">
        <v>89</v>
      </c>
      <c r="O3" s="23" t="s">
        <v>97</v>
      </c>
    </row>
    <row r="4" spans="1:15" ht="15.6">
      <c r="A4" s="2" t="s">
        <v>31</v>
      </c>
      <c r="B4" s="2" t="s">
        <v>98</v>
      </c>
      <c r="C4" s="2" t="s">
        <v>32</v>
      </c>
      <c r="D4" s="2" t="s">
        <v>99</v>
      </c>
      <c r="E4" s="2" t="s">
        <v>100</v>
      </c>
      <c r="F4" s="2" t="s">
        <v>101</v>
      </c>
      <c r="G4" s="2" t="s">
        <v>61</v>
      </c>
      <c r="H4" s="2" t="s">
        <v>102</v>
      </c>
      <c r="I4" s="2" t="s">
        <v>21</v>
      </c>
      <c r="J4" s="2" t="s">
        <v>103</v>
      </c>
      <c r="K4" s="2" t="s">
        <v>33</v>
      </c>
      <c r="L4" s="2" t="s">
        <v>104</v>
      </c>
      <c r="M4" s="22" t="s">
        <v>105</v>
      </c>
      <c r="N4" s="22" t="s">
        <v>106</v>
      </c>
      <c r="O4" s="22" t="s">
        <v>105</v>
      </c>
    </row>
    <row r="5" spans="1:15" ht="15.6">
      <c r="A5" s="2"/>
      <c r="B5" s="2"/>
      <c r="C5" s="2" t="s">
        <v>107</v>
      </c>
      <c r="D5" s="2" t="s">
        <v>108</v>
      </c>
      <c r="E5" s="2"/>
      <c r="F5" s="2"/>
      <c r="G5" s="2"/>
      <c r="H5" s="2"/>
      <c r="I5" s="2" t="s">
        <v>31</v>
      </c>
      <c r="J5" s="2" t="s">
        <v>109</v>
      </c>
      <c r="K5" s="2"/>
      <c r="L5" s="2"/>
      <c r="M5" s="23" t="s">
        <v>53</v>
      </c>
      <c r="N5" s="23" t="s">
        <v>89</v>
      </c>
      <c r="O5" s="23" t="s">
        <v>53</v>
      </c>
    </row>
    <row r="6" spans="1:15" ht="15.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2" t="s">
        <v>50</v>
      </c>
      <c r="N6" s="22" t="s">
        <v>89</v>
      </c>
      <c r="O6" s="22" t="s">
        <v>50</v>
      </c>
    </row>
    <row r="7" spans="1:15" ht="15.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3" t="s">
        <v>54</v>
      </c>
      <c r="N7" s="23" t="s">
        <v>89</v>
      </c>
      <c r="O7" s="23" t="s">
        <v>54</v>
      </c>
    </row>
    <row r="8" spans="1:15" ht="15.6">
      <c r="M8" s="22" t="s">
        <v>55</v>
      </c>
      <c r="N8" s="22" t="s">
        <v>110</v>
      </c>
      <c r="O8" s="22" t="s">
        <v>55</v>
      </c>
    </row>
    <row r="9" spans="1:15" ht="15.6">
      <c r="M9" s="23" t="s">
        <v>59</v>
      </c>
      <c r="N9" s="23" t="s">
        <v>111</v>
      </c>
      <c r="O9" s="23" t="s">
        <v>59</v>
      </c>
    </row>
    <row r="10" spans="1:15" ht="15.6">
      <c r="M10" s="22" t="s">
        <v>58</v>
      </c>
      <c r="N10" s="22" t="s">
        <v>112</v>
      </c>
      <c r="O10" s="22" t="s">
        <v>58</v>
      </c>
    </row>
    <row r="11" spans="1:15" ht="15.6">
      <c r="M11" s="23" t="s">
        <v>60</v>
      </c>
      <c r="N11" s="23" t="s">
        <v>110</v>
      </c>
      <c r="O11" s="23" t="s">
        <v>60</v>
      </c>
    </row>
    <row r="12" spans="1:15" ht="15.6">
      <c r="M12" s="22"/>
      <c r="N12" s="22"/>
      <c r="O12" s="22" t="s">
        <v>71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71"/>
  <sheetViews>
    <sheetView showGridLines="0" tabSelected="1" zoomScale="90" workbookViewId="0">
      <pane ySplit="4" topLeftCell="A55" activePane="bottomLeft" state="frozen"/>
      <selection pane="bottomLeft" activeCell="C62" sqref="C62:H62"/>
    </sheetView>
  </sheetViews>
  <sheetFormatPr defaultRowHeight="13.8"/>
  <cols>
    <col min="1" max="1" width="13" customWidth="1"/>
    <col min="2" max="3" width="17" customWidth="1"/>
    <col min="4" max="7" width="19" customWidth="1"/>
    <col min="8" max="8" width="25" customWidth="1"/>
  </cols>
  <sheetData>
    <row r="1" spans="1:8" ht="31.95" customHeight="1">
      <c r="A1" s="44" t="s">
        <v>113</v>
      </c>
      <c r="B1" s="44"/>
      <c r="C1" s="44"/>
      <c r="D1" s="44"/>
      <c r="E1" s="44"/>
      <c r="F1" s="44"/>
      <c r="G1" s="44"/>
      <c r="H1" s="44"/>
    </row>
    <row r="2" spans="1:8" ht="25.95" customHeight="1">
      <c r="A2" s="42" t="s">
        <v>114</v>
      </c>
      <c r="B2" s="42"/>
      <c r="C2" s="42"/>
      <c r="D2" s="42"/>
      <c r="E2" s="42"/>
      <c r="F2" s="42"/>
      <c r="G2" s="42"/>
      <c r="H2" s="42"/>
    </row>
    <row r="4" spans="1:8" ht="25.05" customHeight="1">
      <c r="A4" s="40" t="s">
        <v>115</v>
      </c>
      <c r="B4" s="40"/>
      <c r="C4" s="40"/>
      <c r="D4" s="40"/>
      <c r="E4" s="40"/>
      <c r="F4" s="40"/>
      <c r="G4" s="40"/>
      <c r="H4" s="40"/>
    </row>
    <row r="5" spans="1:8" ht="15.6">
      <c r="A5" s="24" t="s">
        <v>116</v>
      </c>
      <c r="B5" s="34" t="s">
        <v>117</v>
      </c>
      <c r="C5" s="34"/>
      <c r="D5" s="34" t="s">
        <v>118</v>
      </c>
      <c r="E5" s="34"/>
      <c r="F5" s="34"/>
      <c r="G5" s="34"/>
      <c r="H5" s="34"/>
    </row>
    <row r="6" spans="1:8" ht="36" customHeight="1">
      <c r="A6" s="25" t="s">
        <v>119</v>
      </c>
      <c r="B6" s="43" t="s">
        <v>120</v>
      </c>
      <c r="C6" s="43"/>
      <c r="D6" s="37" t="s">
        <v>121</v>
      </c>
      <c r="E6" s="37"/>
      <c r="F6" s="37"/>
      <c r="G6" s="37"/>
      <c r="H6" s="37"/>
    </row>
    <row r="7" spans="1:8" ht="36" customHeight="1">
      <c r="A7" s="25" t="s">
        <v>122</v>
      </c>
      <c r="B7" s="43" t="s">
        <v>123</v>
      </c>
      <c r="C7" s="43"/>
      <c r="D7" s="37" t="s">
        <v>124</v>
      </c>
      <c r="E7" s="37"/>
      <c r="F7" s="37"/>
      <c r="G7" s="37"/>
      <c r="H7" s="37"/>
    </row>
    <row r="8" spans="1:8" ht="36" customHeight="1">
      <c r="A8" s="25" t="s">
        <v>125</v>
      </c>
      <c r="B8" s="43" t="s">
        <v>126</v>
      </c>
      <c r="C8" s="43"/>
      <c r="D8" s="37" t="s">
        <v>127</v>
      </c>
      <c r="E8" s="37"/>
      <c r="F8" s="37"/>
      <c r="G8" s="37"/>
      <c r="H8" s="37"/>
    </row>
    <row r="9" spans="1:8" ht="36" customHeight="1">
      <c r="A9" s="25" t="s">
        <v>128</v>
      </c>
      <c r="B9" s="43" t="s">
        <v>129</v>
      </c>
      <c r="C9" s="43"/>
      <c r="D9" s="37" t="s">
        <v>130</v>
      </c>
      <c r="E9" s="37"/>
      <c r="F9" s="37"/>
      <c r="G9" s="37"/>
      <c r="H9" s="37"/>
    </row>
    <row r="10" spans="1:8" ht="36" customHeight="1">
      <c r="A10" s="25" t="s">
        <v>131</v>
      </c>
      <c r="B10" s="43" t="s">
        <v>132</v>
      </c>
      <c r="C10" s="43"/>
      <c r="D10" s="37" t="s">
        <v>133</v>
      </c>
      <c r="E10" s="37"/>
      <c r="F10" s="37"/>
      <c r="G10" s="37"/>
      <c r="H10" s="37"/>
    </row>
    <row r="12" spans="1:8" ht="25.05" customHeight="1">
      <c r="A12" s="40" t="s">
        <v>134</v>
      </c>
      <c r="B12" s="40"/>
      <c r="C12" s="40"/>
      <c r="D12" s="40"/>
      <c r="E12" s="40"/>
      <c r="F12" s="40"/>
      <c r="G12" s="40"/>
      <c r="H12" s="40"/>
    </row>
    <row r="13" spans="1:8" ht="15.6">
      <c r="A13" s="24" t="s">
        <v>135</v>
      </c>
      <c r="B13" s="34" t="s">
        <v>136</v>
      </c>
      <c r="C13" s="34"/>
      <c r="D13" s="34" t="s">
        <v>137</v>
      </c>
      <c r="E13" s="34"/>
      <c r="F13" s="34" t="s">
        <v>138</v>
      </c>
      <c r="G13" s="34"/>
      <c r="H13" s="34"/>
    </row>
    <row r="14" spans="1:8" ht="34.049999999999997" customHeight="1">
      <c r="A14" s="26" t="s">
        <v>139</v>
      </c>
      <c r="B14" s="36" t="s">
        <v>140</v>
      </c>
      <c r="C14" s="36"/>
      <c r="D14" s="36" t="s">
        <v>141</v>
      </c>
      <c r="E14" s="36"/>
      <c r="F14" s="36" t="s">
        <v>142</v>
      </c>
      <c r="G14" s="36"/>
      <c r="H14" s="36"/>
    </row>
    <row r="15" spans="1:8" ht="34.049999999999997" customHeight="1">
      <c r="A15" s="27" t="s">
        <v>143</v>
      </c>
      <c r="B15" s="37" t="s">
        <v>144</v>
      </c>
      <c r="C15" s="37"/>
      <c r="D15" s="37" t="s">
        <v>145</v>
      </c>
      <c r="E15" s="37"/>
      <c r="F15" s="37" t="s">
        <v>146</v>
      </c>
      <c r="G15" s="37"/>
      <c r="H15" s="37"/>
    </row>
    <row r="16" spans="1:8" ht="34.049999999999997" customHeight="1">
      <c r="A16" s="26" t="s">
        <v>147</v>
      </c>
      <c r="B16" s="36" t="s">
        <v>148</v>
      </c>
      <c r="C16" s="36"/>
      <c r="D16" s="36" t="s">
        <v>149</v>
      </c>
      <c r="E16" s="36"/>
      <c r="F16" s="36" t="s">
        <v>150</v>
      </c>
      <c r="G16" s="36"/>
      <c r="H16" s="36"/>
    </row>
    <row r="17" spans="1:8" ht="34.049999999999997" customHeight="1">
      <c r="A17" s="27" t="s">
        <v>151</v>
      </c>
      <c r="B17" s="37" t="s">
        <v>152</v>
      </c>
      <c r="C17" s="37"/>
      <c r="D17" s="37" t="s">
        <v>153</v>
      </c>
      <c r="E17" s="37"/>
      <c r="F17" s="37" t="s">
        <v>150</v>
      </c>
      <c r="G17" s="37"/>
      <c r="H17" s="37"/>
    </row>
    <row r="18" spans="1:8" ht="34.049999999999997" customHeight="1">
      <c r="A18" s="26" t="s">
        <v>154</v>
      </c>
      <c r="B18" s="36" t="s">
        <v>155</v>
      </c>
      <c r="C18" s="36"/>
      <c r="D18" s="36" t="s">
        <v>156</v>
      </c>
      <c r="E18" s="36"/>
      <c r="F18" s="36" t="s">
        <v>157</v>
      </c>
      <c r="G18" s="36"/>
      <c r="H18" s="36"/>
    </row>
    <row r="20" spans="1:8" ht="25.05" customHeight="1">
      <c r="A20" s="40" t="s">
        <v>158</v>
      </c>
      <c r="B20" s="40"/>
      <c r="C20" s="40"/>
      <c r="D20" s="40"/>
      <c r="E20" s="40"/>
      <c r="F20" s="40"/>
      <c r="G20" s="40"/>
      <c r="H20" s="40"/>
    </row>
    <row r="21" spans="1:8" ht="15.6">
      <c r="A21" s="24" t="s">
        <v>159</v>
      </c>
      <c r="B21" s="24" t="s">
        <v>160</v>
      </c>
      <c r="C21" s="34" t="s">
        <v>161</v>
      </c>
      <c r="D21" s="34"/>
      <c r="E21" s="34" t="s">
        <v>162</v>
      </c>
      <c r="F21" s="34"/>
      <c r="G21" s="34" t="s">
        <v>163</v>
      </c>
      <c r="H21" s="34"/>
    </row>
    <row r="22" spans="1:8" ht="31.95" customHeight="1">
      <c r="A22" s="26" t="s">
        <v>0</v>
      </c>
      <c r="B22" s="28" t="s">
        <v>164</v>
      </c>
      <c r="C22" s="36" t="s">
        <v>165</v>
      </c>
      <c r="D22" s="36"/>
      <c r="E22" s="36" t="s">
        <v>166</v>
      </c>
      <c r="F22" s="36"/>
      <c r="G22" s="36" t="s">
        <v>14</v>
      </c>
      <c r="H22" s="36"/>
    </row>
    <row r="23" spans="1:8" ht="31.95" customHeight="1">
      <c r="A23" s="27" t="s">
        <v>1</v>
      </c>
      <c r="B23" s="29" t="s">
        <v>164</v>
      </c>
      <c r="C23" s="37" t="s">
        <v>167</v>
      </c>
      <c r="D23" s="37"/>
      <c r="E23" s="37" t="s">
        <v>168</v>
      </c>
      <c r="F23" s="37"/>
      <c r="G23" s="37" t="s">
        <v>119</v>
      </c>
      <c r="H23" s="37"/>
    </row>
    <row r="24" spans="1:8" ht="31.95" customHeight="1">
      <c r="A24" s="26" t="s">
        <v>2</v>
      </c>
      <c r="B24" s="28" t="s">
        <v>164</v>
      </c>
      <c r="C24" s="36" t="s">
        <v>169</v>
      </c>
      <c r="D24" s="36"/>
      <c r="E24" s="36" t="s">
        <v>168</v>
      </c>
      <c r="F24" s="36"/>
      <c r="G24" s="36" t="s">
        <v>170</v>
      </c>
      <c r="H24" s="36"/>
    </row>
    <row r="25" spans="1:8" ht="31.95" customHeight="1">
      <c r="A25" s="27" t="s">
        <v>44</v>
      </c>
      <c r="B25" s="29" t="s">
        <v>164</v>
      </c>
      <c r="C25" s="37" t="s">
        <v>171</v>
      </c>
      <c r="D25" s="37"/>
      <c r="E25" s="37" t="s">
        <v>172</v>
      </c>
      <c r="F25" s="37"/>
      <c r="G25" s="37" t="s">
        <v>53</v>
      </c>
      <c r="H25" s="37"/>
    </row>
    <row r="26" spans="1:8" ht="31.95" customHeight="1">
      <c r="A26" s="26" t="s">
        <v>45</v>
      </c>
      <c r="B26" s="28" t="s">
        <v>164</v>
      </c>
      <c r="C26" s="36" t="s">
        <v>173</v>
      </c>
      <c r="D26" s="36"/>
      <c r="E26" s="36" t="s">
        <v>174</v>
      </c>
      <c r="F26" s="36"/>
      <c r="G26" s="36" t="s">
        <v>175</v>
      </c>
      <c r="H26" s="36"/>
    </row>
    <row r="27" spans="1:8" ht="31.95" customHeight="1">
      <c r="A27" s="30" t="s">
        <v>46</v>
      </c>
      <c r="B27" s="31" t="s">
        <v>164</v>
      </c>
      <c r="C27" s="39" t="s">
        <v>176</v>
      </c>
      <c r="D27" s="39"/>
      <c r="E27" s="39" t="s">
        <v>177</v>
      </c>
      <c r="F27" s="39"/>
      <c r="G27" s="39" t="s">
        <v>178</v>
      </c>
      <c r="H27" s="39"/>
    </row>
    <row r="28" spans="1:8" ht="31.95" customHeight="1">
      <c r="A28" s="26" t="s">
        <v>47</v>
      </c>
      <c r="B28" s="28" t="s">
        <v>164</v>
      </c>
      <c r="C28" s="36" t="s">
        <v>179</v>
      </c>
      <c r="D28" s="36"/>
      <c r="E28" s="36" t="s">
        <v>180</v>
      </c>
      <c r="F28" s="36"/>
      <c r="G28" s="36" t="s">
        <v>181</v>
      </c>
      <c r="H28" s="36"/>
    </row>
    <row r="29" spans="1:8" ht="31.95" customHeight="1">
      <c r="A29" s="30" t="s">
        <v>48</v>
      </c>
      <c r="B29" s="31" t="s">
        <v>182</v>
      </c>
      <c r="C29" s="39" t="s">
        <v>183</v>
      </c>
      <c r="D29" s="39"/>
      <c r="E29" s="39" t="s">
        <v>184</v>
      </c>
      <c r="F29" s="39"/>
      <c r="G29" s="39" t="s">
        <v>185</v>
      </c>
      <c r="H29" s="39"/>
    </row>
    <row r="30" spans="1:8" ht="31.95" customHeight="1">
      <c r="A30" s="30" t="s">
        <v>49</v>
      </c>
      <c r="B30" s="31" t="s">
        <v>164</v>
      </c>
      <c r="C30" s="39" t="s">
        <v>186</v>
      </c>
      <c r="D30" s="39"/>
      <c r="E30" s="39" t="s">
        <v>187</v>
      </c>
      <c r="F30" s="39"/>
      <c r="G30" s="39" t="s">
        <v>188</v>
      </c>
      <c r="H30" s="39"/>
    </row>
    <row r="32" spans="1:8" ht="25.05" customHeight="1">
      <c r="A32" s="40" t="s">
        <v>189</v>
      </c>
      <c r="B32" s="40"/>
      <c r="C32" s="40"/>
      <c r="D32" s="40"/>
      <c r="E32" s="40"/>
      <c r="F32" s="40"/>
      <c r="G32" s="40"/>
      <c r="H32" s="40"/>
    </row>
    <row r="33" spans="1:8" ht="15.6">
      <c r="A33" s="24" t="s">
        <v>190</v>
      </c>
      <c r="B33" s="34" t="s">
        <v>191</v>
      </c>
      <c r="C33" s="34"/>
      <c r="D33" s="34" t="s">
        <v>192</v>
      </c>
      <c r="E33" s="34"/>
      <c r="F33" s="34" t="s">
        <v>193</v>
      </c>
      <c r="G33" s="34"/>
      <c r="H33" s="34"/>
    </row>
    <row r="34" spans="1:8" ht="48" customHeight="1">
      <c r="A34" s="26" t="s">
        <v>14</v>
      </c>
      <c r="B34" s="41" t="s">
        <v>194</v>
      </c>
      <c r="C34" s="41"/>
      <c r="D34" s="36" t="s">
        <v>143</v>
      </c>
      <c r="E34" s="36"/>
      <c r="F34" s="36" t="s">
        <v>195</v>
      </c>
      <c r="G34" s="36"/>
      <c r="H34" s="36"/>
    </row>
    <row r="35" spans="1:8" ht="48" customHeight="1">
      <c r="A35" s="27" t="s">
        <v>21</v>
      </c>
      <c r="B35" s="41" t="s">
        <v>196</v>
      </c>
      <c r="C35" s="41"/>
      <c r="D35" s="37" t="s">
        <v>197</v>
      </c>
      <c r="E35" s="37"/>
      <c r="F35" s="37" t="s">
        <v>198</v>
      </c>
      <c r="G35" s="37"/>
      <c r="H35" s="37"/>
    </row>
    <row r="36" spans="1:8" ht="48" customHeight="1">
      <c r="A36" s="26" t="s">
        <v>31</v>
      </c>
      <c r="B36" s="41" t="s">
        <v>199</v>
      </c>
      <c r="C36" s="41"/>
      <c r="D36" s="36" t="s">
        <v>200</v>
      </c>
      <c r="E36" s="36"/>
      <c r="F36" s="36" t="s">
        <v>201</v>
      </c>
      <c r="G36" s="36"/>
      <c r="H36" s="36"/>
    </row>
    <row r="38" spans="1:8" ht="25.05" customHeight="1">
      <c r="A38" s="40" t="s">
        <v>202</v>
      </c>
      <c r="B38" s="40"/>
      <c r="C38" s="40"/>
      <c r="D38" s="40"/>
      <c r="E38" s="40"/>
      <c r="F38" s="40"/>
      <c r="G38" s="40"/>
      <c r="H38" s="40"/>
    </row>
    <row r="39" spans="1:8" ht="15.6">
      <c r="A39" s="34" t="s">
        <v>203</v>
      </c>
      <c r="B39" s="34"/>
      <c r="C39" s="34"/>
      <c r="D39" s="34"/>
      <c r="E39" s="34" t="s">
        <v>204</v>
      </c>
      <c r="F39" s="34"/>
      <c r="G39" s="34"/>
      <c r="H39" s="34"/>
    </row>
    <row r="40" spans="1:8" ht="25.05" customHeight="1">
      <c r="A40" s="38" t="s">
        <v>88</v>
      </c>
      <c r="B40" s="38"/>
      <c r="C40" s="38"/>
      <c r="D40" s="38"/>
      <c r="E40" s="37" t="s">
        <v>89</v>
      </c>
      <c r="F40" s="37"/>
      <c r="G40" s="37"/>
      <c r="H40" s="37"/>
    </row>
    <row r="41" spans="1:8" ht="25.05" customHeight="1">
      <c r="A41" s="38" t="s">
        <v>97</v>
      </c>
      <c r="B41" s="38"/>
      <c r="C41" s="38"/>
      <c r="D41" s="38"/>
      <c r="E41" s="37" t="s">
        <v>89</v>
      </c>
      <c r="F41" s="37"/>
      <c r="G41" s="37"/>
      <c r="H41" s="37"/>
    </row>
    <row r="42" spans="1:8" ht="25.05" customHeight="1">
      <c r="A42" s="38" t="s">
        <v>105</v>
      </c>
      <c r="B42" s="38"/>
      <c r="C42" s="38"/>
      <c r="D42" s="38"/>
      <c r="E42" s="37" t="s">
        <v>106</v>
      </c>
      <c r="F42" s="37"/>
      <c r="G42" s="37"/>
      <c r="H42" s="37"/>
    </row>
    <row r="43" spans="1:8" ht="25.05" customHeight="1">
      <c r="A43" s="38" t="s">
        <v>53</v>
      </c>
      <c r="B43" s="38"/>
      <c r="C43" s="38"/>
      <c r="D43" s="38"/>
      <c r="E43" s="37" t="s">
        <v>89</v>
      </c>
      <c r="F43" s="37"/>
      <c r="G43" s="37"/>
      <c r="H43" s="37"/>
    </row>
    <row r="44" spans="1:8" ht="25.05" customHeight="1">
      <c r="A44" s="38" t="s">
        <v>50</v>
      </c>
      <c r="B44" s="38"/>
      <c r="C44" s="38"/>
      <c r="D44" s="38"/>
      <c r="E44" s="37" t="s">
        <v>89</v>
      </c>
      <c r="F44" s="37"/>
      <c r="G44" s="37"/>
      <c r="H44" s="37"/>
    </row>
    <row r="45" spans="1:8" ht="25.05" customHeight="1">
      <c r="A45" s="38" t="s">
        <v>54</v>
      </c>
      <c r="B45" s="38"/>
      <c r="C45" s="38"/>
      <c r="D45" s="38"/>
      <c r="E45" s="37" t="s">
        <v>89</v>
      </c>
      <c r="F45" s="37"/>
      <c r="G45" s="37"/>
      <c r="H45" s="37"/>
    </row>
    <row r="46" spans="1:8" ht="25.05" customHeight="1">
      <c r="A46" s="38" t="s">
        <v>55</v>
      </c>
      <c r="B46" s="38"/>
      <c r="C46" s="38"/>
      <c r="D46" s="38"/>
      <c r="E46" s="37" t="s">
        <v>110</v>
      </c>
      <c r="F46" s="37"/>
      <c r="G46" s="37"/>
      <c r="H46" s="37"/>
    </row>
    <row r="47" spans="1:8" ht="25.05" customHeight="1">
      <c r="A47" s="38" t="s">
        <v>59</v>
      </c>
      <c r="B47" s="38"/>
      <c r="C47" s="38"/>
      <c r="D47" s="38"/>
      <c r="E47" s="37" t="s">
        <v>111</v>
      </c>
      <c r="F47" s="37"/>
      <c r="G47" s="37"/>
      <c r="H47" s="37"/>
    </row>
    <row r="48" spans="1:8" ht="25.05" customHeight="1">
      <c r="A48" s="38" t="s">
        <v>58</v>
      </c>
      <c r="B48" s="38"/>
      <c r="C48" s="38"/>
      <c r="D48" s="38"/>
      <c r="E48" s="37" t="s">
        <v>112</v>
      </c>
      <c r="F48" s="37"/>
      <c r="G48" s="37"/>
      <c r="H48" s="37"/>
    </row>
    <row r="49" spans="1:8" ht="25.05" customHeight="1">
      <c r="A49" s="38" t="s">
        <v>60</v>
      </c>
      <c r="B49" s="38"/>
      <c r="C49" s="38"/>
      <c r="D49" s="38"/>
      <c r="E49" s="37" t="s">
        <v>110</v>
      </c>
      <c r="F49" s="37"/>
      <c r="G49" s="37"/>
      <c r="H49" s="37"/>
    </row>
    <row r="51" spans="1:8" ht="25.05" customHeight="1">
      <c r="A51" s="40" t="s">
        <v>205</v>
      </c>
      <c r="B51" s="40"/>
      <c r="C51" s="40"/>
      <c r="D51" s="40"/>
      <c r="E51" s="40"/>
      <c r="F51" s="40"/>
      <c r="G51" s="40"/>
      <c r="H51" s="40"/>
    </row>
    <row r="52" spans="1:8" ht="30" customHeight="1">
      <c r="A52" s="32" t="s">
        <v>206</v>
      </c>
      <c r="B52" s="37" t="s">
        <v>207</v>
      </c>
      <c r="C52" s="37"/>
      <c r="D52" s="37"/>
      <c r="E52" s="37"/>
      <c r="F52" s="37"/>
      <c r="G52" s="37"/>
      <c r="H52" s="37"/>
    </row>
    <row r="53" spans="1:8" ht="30" customHeight="1">
      <c r="A53" s="32" t="s">
        <v>206</v>
      </c>
      <c r="B53" s="37" t="s">
        <v>208</v>
      </c>
      <c r="C53" s="37"/>
      <c r="D53" s="37"/>
      <c r="E53" s="37"/>
      <c r="F53" s="37"/>
      <c r="G53" s="37"/>
      <c r="H53" s="37"/>
    </row>
    <row r="54" spans="1:8" ht="30" customHeight="1">
      <c r="A54" s="32" t="s">
        <v>206</v>
      </c>
      <c r="B54" s="37" t="s">
        <v>209</v>
      </c>
      <c r="C54" s="37"/>
      <c r="D54" s="37"/>
      <c r="E54" s="37"/>
      <c r="F54" s="37"/>
      <c r="G54" s="37"/>
      <c r="H54" s="37"/>
    </row>
    <row r="55" spans="1:8" ht="30" customHeight="1">
      <c r="A55" s="32" t="s">
        <v>206</v>
      </c>
      <c r="B55" s="37" t="s">
        <v>210</v>
      </c>
      <c r="C55" s="37"/>
      <c r="D55" s="37"/>
      <c r="E55" s="37"/>
      <c r="F55" s="37"/>
      <c r="G55" s="37"/>
      <c r="H55" s="37"/>
    </row>
    <row r="56" spans="1:8" ht="30" customHeight="1">
      <c r="A56" s="32" t="s">
        <v>206</v>
      </c>
      <c r="B56" s="37" t="s">
        <v>211</v>
      </c>
      <c r="C56" s="37"/>
      <c r="D56" s="37"/>
      <c r="E56" s="37"/>
      <c r="F56" s="37"/>
      <c r="G56" s="37"/>
      <c r="H56" s="37"/>
    </row>
    <row r="57" spans="1:8" ht="30" customHeight="1">
      <c r="A57" s="32" t="s">
        <v>206</v>
      </c>
      <c r="B57" s="37" t="s">
        <v>212</v>
      </c>
      <c r="C57" s="37"/>
      <c r="D57" s="37"/>
      <c r="E57" s="37"/>
      <c r="F57" s="37"/>
      <c r="G57" s="37"/>
      <c r="H57" s="37"/>
    </row>
    <row r="58" spans="1:8" ht="30" customHeight="1">
      <c r="A58" s="32" t="s">
        <v>206</v>
      </c>
      <c r="B58" s="37" t="s">
        <v>213</v>
      </c>
      <c r="C58" s="37"/>
      <c r="D58" s="37"/>
      <c r="E58" s="37"/>
      <c r="F58" s="37"/>
      <c r="G58" s="37"/>
      <c r="H58" s="37"/>
    </row>
    <row r="60" spans="1:8" ht="25.05" customHeight="1">
      <c r="A60" s="40" t="s">
        <v>214</v>
      </c>
      <c r="B60" s="40"/>
      <c r="C60" s="40"/>
      <c r="D60" s="40"/>
      <c r="E60" s="40"/>
      <c r="F60" s="40"/>
      <c r="G60" s="40"/>
      <c r="H60" s="40"/>
    </row>
    <row r="61" spans="1:8" ht="34.049999999999997" customHeight="1">
      <c r="A61" s="35" t="s">
        <v>46</v>
      </c>
      <c r="B61" s="35"/>
      <c r="C61" s="37" t="s">
        <v>215</v>
      </c>
      <c r="D61" s="37"/>
      <c r="E61" s="37"/>
      <c r="F61" s="37"/>
      <c r="G61" s="37"/>
      <c r="H61" s="37"/>
    </row>
    <row r="62" spans="1:8" ht="34.049999999999997" customHeight="1">
      <c r="A62" s="35" t="s">
        <v>49</v>
      </c>
      <c r="B62" s="35"/>
      <c r="C62" s="37" t="s">
        <v>226</v>
      </c>
      <c r="D62" s="37"/>
      <c r="E62" s="37"/>
      <c r="F62" s="37"/>
      <c r="G62" s="37"/>
      <c r="H62" s="37"/>
    </row>
    <row r="63" spans="1:8" ht="34.049999999999997" customHeight="1">
      <c r="A63" s="35" t="s">
        <v>216</v>
      </c>
      <c r="B63" s="35"/>
      <c r="C63" s="37" t="s">
        <v>217</v>
      </c>
      <c r="D63" s="37"/>
      <c r="E63" s="37"/>
      <c r="F63" s="37"/>
      <c r="G63" s="37"/>
      <c r="H63" s="37"/>
    </row>
    <row r="64" spans="1:8" ht="34.049999999999997" customHeight="1">
      <c r="A64" s="35" t="s">
        <v>61</v>
      </c>
      <c r="B64" s="35"/>
      <c r="C64" s="37" t="s">
        <v>218</v>
      </c>
      <c r="D64" s="37"/>
      <c r="E64" s="37"/>
      <c r="F64" s="37"/>
      <c r="G64" s="37"/>
      <c r="H64" s="37"/>
    </row>
    <row r="65" spans="1:8" ht="40.049999999999997" customHeight="1">
      <c r="A65" s="35" t="s">
        <v>219</v>
      </c>
      <c r="B65" s="35"/>
      <c r="C65" s="37" t="s">
        <v>220</v>
      </c>
      <c r="D65" s="37"/>
      <c r="E65" s="37"/>
      <c r="F65" s="37"/>
      <c r="G65" s="37"/>
      <c r="H65" s="37"/>
    </row>
    <row r="67" spans="1:8" ht="25.05" customHeight="1">
      <c r="A67" s="40" t="s">
        <v>221</v>
      </c>
      <c r="B67" s="40"/>
      <c r="C67" s="40"/>
      <c r="D67" s="40"/>
      <c r="E67" s="40"/>
      <c r="F67" s="40"/>
      <c r="G67" s="40"/>
      <c r="H67" s="40"/>
    </row>
    <row r="68" spans="1:8" ht="30" customHeight="1">
      <c r="A68" s="33" t="s">
        <v>119</v>
      </c>
      <c r="B68" s="37" t="s">
        <v>222</v>
      </c>
      <c r="C68" s="37"/>
      <c r="D68" s="37"/>
      <c r="E68" s="37"/>
      <c r="F68" s="37"/>
      <c r="G68" s="37"/>
      <c r="H68" s="37"/>
    </row>
    <row r="69" spans="1:8" ht="30" customHeight="1">
      <c r="A69" s="33" t="s">
        <v>122</v>
      </c>
      <c r="B69" s="37" t="s">
        <v>223</v>
      </c>
      <c r="C69" s="37"/>
      <c r="D69" s="37"/>
      <c r="E69" s="37"/>
      <c r="F69" s="37"/>
      <c r="G69" s="37"/>
      <c r="H69" s="37"/>
    </row>
    <row r="70" spans="1:8" ht="30" customHeight="1">
      <c r="A70" s="33" t="s">
        <v>125</v>
      </c>
      <c r="B70" s="37" t="s">
        <v>224</v>
      </c>
      <c r="C70" s="37"/>
      <c r="D70" s="37"/>
      <c r="E70" s="37"/>
      <c r="F70" s="37"/>
      <c r="G70" s="37"/>
      <c r="H70" s="37"/>
    </row>
    <row r="71" spans="1:8" ht="30" customHeight="1">
      <c r="A71" s="33" t="s">
        <v>128</v>
      </c>
      <c r="B71" s="37" t="s">
        <v>225</v>
      </c>
      <c r="C71" s="37"/>
      <c r="D71" s="37"/>
      <c r="E71" s="37"/>
      <c r="F71" s="37"/>
      <c r="G71" s="37"/>
      <c r="H71" s="37"/>
    </row>
  </sheetData>
  <mergeCells count="125">
    <mergeCell ref="A1:H1"/>
    <mergeCell ref="C26:D26"/>
    <mergeCell ref="A40:D40"/>
    <mergeCell ref="D6:H6"/>
    <mergeCell ref="E43:H43"/>
    <mergeCell ref="C25:D25"/>
    <mergeCell ref="E28:F28"/>
    <mergeCell ref="G28:H28"/>
    <mergeCell ref="B8:C8"/>
    <mergeCell ref="E42:H42"/>
    <mergeCell ref="A12:H12"/>
    <mergeCell ref="D16:E16"/>
    <mergeCell ref="E30:F30"/>
    <mergeCell ref="G30:H30"/>
    <mergeCell ref="B10:C10"/>
    <mergeCell ref="D18:E18"/>
    <mergeCell ref="G29:H29"/>
    <mergeCell ref="A4:H4"/>
    <mergeCell ref="B36:C36"/>
    <mergeCell ref="B5:C5"/>
    <mergeCell ref="E46:H46"/>
    <mergeCell ref="D14:E14"/>
    <mergeCell ref="C65:H65"/>
    <mergeCell ref="C24:D24"/>
    <mergeCell ref="E24:F24"/>
    <mergeCell ref="G27:H27"/>
    <mergeCell ref="A43:D43"/>
    <mergeCell ref="E41:H41"/>
    <mergeCell ref="E44:H44"/>
    <mergeCell ref="A47:D47"/>
    <mergeCell ref="D7:H7"/>
    <mergeCell ref="E39:H39"/>
    <mergeCell ref="C21:D21"/>
    <mergeCell ref="B34:C34"/>
    <mergeCell ref="B70:H70"/>
    <mergeCell ref="B9:C9"/>
    <mergeCell ref="C23:D23"/>
    <mergeCell ref="F34:H34"/>
    <mergeCell ref="F16:H16"/>
    <mergeCell ref="D8:H8"/>
    <mergeCell ref="E21:F21"/>
    <mergeCell ref="B69:H69"/>
    <mergeCell ref="B71:H71"/>
    <mergeCell ref="B56:H56"/>
    <mergeCell ref="G24:H24"/>
    <mergeCell ref="A2:H2"/>
    <mergeCell ref="E26:F26"/>
    <mergeCell ref="A46:D46"/>
    <mergeCell ref="G26:H26"/>
    <mergeCell ref="B6:C6"/>
    <mergeCell ref="E40:H40"/>
    <mergeCell ref="C62:H62"/>
    <mergeCell ref="B57:H57"/>
    <mergeCell ref="E25:F25"/>
    <mergeCell ref="A20:H20"/>
    <mergeCell ref="D15:E15"/>
    <mergeCell ref="B15:C15"/>
    <mergeCell ref="G25:H25"/>
    <mergeCell ref="A63:B63"/>
    <mergeCell ref="D5:H5"/>
    <mergeCell ref="C64:H64"/>
    <mergeCell ref="F15:H15"/>
    <mergeCell ref="B7:C7"/>
    <mergeCell ref="B68:H68"/>
    <mergeCell ref="C29:D29"/>
    <mergeCell ref="A65:B65"/>
    <mergeCell ref="A67:H67"/>
    <mergeCell ref="C63:H63"/>
    <mergeCell ref="E45:H45"/>
    <mergeCell ref="B16:C16"/>
    <mergeCell ref="C30:D30"/>
    <mergeCell ref="D34:E34"/>
    <mergeCell ref="A51:H51"/>
    <mergeCell ref="F35:H35"/>
    <mergeCell ref="A60:H60"/>
    <mergeCell ref="B18:C18"/>
    <mergeCell ref="A61:B61"/>
    <mergeCell ref="A48:D48"/>
    <mergeCell ref="B54:H54"/>
    <mergeCell ref="E48:H48"/>
    <mergeCell ref="E29:F29"/>
    <mergeCell ref="A39:D39"/>
    <mergeCell ref="C22:D22"/>
    <mergeCell ref="A49:D49"/>
    <mergeCell ref="B17:C17"/>
    <mergeCell ref="D17:E17"/>
    <mergeCell ref="A45:D45"/>
    <mergeCell ref="D9:H9"/>
    <mergeCell ref="A62:B62"/>
    <mergeCell ref="B33:C33"/>
    <mergeCell ref="B53:H53"/>
    <mergeCell ref="A38:H38"/>
    <mergeCell ref="D33:E33"/>
    <mergeCell ref="C28:D28"/>
    <mergeCell ref="E22:F22"/>
    <mergeCell ref="G22:H22"/>
    <mergeCell ref="E49:H49"/>
    <mergeCell ref="A42:D42"/>
    <mergeCell ref="B35:C35"/>
    <mergeCell ref="D35:E35"/>
    <mergeCell ref="F13:H13"/>
    <mergeCell ref="G21:H21"/>
    <mergeCell ref="A64:B64"/>
    <mergeCell ref="F36:H36"/>
    <mergeCell ref="F33:H33"/>
    <mergeCell ref="F18:H18"/>
    <mergeCell ref="D10:H10"/>
    <mergeCell ref="B55:H55"/>
    <mergeCell ref="E23:F23"/>
    <mergeCell ref="G23:H23"/>
    <mergeCell ref="F17:H17"/>
    <mergeCell ref="D36:E36"/>
    <mergeCell ref="A44:D44"/>
    <mergeCell ref="E47:H47"/>
    <mergeCell ref="D13:E13"/>
    <mergeCell ref="C61:H61"/>
    <mergeCell ref="B14:C14"/>
    <mergeCell ref="B13:C13"/>
    <mergeCell ref="B58:H58"/>
    <mergeCell ref="F14:H14"/>
    <mergeCell ref="B52:H52"/>
    <mergeCell ref="C27:D27"/>
    <mergeCell ref="E27:F27"/>
    <mergeCell ref="A41:D41"/>
    <mergeCell ref="A32:H32"/>
  </mergeCells>
  <phoneticPr fontId="3" type="noConversion"/>
  <pageMargins left="0.7" right="0.7" top="0.75" bottom="0.75" header="0.3" footer="0.3"/>
  <pageSetup orientation="landscape"/>
</worksheet>
</file>

<file path=xl/worksheets/sheet7.xml><?xml version="1.0" encoding="utf-8"?>
<x:worksheet xmlns:x="http://schemas.openxmlformats.org/spreadsheetml/2006/main">
  <x:sheetPr>
    <x:tabColor rgb="FFC78A36"/>
  </x:sheetPr>
  <x:sheetViews>
    <x:sheetView showGridLines="0" workbookViewId="0" tabSelected="0">
      <x:pane ySplit="7" topLeftCell="A8" activePane="bottomLeft" state="frozen"/>
    </x:sheetView>
  </x:sheetViews>
  <x:sheetFormatPr defaultRowHeight="15"/>
  <x:cols>
    <x:col min="1" max="1" width="19" hidden="0" customWidth="1"/>
    <x:col min="2" max="2" width="14" hidden="0" customWidth="1"/>
    <x:col min="3" max="3" width="13" hidden="0" customWidth="1"/>
    <x:col min="4" max="4" width="15" hidden="0" customWidth="1"/>
    <x:col min="5" max="5" width="15" hidden="0" customWidth="1"/>
    <x:col min="6" max="6" width="14" hidden="0" customWidth="1"/>
    <x:col min="7" max="7" width="15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5" hidden="0" customWidth="1"/>
    <x:col min="13" max="13" width="15" hidden="0" customWidth="1"/>
    <x:col min="14" max="14" width="14" hidden="0" customWidth="1"/>
    <x:col min="15" max="15" width="17" hidden="0" customWidth="1"/>
    <x:col min="16" max="16" width="18" hidden="0" customWidth="1"/>
  </x:cols>
  <x:sheetData>
    <x:row r="1" ht="28" customHeight="1">
      <x:c r="A1" s="82" t="str">
        <x:v>왕국군 키우기 · Stage 베타 개정 · 2026-09-13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2"/>
      <x:c r="P1" s="82"/>
    </x:row>
    <x:row r="2" ht="34" customHeight="1">
      <x:c r="A2" s="53" t="str">
        <x:v>기존 6개 시트는 구 구현·제작자 호환 스냅샷으로 보존했습니다. 이 시트의 베타 목표 수치는 새 어댑터와 신규 적/보상 구현 후 적용합니다.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</x:row>
    <x:row r="3" ht="34" customHeight="1">
      <x:c r="A3" s="53" t="str">
        <x:v>현재 변환기는 명명된 기존 5개 데이터 표를 읽으며 이 시트는 무시합니다. BETA_*는 등록되지 않은 제작용 코드입니다. 기존 enum/헤더에 직접 삽입하지 마세요.</x:v>
      </x:c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</x:row>
    <x:row r="4" ht="34" customHeight="1">
      <x:c r="A4" s="53" t="str">
        <x:v>사용자 확정: 2스테이지 고블린 / 3스테이지 신규 오크, 골드 미믹 타임어택, 루비 보스별 제한시간. 하루 일일 약10분 + 추가20~30분.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</x:row>
    <x:row r="5" ht="34" customHeight="1">
      <x:c r="A5" s="53" t="str">
        <x:v>파란 숫자는 조정 입력, 검은 숫자/수식은 계산 결과입니다. 단위·최종 반올림을 고정하고 원본 6개 시트의 값과 혼용하지 않습니다.</x:v>
      </x:c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</x:row>
    <x:row r="6" ht="34" customHeight="1">
      <x:c r="A6" s="53" t="str">
        <x:v>출처: 기획서(개정: 베타버전), 현재 작업 트리 2dc4c3dd+미커밋 변경, MonsterInfo/DropTable/Stage/Mage/Equipment 코드·SO. 서버 실지급과 기기 페이스는 미검증.</x:v>
      </x:c>
      <x:c r="B6" s="53"/>
      <x:c r="C6" s="53"/>
      <x:c r="D6" s="53"/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</x:row>
    <x:row r="7">
      <x:c r="A7" s="60"/>
      <x:c r="B7" s="60"/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</x:row>
    <x:row r="8">
      <x:c r="A8" s="60"/>
      <x:c r="B8" s="60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</x:row>
    <x:row r="9" ht="28" customHeight="1">
      <x:c r="A9" s="82" t="str">
        <x:v>01 · 조정 입력 — 계수의 단일 원본</x:v>
      </x:c>
      <x:c r="B9" s="82"/>
      <x:c r="C9" s="82"/>
      <x:c r="D9" s="82"/>
      <x:c r="E9" s="82"/>
      <x:c r="F9" s="82"/>
      <x:c r="G9" s="82"/>
      <x:c r="H9" s="82"/>
      <x:c r="I9" s="82"/>
      <x:c r="J9" s="82"/>
      <x:c r="K9" s="82"/>
      <x:c r="L9" s="82"/>
      <x:c r="M9" s="82"/>
      <x:c r="N9" s="82"/>
      <x:c r="O9" s="82"/>
      <x:c r="P9" s="82"/>
    </x:row>
    <x:row r="10" ht="25" customHeight="1">
      <x:c r="A10" s="60" t="str">
        <x:v>hp0</x:v>
      </x:c>
      <x:c r="B10" s="60"/>
      <x:c r="C10" s="60"/>
      <x:c r="D10" s="60"/>
      <x:c r="E10" s="83" t="n">
        <x:v>80</x:v>
      </x:c>
      <x:c r="F10" s="60" t="str">
        <x:v>HP</x:v>
      </x:c>
      <x:c r="G10" s="60"/>
      <x:c r="H10" s="60" t="str">
        <x:v>메인 n=1 일반1체</x:v>
      </x:c>
      <x:c r="I10" s="60"/>
      <x:c r="J10" s="60"/>
      <x:c r="K10" s="60"/>
      <x:c r="L10" s="60"/>
      <x:c r="M10" s="60"/>
      <x:c r="N10" s="60"/>
      <x:c r="O10" s="60"/>
      <x:c r="P10" s="60"/>
    </x:row>
    <x:row r="11" ht="25" customHeight="1">
      <x:c r="A11" s="60" t="str">
        <x:v>hpGrowth</x:v>
      </x:c>
      <x:c r="B11" s="60"/>
      <x:c r="C11" s="60"/>
      <x:c r="D11" s="60"/>
      <x:c r="E11" s="83" t="n">
        <x:v>1.1</x:v>
      </x:c>
      <x:c r="F11" s="60" t="str">
        <x:v>배/웨이브</x:v>
      </x:c>
      <x:c r="G11" s="60"/>
      <x:c r="H11" s="60" t="str">
        <x:v>HP 지수 성장</x:v>
      </x:c>
      <x:c r="I11" s="60"/>
      <x:c r="J11" s="60"/>
      <x:c r="K11" s="60"/>
      <x:c r="L11" s="60"/>
      <x:c r="M11" s="60"/>
      <x:c r="N11" s="60"/>
      <x:c r="O11" s="60"/>
      <x:c r="P11" s="60"/>
    </x:row>
    <x:row r="12" ht="25" customHeight="1">
      <x:c r="A12" s="60" t="str">
        <x:v>atk0</x:v>
      </x:c>
      <x:c r="B12" s="60"/>
      <x:c r="C12" s="60"/>
      <x:c r="D12" s="60"/>
      <x:c r="E12" s="83" t="n">
        <x:v>5</x:v>
      </x:c>
      <x:c r="F12" s="60" t="str">
        <x:v>ATK</x:v>
      </x:c>
      <x:c r="G12" s="60"/>
      <x:c r="H12" s="60" t="str">
        <x:v>메인 n=1 일반1체</x:v>
      </x:c>
      <x:c r="I12" s="60"/>
      <x:c r="J12" s="60"/>
      <x:c r="K12" s="60"/>
      <x:c r="L12" s="60"/>
      <x:c r="M12" s="60"/>
      <x:c r="N12" s="60"/>
      <x:c r="O12" s="60"/>
      <x:c r="P12" s="60"/>
    </x:row>
    <x:row r="13" ht="25" customHeight="1">
      <x:c r="A13" s="60" t="str">
        <x:v>atkGrowth</x:v>
      </x:c>
      <x:c r="B13" s="60"/>
      <x:c r="C13" s="60"/>
      <x:c r="D13" s="60"/>
      <x:c r="E13" s="83" t="n">
        <x:v>1.065</x:v>
      </x:c>
      <x:c r="F13" s="60" t="str">
        <x:v>배/웨이브</x:v>
      </x:c>
      <x:c r="G13" s="60"/>
      <x:c r="H13" s="60" t="str">
        <x:v>ATK 지수 성장</x:v>
      </x:c>
      <x:c r="I13" s="60"/>
      <x:c r="J13" s="60"/>
      <x:c r="K13" s="60"/>
      <x:c r="L13" s="60"/>
      <x:c r="M13" s="60"/>
      <x:c r="N13" s="60"/>
      <x:c r="O13" s="60"/>
      <x:c r="P13" s="60"/>
    </x:row>
    <x:row r="14" ht="25" customHeight="1">
      <x:c r="A14" s="60" t="str">
        <x:v>gold0</x:v>
      </x:c>
      <x:c r="B14" s="60"/>
      <x:c r="C14" s="60"/>
      <x:c r="D14" s="60"/>
      <x:c r="E14" s="83" t="n">
        <x:v>10</x:v>
      </x:c>
      <x:c r="F14" s="60" t="str">
        <x:v>Gold/체</x:v>
      </x:c>
      <x:c r="G14" s="60"/>
      <x:c r="H14" s="60" t="str">
        <x:v>메인 n=1 일반</x:v>
      </x:c>
      <x:c r="I14" s="60"/>
      <x:c r="J14" s="60"/>
      <x:c r="K14" s="60"/>
      <x:c r="L14" s="60"/>
      <x:c r="M14" s="60"/>
      <x:c r="N14" s="60"/>
      <x:c r="O14" s="60"/>
      <x:c r="P14" s="60"/>
    </x:row>
    <x:row r="15" ht="25" customHeight="1">
      <x:c r="A15" s="60" t="str">
        <x:v>goldGrowth</x:v>
      </x:c>
      <x:c r="B15" s="60"/>
      <x:c r="C15" s="60"/>
      <x:c r="D15" s="60"/>
      <x:c r="E15" s="83" t="n">
        <x:v>1.08</x:v>
      </x:c>
      <x:c r="F15" s="60" t="str">
        <x:v>배/웨이브</x:v>
      </x:c>
      <x:c r="G15" s="60"/>
      <x:c r="H15" s="60" t="str">
        <x:v>골드 지수 성장</x:v>
      </x:c>
      <x:c r="I15" s="60"/>
      <x:c r="J15" s="60"/>
      <x:c r="K15" s="60"/>
      <x:c r="L15" s="60"/>
      <x:c r="M15" s="60"/>
      <x:c r="N15" s="60"/>
      <x:c r="O15" s="60"/>
      <x:c r="P15" s="60"/>
    </x:row>
    <x:row r="16" ht="25" customHeight="1">
      <x:c r="A16" s="60" t="str">
        <x:v>exp0</x:v>
      </x:c>
      <x:c r="B16" s="60"/>
      <x:c r="C16" s="60"/>
      <x:c r="D16" s="60"/>
      <x:c r="E16" s="83" t="n">
        <x:v>3</x:v>
      </x:c>
      <x:c r="F16" s="60" t="str">
        <x:v>EXP/체</x:v>
      </x:c>
      <x:c r="G16" s="60"/>
      <x:c r="H16" s="60" t="str">
        <x:v>메인 n=1 일반</x:v>
      </x:c>
      <x:c r="I16" s="60"/>
      <x:c r="J16" s="60"/>
      <x:c r="K16" s="60"/>
      <x:c r="L16" s="60"/>
      <x:c r="M16" s="60"/>
      <x:c r="N16" s="60"/>
      <x:c r="O16" s="60"/>
      <x:c r="P16" s="60"/>
    </x:row>
    <x:row r="17" ht="25" customHeight="1">
      <x:c r="A17" s="60" t="str">
        <x:v>expGrowth</x:v>
      </x:c>
      <x:c r="B17" s="60"/>
      <x:c r="C17" s="60"/>
      <x:c r="D17" s="60"/>
      <x:c r="E17" s="83" t="n">
        <x:v>1.07</x:v>
      </x:c>
      <x:c r="F17" s="60" t="str">
        <x:v>배/웨이브</x:v>
      </x:c>
      <x:c r="G17" s="60"/>
      <x:c r="H17" s="60" t="str">
        <x:v>EXP 지수 성장</x:v>
      </x:c>
      <x:c r="I17" s="60"/>
      <x:c r="J17" s="60"/>
      <x:c r="K17" s="60"/>
      <x:c r="L17" s="60"/>
      <x:c r="M17" s="60"/>
      <x:c r="N17" s="60"/>
      <x:c r="O17" s="60"/>
      <x:c r="P17" s="60"/>
    </x:row>
    <x:row r="18" ht="25" customHeight="1">
      <x:c r="A18" s="60" t="str">
        <x:v>bossHP</x:v>
      </x:c>
      <x:c r="B18" s="60"/>
      <x:c r="C18" s="60"/>
      <x:c r="D18" s="60"/>
      <x:c r="E18" s="83" t="n">
        <x:v>18</x:v>
      </x:c>
      <x:c r="F18" s="60" t="str">
        <x:v>배</x:v>
      </x:c>
      <x:c r="G18" s="60"/>
      <x:c r="H18" s="60" t="str">
        <x:v>보스 HP; 정수화 전에 적용</x:v>
      </x:c>
      <x:c r="I18" s="60"/>
      <x:c r="J18" s="60"/>
      <x:c r="K18" s="60"/>
      <x:c r="L18" s="60"/>
      <x:c r="M18" s="60"/>
      <x:c r="N18" s="60"/>
      <x:c r="O18" s="60"/>
      <x:c r="P18" s="60"/>
    </x:row>
    <x:row r="19" ht="25" customHeight="1">
      <x:c r="A19" s="60" t="str">
        <x:v>bossATK</x:v>
      </x:c>
      <x:c r="B19" s="60"/>
      <x:c r="C19" s="60"/>
      <x:c r="D19" s="60"/>
      <x:c r="E19" s="83" t="n">
        <x:v>3</x:v>
      </x:c>
      <x:c r="F19" s="60" t="str">
        <x:v>배</x:v>
      </x:c>
      <x:c r="G19" s="60"/>
      <x:c r="H19" s="60" t="str">
        <x:v>보스 ATK</x:v>
      </x:c>
      <x:c r="I19" s="60"/>
      <x:c r="J19" s="60"/>
      <x:c r="K19" s="60"/>
      <x:c r="L19" s="60"/>
      <x:c r="M19" s="60"/>
      <x:c r="N19" s="60"/>
      <x:c r="O19" s="60"/>
      <x:c r="P19" s="60"/>
    </x:row>
    <x:row r="20" ht="25" customHeight="1">
      <x:c r="A20" s="60" t="str">
        <x:v>bossGold</x:v>
      </x:c>
      <x:c r="B20" s="60"/>
      <x:c r="C20" s="60"/>
      <x:c r="D20" s="60"/>
      <x:c r="E20" s="83" t="n">
        <x:v>10</x:v>
      </x:c>
      <x:c r="F20" s="60" t="str">
        <x:v>배</x:v>
      </x:c>
      <x:c r="G20" s="60"/>
      <x:c r="H20" s="60" t="str">
        <x:v>보스 반복 Gold; 주화/파편0</x:v>
      </x:c>
      <x:c r="I20" s="60"/>
      <x:c r="J20" s="60"/>
      <x:c r="K20" s="60"/>
      <x:c r="L20" s="60"/>
      <x:c r="M20" s="60"/>
      <x:c r="N20" s="60"/>
      <x:c r="O20" s="60"/>
      <x:c r="P20" s="60"/>
    </x:row>
    <x:row r="21" ht="25" customHeight="1">
      <x:c r="A21" s="60" t="str">
        <x:v>bossExp</x:v>
      </x:c>
      <x:c r="B21" s="60"/>
      <x:c r="C21" s="60"/>
      <x:c r="D21" s="60"/>
      <x:c r="E21" s="83" t="n">
        <x:v>20</x:v>
      </x:c>
      <x:c r="F21" s="60" t="str">
        <x:v>배</x:v>
      </x:c>
      <x:c r="G21" s="60"/>
      <x:c r="H21" s="60" t="str">
        <x:v>보스 EXP</x:v>
      </x:c>
      <x:c r="I21" s="60"/>
      <x:c r="J21" s="60"/>
      <x:c r="K21" s="60"/>
      <x:c r="L21" s="60"/>
      <x:c r="M21" s="60"/>
      <x:c r="N21" s="60"/>
      <x:c r="O21" s="60"/>
      <x:c r="P21" s="60"/>
    </x:row>
    <x:row r="22" ht="25" customHeight="1">
      <x:c r="A22" s="60" t="str">
        <x:v>mainBossSec</x:v>
      </x:c>
      <x:c r="B22" s="60"/>
      <x:c r="C22" s="60"/>
      <x:c r="D22" s="60"/>
      <x:c r="E22" s="83" t="n">
        <x:v>60</x:v>
      </x:c>
      <x:c r="F22" s="60" t="str">
        <x:v>초</x:v>
      </x:c>
      <x:c r="G22" s="60"/>
      <x:c r="H22" s="60" t="str">
        <x:v>메인 보스 제한</x:v>
      </x:c>
      <x:c r="I22" s="60"/>
      <x:c r="J22" s="60"/>
      <x:c r="K22" s="60"/>
      <x:c r="L22" s="60"/>
      <x:c r="M22" s="60"/>
      <x:c r="N22" s="60"/>
      <x:c r="O22" s="60"/>
      <x:c r="P22" s="60"/>
    </x:row>
    <x:row r="23" ht="25" customHeight="1">
      <x:c r="A23" s="60" t="str">
        <x:v>kpm</x:v>
      </x:c>
      <x:c r="B23" s="60"/>
      <x:c r="C23" s="60"/>
      <x:c r="D23" s="60"/>
      <x:c r="E23" s="83" t="n">
        <x:v>30</x:v>
      </x:c>
      <x:c r="F23" s="60" t="str">
        <x:v>킬/분</x:v>
      </x:c>
      <x:c r="G23" s="60"/>
      <x:c r="H23" s="60" t="str">
        <x:v>검증된 안전 일반 웨이브 KPM 상한; 가정값</x:v>
      </x:c>
      <x:c r="I23" s="60"/>
      <x:c r="J23" s="60"/>
      <x:c r="K23" s="60"/>
      <x:c r="L23" s="60"/>
      <x:c r="M23" s="60"/>
      <x:c r="N23" s="60"/>
      <x:c r="O23" s="60"/>
      <x:c r="P23" s="60"/>
    </x:row>
    <x:row r="24" ht="25" customHeight="1">
      <x:c r="A24" s="60" t="str">
        <x:v>offlineEff</x:v>
      </x:c>
      <x:c r="B24" s="60"/>
      <x:c r="C24" s="60"/>
      <x:c r="D24" s="60"/>
      <x:c r="E24" s="83" t="n">
        <x:v>0.6</x:v>
      </x:c>
      <x:c r="F24" s="60" t="str">
        <x:v>비율</x:v>
      </x:c>
      <x:c r="G24" s="60"/>
      <x:c r="H24" s="60" t="str">
        <x:v>오프라인 효율</x:v>
      </x:c>
      <x:c r="I24" s="60"/>
      <x:c r="J24" s="60"/>
      <x:c r="K24" s="60"/>
      <x:c r="L24" s="60"/>
      <x:c r="M24" s="60"/>
      <x:c r="N24" s="60"/>
      <x:c r="O24" s="60"/>
      <x:c r="P24" s="60"/>
    </x:row>
    <x:row r="25" ht="25" customHeight="1">
      <x:c r="A25" s="60" t="str">
        <x:v>offlineH</x:v>
      </x:c>
      <x:c r="B25" s="60"/>
      <x:c r="C25" s="60"/>
      <x:c r="D25" s="60"/>
      <x:c r="E25" s="83" t="n">
        <x:v>8</x:v>
      </x:c>
      <x:c r="F25" s="60" t="str">
        <x:v>시간/정산</x:v>
      </x:c>
      <x:c r="G25" s="60"/>
      <x:c r="H25" s="60" t="str">
        <x:v>보상 구간 상한, 하루 최대가 아님</x:v>
      </x:c>
      <x:c r="I25" s="60"/>
      <x:c r="J25" s="60"/>
      <x:c r="K25" s="60"/>
      <x:c r="L25" s="60"/>
      <x:c r="M25" s="60"/>
      <x:c r="N25" s="60"/>
      <x:c r="O25" s="60"/>
      <x:c r="P25" s="60"/>
    </x:row>
    <x:row r="26" ht="25" customHeight="1">
      <x:c r="A26" s="60" t="str">
        <x:v>eqRate</x:v>
      </x:c>
      <x:c r="B26" s="60"/>
      <x:c r="C26" s="60"/>
      <x:c r="D26" s="60"/>
      <x:c r="E26" s="83" t="n">
        <x:v>0.02</x:v>
      </x:c>
      <x:c r="F26" s="60" t="str">
        <x:v>비율</x:v>
      </x:c>
      <x:c r="G26" s="60"/>
      <x:c r="H26" s="60" t="str">
        <x:v>일반 장비 드롭률 시작</x:v>
      </x:c>
      <x:c r="I26" s="60"/>
      <x:c r="J26" s="60"/>
      <x:c r="K26" s="60"/>
      <x:c r="L26" s="60"/>
      <x:c r="M26" s="60"/>
      <x:c r="N26" s="60"/>
      <x:c r="O26" s="60"/>
      <x:c r="P26" s="60"/>
    </x:row>
    <x:row r="27" ht="25" customHeight="1">
      <x:c r="A27" s="60" t="str">
        <x:v>eqRateStep</x:v>
      </x:c>
      <x:c r="B27" s="60"/>
      <x:c r="C27" s="60"/>
      <x:c r="D27" s="60"/>
      <x:c r="E27" s="83" t="n">
        <x:v>0.001</x:v>
      </x:c>
      <x:c r="F27" s="60" t="str">
        <x:v>비율/S</x:v>
      </x:c>
      <x:c r="G27" s="60"/>
      <x:c r="H27" s="60" t="str">
        <x:v>스테이지마다 0.1%p 상승</x:v>
      </x:c>
      <x:c r="I27" s="60"/>
      <x:c r="J27" s="60"/>
      <x:c r="K27" s="60"/>
      <x:c r="L27" s="60"/>
      <x:c r="M27" s="60"/>
      <x:c r="N27" s="60"/>
      <x:c r="O27" s="60"/>
      <x:c r="P27" s="60"/>
    </x:row>
    <x:row r="28" ht="25" customHeight="1">
      <x:c r="A28" s="60" t="str">
        <x:v>eqRateCap</x:v>
      </x:c>
      <x:c r="B28" s="60"/>
      <x:c r="C28" s="60"/>
      <x:c r="D28" s="60"/>
      <x:c r="E28" s="83" t="n">
        <x:v>0.03</x:v>
      </x:c>
      <x:c r="F28" s="60" t="str">
        <x:v>비율</x:v>
      </x:c>
      <x:c r="G28" s="60"/>
      <x:c r="H28" s="60" t="str">
        <x:v>일반 장비 드롭률 상한</x:v>
      </x:c>
      <x:c r="I28" s="60"/>
      <x:c r="J28" s="60"/>
      <x:c r="K28" s="60"/>
      <x:c r="L28" s="60"/>
      <x:c r="M28" s="60"/>
      <x:c r="N28" s="60"/>
      <x:c r="O28" s="60"/>
      <x:c r="P28" s="60"/>
    </x:row>
    <x:row r="29" ht="25" customHeight="1">
      <x:c r="A29" s="60" t="str">
        <x:v>goldCost0</x:v>
      </x:c>
      <x:c r="B29" s="60"/>
      <x:c r="C29" s="60"/>
      <x:c r="D29" s="60"/>
      <x:c r="E29" s="83" t="n">
        <x:v>50</x:v>
      </x:c>
      <x:c r="F29" s="60" t="str">
        <x:v>Gold</x:v>
      </x:c>
      <x:c r="G29" s="60"/>
      <x:c r="H29" s="60" t="str">
        <x:v>L0→1</x:v>
      </x:c>
      <x:c r="I29" s="60"/>
      <x:c r="J29" s="60"/>
      <x:c r="K29" s="60"/>
      <x:c r="L29" s="60"/>
      <x:c r="M29" s="60"/>
      <x:c r="N29" s="60"/>
      <x:c r="O29" s="60"/>
      <x:c r="P29" s="60"/>
    </x:row>
    <x:row r="30" ht="25" customHeight="1">
      <x:c r="A30" s="60" t="str">
        <x:v>goldCostGrowth</x:v>
      </x:c>
      <x:c r="B30" s="60"/>
      <x:c r="C30" s="60"/>
      <x:c r="D30" s="60"/>
      <x:c r="E30" s="83" t="n">
        <x:v>1.07</x:v>
      </x:c>
      <x:c r="F30" s="60" t="str">
        <x:v>배/L</x:v>
      </x:c>
      <x:c r="G30" s="60"/>
      <x:c r="H30" s="60" t="str">
        <x:v>ATK/HP 동일 비용</x:v>
      </x:c>
      <x:c r="I30" s="60"/>
      <x:c r="J30" s="60"/>
      <x:c r="K30" s="60"/>
      <x:c r="L30" s="60"/>
      <x:c r="M30" s="60"/>
      <x:c r="N30" s="60"/>
      <x:c r="O30" s="60"/>
      <x:c r="P30" s="60"/>
    </x:row>
    <x:row r="31" ht="25" customHeight="1">
      <x:c r="A31" s="60" t="str">
        <x:v>goldEffect</x:v>
      </x:c>
      <x:c r="B31" s="60"/>
      <x:c r="C31" s="60"/>
      <x:c r="D31" s="60"/>
      <x:c r="E31" s="83" t="n">
        <x:v>1.025</x:v>
      </x:c>
      <x:c r="F31" s="60" t="str">
        <x:v>배/L</x:v>
      </x:c>
      <x:c r="G31" s="60"/>
      <x:c r="H31" s="60" t="str">
        <x:v>ATK/HP 효과</x:v>
      </x:c>
      <x:c r="I31" s="60"/>
      <x:c r="J31" s="60"/>
      <x:c r="K31" s="60"/>
      <x:c r="L31" s="60"/>
      <x:c r="M31" s="60"/>
      <x:c r="N31" s="60"/>
      <x:c r="O31" s="60"/>
      <x:c r="P31" s="60"/>
    </x:row>
    <x:row r="32" ht="25" customHeight="1">
      <x:c r="A32" s="60" t="str">
        <x:v>goldCap</x:v>
      </x:c>
      <x:c r="B32" s="60"/>
      <x:c r="C32" s="60"/>
      <x:c r="D32" s="60"/>
      <x:c r="E32" s="83" t="n">
        <x:v>300</x:v>
      </x:c>
      <x:c r="F32" s="60" t="str">
        <x:v>레벨</x:v>
      </x:c>
      <x:c r="G32" s="60"/>
      <x:c r="H32" s="60" t="str">
        <x:v>트랙별 상한</x:v>
      </x:c>
      <x:c r="I32" s="60"/>
      <x:c r="J32" s="60"/>
      <x:c r="K32" s="60"/>
      <x:c r="L32" s="60"/>
      <x:c r="M32" s="60"/>
      <x:c r="N32" s="60"/>
      <x:c r="O32" s="60"/>
      <x:c r="P32" s="60"/>
    </x:row>
    <x:row r="33" ht="25" customHeight="1">
      <x:c r="A33" s="60" t="str">
        <x:v>mageCost0</x:v>
      </x:c>
      <x:c r="B33" s="60"/>
      <x:c r="C33" s="60"/>
      <x:c r="D33" s="60"/>
      <x:c r="E33" s="83" t="n">
        <x:v>10</x:v>
      </x:c>
      <x:c r="F33" s="60" t="str">
        <x:v>AK</x:v>
      </x:c>
      <x:c r="G33" s="60"/>
      <x:c r="H33" s="60" t="str">
        <x:v>E0→1</x:v>
      </x:c>
      <x:c r="I33" s="60"/>
      <x:c r="J33" s="60"/>
      <x:c r="K33" s="60"/>
      <x:c r="L33" s="60"/>
      <x:c r="M33" s="60"/>
      <x:c r="N33" s="60"/>
      <x:c r="O33" s="60"/>
      <x:c r="P33" s="60"/>
    </x:row>
    <x:row r="34" ht="25" customHeight="1">
      <x:c r="A34" s="60" t="str">
        <x:v>mageCostGrowth</x:v>
      </x:c>
      <x:c r="B34" s="60"/>
      <x:c r="C34" s="60"/>
      <x:c r="D34" s="60"/>
      <x:c r="E34" s="83" t="n">
        <x:v>1.04</x:v>
      </x:c>
      <x:c r="F34" s="60" t="str">
        <x:v>배/E</x:v>
      </x:c>
      <x:c r="G34" s="60"/>
      <x:c r="H34" s="60" t="str">
        <x:v>마탑 직접 강화</x:v>
      </x:c>
      <x:c r="I34" s="60"/>
      <x:c r="J34" s="60"/>
      <x:c r="K34" s="60"/>
      <x:c r="L34" s="60"/>
      <x:c r="M34" s="60"/>
      <x:c r="N34" s="60"/>
      <x:c r="O34" s="60"/>
      <x:c r="P34" s="60"/>
    </x:row>
    <x:row r="35" ht="25" customHeight="1">
      <x:c r="A35" s="60" t="str">
        <x:v>mageEffect</x:v>
      </x:c>
      <x:c r="B35" s="60"/>
      <x:c r="C35" s="60"/>
      <x:c r="D35" s="60"/>
      <x:c r="E35" s="83" t="n">
        <x:v>1.04</x:v>
      </x:c>
      <x:c r="F35" s="60" t="str">
        <x:v>배/E</x:v>
      </x:c>
      <x:c r="G35" s="60"/>
      <x:c r="H35" s="60" t="str">
        <x:v>마탑 피해 효과</x:v>
      </x:c>
      <x:c r="I35" s="60"/>
      <x:c r="J35" s="60"/>
      <x:c r="K35" s="60"/>
      <x:c r="L35" s="60"/>
      <x:c r="M35" s="60"/>
      <x:c r="N35" s="60"/>
      <x:c r="O35" s="60"/>
      <x:c r="P35" s="60"/>
    </x:row>
    <x:row r="36" ht="25" customHeight="1">
      <x:c r="A36" s="60" t="str">
        <x:v>mageCap</x:v>
      </x:c>
      <x:c r="B36" s="60"/>
      <x:c r="C36" s="60"/>
      <x:c r="D36" s="60"/>
      <x:c r="E36" s="83" t="n">
        <x:v>100</x:v>
      </x:c>
      <x:c r="F36" s="60" t="str">
        <x:v>레벨</x:v>
      </x:c>
      <x:c r="G36" s="60"/>
      <x:c r="H36" s="60" t="str">
        <x:v>스킬별 상한</x:v>
      </x:c>
      <x:c r="I36" s="60"/>
      <x:c r="J36" s="60"/>
      <x:c r="K36" s="60"/>
      <x:c r="L36" s="60"/>
      <x:c r="M36" s="60"/>
      <x:c r="N36" s="60"/>
      <x:c r="O36" s="60"/>
      <x:c r="P36" s="60"/>
    </x:row>
    <x:row r="37" ht="25" customHeight="1">
      <x:c r="A37" s="60" t="str">
        <x:v>rubyCost0</x:v>
      </x:c>
      <x:c r="B37" s="60"/>
      <x:c r="C37" s="60"/>
      <x:c r="D37" s="60"/>
      <x:c r="E37" s="83" t="n">
        <x:v>20</x:v>
      </x:c>
      <x:c r="F37" s="60" t="str">
        <x:v>Ruby</x:v>
      </x:c>
      <x:c r="G37" s="60"/>
      <x:c r="H37" s="60" t="str">
        <x:v>L0→1</x:v>
      </x:c>
      <x:c r="I37" s="60"/>
      <x:c r="J37" s="60"/>
      <x:c r="K37" s="60"/>
      <x:c r="L37" s="60"/>
      <x:c r="M37" s="60"/>
      <x:c r="N37" s="60"/>
      <x:c r="O37" s="60"/>
      <x:c r="P37" s="60"/>
    </x:row>
    <x:row r="38" ht="25" customHeight="1">
      <x:c r="A38" s="60" t="str">
        <x:v>rubyCostGrowth</x:v>
      </x:c>
      <x:c r="B38" s="60"/>
      <x:c r="C38" s="60"/>
      <x:c r="D38" s="60"/>
      <x:c r="E38" s="83" t="n">
        <x:v>1.08</x:v>
      </x:c>
      <x:c r="F38" s="60" t="str">
        <x:v>배/L</x:v>
      </x:c>
      <x:c r="G38" s="60"/>
      <x:c r="H38" s="60" t="str">
        <x:v>수급 강화2트랙</x:v>
      </x:c>
      <x:c r="I38" s="60"/>
      <x:c r="J38" s="60"/>
      <x:c r="K38" s="60"/>
      <x:c r="L38" s="60"/>
      <x:c r="M38" s="60"/>
      <x:c r="N38" s="60"/>
      <x:c r="O38" s="60"/>
      <x:c r="P38" s="60"/>
    </x:row>
    <x:row r="39" ht="25" customHeight="1">
      <x:c r="A39" s="60" t="str">
        <x:v>rubyEffect</x:v>
      </x:c>
      <x:c r="B39" s="60"/>
      <x:c r="C39" s="60"/>
      <x:c r="D39" s="60"/>
      <x:c r="E39" s="83" t="n">
        <x:v>0.02</x:v>
      </x:c>
      <x:c r="F39" s="60" t="str">
        <x:v>비율/L</x:v>
      </x:c>
      <x:c r="G39" s="60"/>
      <x:c r="H39" s="60" t="str">
        <x:v>골드/EXP 획득 +2%p</x:v>
      </x:c>
      <x:c r="I39" s="60"/>
      <x:c r="J39" s="60"/>
      <x:c r="K39" s="60"/>
      <x:c r="L39" s="60"/>
      <x:c r="M39" s="60"/>
      <x:c r="N39" s="60"/>
      <x:c r="O39" s="60"/>
      <x:c r="P39" s="60"/>
    </x:row>
    <x:row r="40" ht="25" customHeight="1">
      <x:c r="A40" s="60" t="str">
        <x:v>rubyCap</x:v>
      </x:c>
      <x:c r="B40" s="60"/>
      <x:c r="C40" s="60"/>
      <x:c r="D40" s="60"/>
      <x:c r="E40" s="83" t="n">
        <x:v>50</x:v>
      </x:c>
      <x:c r="F40" s="60" t="str">
        <x:v>레벨</x:v>
      </x:c>
      <x:c r="G40" s="60"/>
      <x:c r="H40" s="60" t="str">
        <x:v>트랙별 상한</x:v>
      </x:c>
      <x:c r="I40" s="60"/>
      <x:c r="J40" s="60"/>
      <x:c r="K40" s="60"/>
      <x:c r="L40" s="60"/>
      <x:c r="M40" s="60"/>
      <x:c r="N40" s="60"/>
      <x:c r="O40" s="60"/>
      <x:c r="P40" s="60"/>
    </x:row>
    <x:row r="41" ht="25" customHeight="1">
      <x:c r="A41" s="60" t="str">
        <x:v>goldCount</x:v>
      </x:c>
      <x:c r="B41" s="60"/>
      <x:c r="C41" s="60"/>
      <x:c r="D41" s="60"/>
      <x:c r="E41" s="83" t="n">
        <x:v>20</x:v>
      </x:c>
      <x:c r="F41" s="60" t="str">
        <x:v>체</x:v>
      </x:c>
      <x:c r="G41" s="60"/>
      <x:c r="H41" s="60" t="str">
        <x:v>미믹 총수</x:v>
      </x:c>
      <x:c r="I41" s="60"/>
      <x:c r="J41" s="60"/>
      <x:c r="K41" s="60"/>
      <x:c r="L41" s="60"/>
      <x:c r="M41" s="60"/>
      <x:c r="N41" s="60"/>
      <x:c r="O41" s="60"/>
      <x:c r="P41" s="60"/>
    </x:row>
    <x:row r="42" ht="25" customHeight="1">
      <x:c r="A42" s="60" t="str">
        <x:v>goldDungeonHP</x:v>
      </x:c>
      <x:c r="B42" s="60"/>
      <x:c r="C42" s="60"/>
      <x:c r="D42" s="60"/>
      <x:c r="E42" s="83" t="n">
        <x:v>500</x:v>
      </x:c>
      <x:c r="F42" s="60" t="str">
        <x:v>HP</x:v>
      </x:c>
      <x:c r="G42" s="60"/>
      <x:c r="H42" s="60" t="str">
        <x:v>미믹 d1</x:v>
      </x:c>
      <x:c r="I42" s="60"/>
      <x:c r="J42" s="60"/>
      <x:c r="K42" s="60"/>
      <x:c r="L42" s="60"/>
      <x:c r="M42" s="60"/>
      <x:c r="N42" s="60"/>
      <x:c r="O42" s="60"/>
      <x:c r="P42" s="60"/>
    </x:row>
    <x:row r="43" ht="25" customHeight="1">
      <x:c r="A43" s="60" t="str">
        <x:v>goldDungeonHPGrowth</x:v>
      </x:c>
      <x:c r="B43" s="60"/>
      <x:c r="C43" s="60"/>
      <x:c r="D43" s="60"/>
      <x:c r="E43" s="83" t="n">
        <x:v>2</x:v>
      </x:c>
      <x:c r="F43" s="60" t="str">
        <x:v>배/d</x:v>
      </x:c>
      <x:c r="G43" s="60"/>
      <x:c r="H43" s="60" t="str">
        <x:v>미믹 HP</x:v>
      </x:c>
      <x:c r="I43" s="60"/>
      <x:c r="J43" s="60"/>
      <x:c r="K43" s="60"/>
      <x:c r="L43" s="60"/>
      <x:c r="M43" s="60"/>
      <x:c r="N43" s="60"/>
      <x:c r="O43" s="60"/>
      <x:c r="P43" s="60"/>
    </x:row>
    <x:row r="44" ht="25" customHeight="1">
      <x:c r="A44" s="60" t="str">
        <x:v>goldDungeonATK</x:v>
      </x:c>
      <x:c r="B44" s="60"/>
      <x:c r="C44" s="60"/>
      <x:c r="D44" s="60"/>
      <x:c r="E44" s="83" t="n">
        <x:v>6</x:v>
      </x:c>
      <x:c r="F44" s="60" t="str">
        <x:v>ATK</x:v>
      </x:c>
      <x:c r="G44" s="60"/>
      <x:c r="H44" s="60" t="str">
        <x:v>미믹 d1</x:v>
      </x:c>
      <x:c r="I44" s="60"/>
      <x:c r="J44" s="60"/>
      <x:c r="K44" s="60"/>
      <x:c r="L44" s="60"/>
      <x:c r="M44" s="60"/>
      <x:c r="N44" s="60"/>
      <x:c r="O44" s="60"/>
      <x:c r="P44" s="60"/>
    </x:row>
    <x:row r="45" ht="25" customHeight="1">
      <x:c r="A45" s="60" t="str">
        <x:v>dungeonATKGrowth</x:v>
      </x:c>
      <x:c r="B45" s="60"/>
      <x:c r="C45" s="60"/>
      <x:c r="D45" s="60"/>
      <x:c r="E45" s="83" t="n">
        <x:v>1.35</x:v>
      </x:c>
      <x:c r="F45" s="60" t="str">
        <x:v>배/d</x:v>
      </x:c>
      <x:c r="G45" s="60"/>
      <x:c r="H45" s="60" t="str">
        <x:v>골드/루비 ATK 성장</x:v>
      </x:c>
      <x:c r="I45" s="60"/>
      <x:c r="J45" s="60"/>
      <x:c r="K45" s="60"/>
      <x:c r="L45" s="60"/>
      <x:c r="M45" s="60"/>
      <x:c r="N45" s="60"/>
      <x:c r="O45" s="60"/>
      <x:c r="P45" s="60"/>
    </x:row>
    <x:row r="46" ht="25" customHeight="1">
      <x:c r="A46" s="60" t="str">
        <x:v>goldDungeonEach</x:v>
      </x:c>
      <x:c r="B46" s="60"/>
      <x:c r="C46" s="60"/>
      <x:c r="D46" s="60"/>
      <x:c r="E46" s="83" t="n">
        <x:v>450</x:v>
      </x:c>
      <x:c r="F46" s="60" t="str">
        <x:v>Gold/체</x:v>
      </x:c>
      <x:c r="G46" s="60"/>
      <x:c r="H46" s="60" t="str">
        <x:v>미믹 d1</x:v>
      </x:c>
      <x:c r="I46" s="60"/>
      <x:c r="J46" s="60"/>
      <x:c r="K46" s="60"/>
      <x:c r="L46" s="60"/>
      <x:c r="M46" s="60"/>
      <x:c r="N46" s="60"/>
      <x:c r="O46" s="60"/>
      <x:c r="P46" s="60"/>
    </x:row>
    <x:row r="47" ht="25" customHeight="1">
      <x:c r="A47" s="60" t="str">
        <x:v>goldDungeonGrowth</x:v>
      </x:c>
      <x:c r="B47" s="60"/>
      <x:c r="C47" s="60"/>
      <x:c r="D47" s="60"/>
      <x:c r="E47" s="83" t="n">
        <x:v>1.6</x:v>
      </x:c>
      <x:c r="F47" s="60" t="str">
        <x:v>배/d</x:v>
      </x:c>
      <x:c r="G47" s="60"/>
      <x:c r="H47" s="60" t="str">
        <x:v>미믹 Gold</x:v>
      </x:c>
      <x:c r="I47" s="60"/>
      <x:c r="J47" s="60"/>
      <x:c r="K47" s="60"/>
      <x:c r="L47" s="60"/>
      <x:c r="M47" s="60"/>
      <x:c r="N47" s="60"/>
      <x:c r="O47" s="60"/>
      <x:c r="P47" s="60"/>
    </x:row>
    <x:row r="48" ht="25" customHeight="1">
      <x:c r="A48" s="60" t="str">
        <x:v>goldDungeonSec</x:v>
      </x:c>
      <x:c r="B48" s="60"/>
      <x:c r="C48" s="60"/>
      <x:c r="D48" s="60"/>
      <x:c r="E48" s="83" t="n">
        <x:v>60</x:v>
      </x:c>
      <x:c r="F48" s="60" t="str">
        <x:v>초/판</x:v>
      </x:c>
      <x:c r="G48" s="60"/>
      <x:c r="H48" s="60" t="str">
        <x:v>실패해도 처치 Gold 보존</x:v>
      </x:c>
      <x:c r="I48" s="60"/>
      <x:c r="J48" s="60"/>
      <x:c r="K48" s="60"/>
      <x:c r="L48" s="60"/>
      <x:c r="M48" s="60"/>
      <x:c r="N48" s="60"/>
      <x:c r="O48" s="60"/>
      <x:c r="P48" s="60"/>
    </x:row>
    <x:row r="49" ht="25" customHeight="1">
      <x:c r="A49" s="60" t="str">
        <x:v>rubyHP1</x:v>
      </x:c>
      <x:c r="B49" s="60"/>
      <x:c r="C49" s="60"/>
      <x:c r="D49" s="60"/>
      <x:c r="E49" s="83" t="n">
        <x:v>1200</x:v>
      </x:c>
      <x:c r="F49" s="60" t="str">
        <x:v>HP</x:v>
      </x:c>
      <x:c r="G49" s="60"/>
      <x:c r="H49" s="60" t="str">
        <x:v>보스1 d1</x:v>
      </x:c>
      <x:c r="I49" s="60"/>
      <x:c r="J49" s="60"/>
      <x:c r="K49" s="60"/>
      <x:c r="L49" s="60"/>
      <x:c r="M49" s="60"/>
      <x:c r="N49" s="60"/>
      <x:c r="O49" s="60"/>
      <x:c r="P49" s="60"/>
    </x:row>
    <x:row r="50" ht="25" customHeight="1">
      <x:c r="A50" s="60" t="str">
        <x:v>rubyHP2</x:v>
      </x:c>
      <x:c r="B50" s="60"/>
      <x:c r="C50" s="60"/>
      <x:c r="D50" s="60"/>
      <x:c r="E50" s="83" t="n">
        <x:v>1800</x:v>
      </x:c>
      <x:c r="F50" s="60" t="str">
        <x:v>HP</x:v>
      </x:c>
      <x:c r="G50" s="60"/>
      <x:c r="H50" s="60" t="str">
        <x:v>보스2 d1</x:v>
      </x:c>
      <x:c r="I50" s="60"/>
      <x:c r="J50" s="60"/>
      <x:c r="K50" s="60"/>
      <x:c r="L50" s="60"/>
      <x:c r="M50" s="60"/>
      <x:c r="N50" s="60"/>
      <x:c r="O50" s="60"/>
      <x:c r="P50" s="60"/>
    </x:row>
    <x:row r="51" ht="25" customHeight="1">
      <x:c r="A51" s="60" t="str">
        <x:v>rubyHP3</x:v>
      </x:c>
      <x:c r="B51" s="60"/>
      <x:c r="C51" s="60"/>
      <x:c r="D51" s="60"/>
      <x:c r="E51" s="83" t="n">
        <x:v>2400</x:v>
      </x:c>
      <x:c r="F51" s="60" t="str">
        <x:v>HP</x:v>
      </x:c>
      <x:c r="G51" s="60"/>
      <x:c r="H51" s="60" t="str">
        <x:v>보스3 d1</x:v>
      </x:c>
      <x:c r="I51" s="60"/>
      <x:c r="J51" s="60"/>
      <x:c r="K51" s="60"/>
      <x:c r="L51" s="60"/>
      <x:c r="M51" s="60"/>
      <x:c r="N51" s="60"/>
      <x:c r="O51" s="60"/>
      <x:c r="P51" s="60"/>
    </x:row>
    <x:row r="52" ht="25" customHeight="1">
      <x:c r="A52" s="60" t="str">
        <x:v>rubyHPGrowth</x:v>
      </x:c>
      <x:c r="B52" s="60"/>
      <x:c r="C52" s="60"/>
      <x:c r="D52" s="60"/>
      <x:c r="E52" s="83" t="n">
        <x:v>2.2</x:v>
      </x:c>
      <x:c r="F52" s="60" t="str">
        <x:v>배/d</x:v>
      </x:c>
      <x:c r="G52" s="60"/>
      <x:c r="H52" s="60" t="str">
        <x:v>보스 HP</x:v>
      </x:c>
      <x:c r="I52" s="60"/>
      <x:c r="J52" s="60"/>
      <x:c r="K52" s="60"/>
      <x:c r="L52" s="60"/>
      <x:c r="M52" s="60"/>
      <x:c r="N52" s="60"/>
      <x:c r="O52" s="60"/>
      <x:c r="P52" s="60"/>
    </x:row>
    <x:row r="53" ht="25" customHeight="1">
      <x:c r="A53" s="60" t="str">
        <x:v>rubyATK1</x:v>
      </x:c>
      <x:c r="B53" s="60"/>
      <x:c r="C53" s="60"/>
      <x:c r="D53" s="60"/>
      <x:c r="E53" s="83" t="n">
        <x:v>12</x:v>
      </x:c>
      <x:c r="F53" s="60" t="str">
        <x:v>ATK</x:v>
      </x:c>
      <x:c r="G53" s="60"/>
      <x:c r="H53" s="60" t="str">
        <x:v>보스1 d1</x:v>
      </x:c>
      <x:c r="I53" s="60"/>
      <x:c r="J53" s="60"/>
      <x:c r="K53" s="60"/>
      <x:c r="L53" s="60"/>
      <x:c r="M53" s="60"/>
      <x:c r="N53" s="60"/>
      <x:c r="O53" s="60"/>
      <x:c r="P53" s="60"/>
    </x:row>
    <x:row r="54" ht="25" customHeight="1">
      <x:c r="A54" s="60" t="str">
        <x:v>rubyATK2</x:v>
      </x:c>
      <x:c r="B54" s="60"/>
      <x:c r="C54" s="60"/>
      <x:c r="D54" s="60"/>
      <x:c r="E54" s="83" t="n">
        <x:v>15</x:v>
      </x:c>
      <x:c r="F54" s="60" t="str">
        <x:v>ATK</x:v>
      </x:c>
      <x:c r="G54" s="60"/>
      <x:c r="H54" s="60" t="str">
        <x:v>보스2 d1</x:v>
      </x:c>
      <x:c r="I54" s="60"/>
      <x:c r="J54" s="60"/>
      <x:c r="K54" s="60"/>
      <x:c r="L54" s="60"/>
      <x:c r="M54" s="60"/>
      <x:c r="N54" s="60"/>
      <x:c r="O54" s="60"/>
      <x:c r="P54" s="60"/>
    </x:row>
    <x:row r="55" ht="25" customHeight="1">
      <x:c r="A55" s="60" t="str">
        <x:v>rubyATK3</x:v>
      </x:c>
      <x:c r="B55" s="60"/>
      <x:c r="C55" s="60"/>
      <x:c r="D55" s="60"/>
      <x:c r="E55" s="83" t="n">
        <x:v>18</x:v>
      </x:c>
      <x:c r="F55" s="60" t="str">
        <x:v>ATK</x:v>
      </x:c>
      <x:c r="G55" s="60"/>
      <x:c r="H55" s="60" t="str">
        <x:v>보스3 d1</x:v>
      </x:c>
      <x:c r="I55" s="60"/>
      <x:c r="J55" s="60"/>
      <x:c r="K55" s="60"/>
      <x:c r="L55" s="60"/>
      <x:c r="M55" s="60"/>
      <x:c r="N55" s="60"/>
      <x:c r="O55" s="60"/>
      <x:c r="P55" s="60"/>
    </x:row>
    <x:row r="56" ht="25" customHeight="1">
      <x:c r="A56" s="60" t="str">
        <x:v>rubySec</x:v>
      </x:c>
      <x:c r="B56" s="60"/>
      <x:c r="C56" s="60"/>
      <x:c r="D56" s="60"/>
      <x:c r="E56" s="83" t="n">
        <x:v>30</x:v>
      </x:c>
      <x:c r="F56" s="60" t="str">
        <x:v>초/보스</x:v>
      </x:c>
      <x:c r="G56" s="60"/>
      <x:c r="H56" s="60" t="str">
        <x:v>잔여시간 이월 없음</x:v>
      </x:c>
      <x:c r="I56" s="60"/>
      <x:c r="J56" s="60"/>
      <x:c r="K56" s="60"/>
      <x:c r="L56" s="60"/>
      <x:c r="M56" s="60"/>
      <x:c r="N56" s="60"/>
      <x:c r="O56" s="60"/>
      <x:c r="P56" s="60"/>
    </x:row>
    <x:row r="57" ht="25" customHeight="1">
      <x:c r="A57" s="60" t="str">
        <x:v>rubyReward</x:v>
      </x:c>
      <x:c r="B57" s="60"/>
      <x:c r="C57" s="60"/>
      <x:c r="D57" s="60"/>
      <x:c r="E57" s="83" t="n">
        <x:v>50</x:v>
      </x:c>
      <x:c r="F57" s="60" t="str">
        <x:v>Ruby/클리어</x:v>
      </x:c>
      <x:c r="G57" s="60"/>
      <x:c r="H57" s="60" t="str">
        <x:v>d1</x:v>
      </x:c>
      <x:c r="I57" s="60"/>
      <x:c r="J57" s="60"/>
      <x:c r="K57" s="60"/>
      <x:c r="L57" s="60"/>
      <x:c r="M57" s="60"/>
      <x:c r="N57" s="60"/>
      <x:c r="O57" s="60"/>
      <x:c r="P57" s="60"/>
    </x:row>
    <x:row r="58" ht="25" customHeight="1">
      <x:c r="A58" s="60" t="str">
        <x:v>rubyRewardGrowth</x:v>
      </x:c>
      <x:c r="B58" s="60"/>
      <x:c r="C58" s="60"/>
      <x:c r="D58" s="60"/>
      <x:c r="E58" s="83" t="n">
        <x:v>1.35</x:v>
      </x:c>
      <x:c r="F58" s="60" t="str">
        <x:v>배/d</x:v>
      </x:c>
      <x:c r="G58" s="60"/>
      <x:c r="H58" s="60" t="str">
        <x:v>확정 지급량 상승</x:v>
      </x:c>
      <x:c r="I58" s="60"/>
      <x:c r="J58" s="60"/>
      <x:c r="K58" s="60"/>
      <x:c r="L58" s="60"/>
      <x:c r="M58" s="60"/>
      <x:c r="N58" s="60"/>
      <x:c r="O58" s="60"/>
      <x:c r="P58" s="60"/>
    </x:row>
    <x:row r="59" ht="25" customHeight="1">
      <x:c r="A59" s="60" t="str">
        <x:v>rubyFirst</x:v>
      </x:c>
      <x:c r="B59" s="60"/>
      <x:c r="C59" s="60"/>
      <x:c r="D59" s="60"/>
      <x:c r="E59" s="83" t="n">
        <x:v>25</x:v>
      </x:c>
      <x:c r="F59" s="60" t="str">
        <x:v>Ruby×d</x:v>
      </x:c>
      <x:c r="G59" s="60"/>
      <x:c r="H59" s="60" t="str">
        <x:v>최초추가, 계정1회</x:v>
      </x:c>
      <x:c r="I59" s="60"/>
      <x:c r="J59" s="60"/>
      <x:c r="K59" s="60"/>
      <x:c r="L59" s="60"/>
      <x:c r="M59" s="60"/>
      <x:c r="N59" s="60"/>
      <x:c r="O59" s="60"/>
      <x:c r="P59" s="60"/>
    </x:row>
    <x:row r="60" ht="25" customHeight="1">
      <x:c r="A60" s="60" t="str">
        <x:v>dailyTickets</x:v>
      </x:c>
      <x:c r="B60" s="60"/>
      <x:c r="C60" s="60"/>
      <x:c r="D60" s="60"/>
      <x:c r="E60" s="83" t="n">
        <x:v>2</x:v>
      </x:c>
      <x:c r="F60" s="60" t="str">
        <x:v>매/타입</x:v>
      </x:c>
      <x:c r="G60" s="60"/>
      <x:c r="H60" s="60" t="str">
        <x:v>KST00:00 재충전; 이월X</x:v>
      </x:c>
      <x:c r="I60" s="60"/>
      <x:c r="J60" s="60"/>
      <x:c r="K60" s="60"/>
      <x:c r="L60" s="60"/>
      <x:c r="M60" s="60"/>
      <x:c r="N60" s="60"/>
      <x:c r="O60" s="60"/>
      <x:c r="P60" s="60"/>
    </x:row>
    <x:row r="61" ht="25" customHeight="1">
      <x:c r="A61" s="60" t="str">
        <x:v>rubyGoldLevel</x:v>
      </x:c>
      <x:c r="B61" s="60"/>
      <x:c r="C61" s="60"/>
      <x:c r="D61" s="60"/>
      <x:c r="E61" s="83" t="n">
        <x:v>0</x:v>
      </x:c>
      <x:c r="F61" s="60" t="str">
        <x:v>레벨</x:v>
      </x:c>
      <x:c r="G61" s="60"/>
      <x:c r="H61" s="60" t="str">
        <x:v>민감도: Gold 획득 강화 현재 L</x:v>
      </x:c>
      <x:c r="I61" s="60"/>
      <x:c r="J61" s="60"/>
      <x:c r="K61" s="60"/>
      <x:c r="L61" s="60"/>
      <x:c r="M61" s="60"/>
      <x:c r="N61" s="60"/>
      <x:c r="O61" s="60"/>
      <x:c r="P61" s="60"/>
    </x:row>
    <x:row r="62" ht="25" customHeight="1">
      <x:c r="A62" s="60" t="str">
        <x:v>rubyExpLevel</x:v>
      </x:c>
      <x:c r="B62" s="60"/>
      <x:c r="C62" s="60"/>
      <x:c r="D62" s="60"/>
      <x:c r="E62" s="83" t="n">
        <x:v>0</x:v>
      </x:c>
      <x:c r="F62" s="60" t="str">
        <x:v>레벨</x:v>
      </x:c>
      <x:c r="G62" s="60"/>
      <x:c r="H62" s="60" t="str">
        <x:v>민감도: EXP 획득 강화 현재 L</x:v>
      </x:c>
      <x:c r="I62" s="60"/>
      <x:c r="J62" s="60"/>
      <x:c r="K62" s="60"/>
      <x:c r="L62" s="60"/>
      <x:c r="M62" s="60"/>
      <x:c r="N62" s="60"/>
      <x:c r="O62" s="60"/>
      <x:c r="P62" s="60"/>
    </x:row>
    <x:row r="63">
      <x:c r="A63" s="60"/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/>
      <x:c r="P63" s="60"/>
    </x:row>
    <x:row r="64">
      <x:c r="A64" s="60"/>
      <x:c r="B64" s="60"/>
      <x:c r="C64" s="60"/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/>
      <x:c r="P64" s="60"/>
    </x:row>
    <x:row r="65" ht="28" customHeight="1">
      <x:c r="A65" s="82" t="str">
        <x:v>02 · 메인 33웨이브 — 기본 드롭과 보너스 적용을 구분</x:v>
      </x:c>
      <x:c r="B65" s="82"/>
      <x:c r="C65" s="82"/>
      <x:c r="D65" s="82"/>
      <x:c r="E65" s="82"/>
      <x:c r="F65" s="82"/>
      <x:c r="G65" s="82"/>
      <x:c r="H65" s="82"/>
      <x:c r="I65" s="82"/>
      <x:c r="J65" s="82"/>
      <x:c r="K65" s="82"/>
      <x:c r="L65" s="82"/>
      <x:c r="M65" s="82"/>
      <x:c r="N65" s="82"/>
      <x:c r="O65" s="82"/>
      <x:c r="P65" s="82"/>
    </x:row>
    <x:row r="66" ht="34" customHeight="1">
      <x:c r="A66" s="53" t="str">
        <x:v>n=11×(S−1)+W. HP/ATK 올림, Gold/EXP 내림. 보스 배율은 최종 정수화 전에 적용. 일반 동시6체; 골드·EXP100% 지급.</x:v>
      </x:c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</x:row>
    <x:row r="67" ht="34" customHeight="1">
      <x:c r="A67" s="59" t="str">
        <x:v>S</x:v>
      </x:c>
      <x:c r="B67" s="59" t="str">
        <x:v>W</x:v>
      </x:c>
      <x:c r="C67" s="59" t="str">
        <x:v>n</x:v>
      </x:c>
      <x:c r="D67" s="59" t="str">
        <x:v>콘셉트</x:v>
      </x:c>
      <x:c r="E67" s="59" t="str">
        <x:v>구분</x:v>
      </x:c>
      <x:c r="F67" s="59" t="str">
        <x:v>총수</x:v>
      </x:c>
      <x:c r="G67" s="59" t="str">
        <x:v>1체 HP</x:v>
      </x:c>
      <x:c r="H67" s="59" t="str">
        <x:v>1체 ATK</x:v>
      </x:c>
      <x:c r="I67" s="59" t="str">
        <x:v>1체 Gold</x:v>
      </x:c>
      <x:c r="J67" s="59" t="str">
        <x:v>웨이브 Gold</x:v>
      </x:c>
      <x:c r="K67" s="59" t="str">
        <x:v>1체 EXP</x:v>
      </x:c>
      <x:c r="L67" s="59" t="str">
        <x:v>웨이브 EXP</x:v>
      </x:c>
      <x:c r="M67" s="59" t="str">
        <x:v>무기 드롭률</x:v>
      </x:c>
      <x:c r="N67" s="59" t="str">
        <x:v>제한초</x:v>
      </x:c>
      <x:c r="O67" s="59" t="str">
        <x:v>기준 Gold/분</x:v>
      </x:c>
      <x:c r="P67" s="59" t="str">
        <x:v>StageId</x:v>
      </x:c>
    </x:row>
    <x:row r="68" ht="30" customHeight="1">
      <x:c r="A68" s="62" t="n">
        <x:v>1</x:v>
      </x:c>
      <x:c r="B68" s="62" t="n">
        <x:v>1</x:v>
      </x:c>
      <x:c r="C68" s="62">
        <x:f>11*(A68-1)+B68</x:f>
        <x:v>1</x:v>
      </x:c>
      <x:c r="D68" s="60" t="str">
        <x:v>산적</x:v>
      </x:c>
      <x:c r="E68" s="60" t="str">
        <x:v>일반</x:v>
      </x:c>
      <x:c r="F68" s="60" t="n">
        <x:v>3</x:v>
      </x:c>
      <x:c r="G68" s="60">
        <x:f>ROUNDUP(ROUND($E$10*$E$11^(C68-1)*IF(B68=11,$E$18,1),6),0)</x:f>
        <x:v>80</x:v>
      </x:c>
      <x:c r="H68" s="60">
        <x:f>ROUNDUP(ROUND($E$12*$E$13^(C68-1)*IF(B68=11,$E$19,1),6),0)</x:f>
        <x:v>5</x:v>
      </x:c>
      <x:c r="I68" s="60">
        <x:f>ROUNDDOWN(ROUND($E$14*$E$15^(C68-1)*IF(B68=11,$E$20,1),6),0)</x:f>
        <x:v>10</x:v>
      </x:c>
      <x:c r="J68" s="60">
        <x:f>F68*I68</x:f>
        <x:v>30</x:v>
      </x:c>
      <x:c r="K68" s="60">
        <x:f>ROUNDDOWN(ROUND($E$16*$E$17^(C68-1)*IF(B68=11,$E$21,1),6),0)</x:f>
        <x:v>3</x:v>
      </x:c>
      <x:c r="L68" s="60">
        <x:f>F68*K68</x:f>
        <x:v>9</x:v>
      </x:c>
      <x:c r="M68" s="64">
        <x:f>IF(B68=11,0,MIN($E$28,$E$26+$E$27*(A68-1)))</x:f>
        <x:v>0.02</x:v>
      </x:c>
      <x:c r="N68" s="60">
        <x:f>IF(B68=11,$E$22,0)</x:f>
        <x:v>0</x:v>
      </x:c>
      <x:c r="O68" s="60">
        <x:f>IF(B68=11,0,ROUNDDOWN(ROUND(I68*$E$23*(1+$E$39*$E$61),6),0))</x:f>
        <x:v>300</x:v>
      </x:c>
      <x:c r="P68" s="62">
        <x:f>8589934592+A68*65536+B68</x:f>
        <x:v>8590000129</x:v>
      </x:c>
    </x:row>
    <x:row r="69" ht="30" customHeight="1">
      <x:c r="A69" s="63" t="n">
        <x:v>1</x:v>
      </x:c>
      <x:c r="B69" s="63" t="n">
        <x:v>2</x:v>
      </x:c>
      <x:c r="C69" s="63">
        <x:f>11*(A69-1)+B69</x:f>
        <x:v>2</x:v>
      </x:c>
      <x:c r="D69" s="61" t="str">
        <x:v>산적</x:v>
      </x:c>
      <x:c r="E69" s="61" t="str">
        <x:v>일반</x:v>
      </x:c>
      <x:c r="F69" s="61" t="n">
        <x:v>6</x:v>
      </x:c>
      <x:c r="G69" s="61">
        <x:f>ROUNDUP(ROUND($E$10*$E$11^(C69-1)*IF(B69=11,$E$18,1),6),0)</x:f>
        <x:v>88</x:v>
      </x:c>
      <x:c r="H69" s="61">
        <x:f>ROUNDUP(ROUND($E$12*$E$13^(C69-1)*IF(B69=11,$E$19,1),6),0)</x:f>
        <x:v>6</x:v>
      </x:c>
      <x:c r="I69" s="61">
        <x:f>ROUNDDOWN(ROUND($E$14*$E$15^(C69-1)*IF(B69=11,$E$20,1),6),0)</x:f>
        <x:v>10</x:v>
      </x:c>
      <x:c r="J69" s="61">
        <x:f>F69*I69</x:f>
        <x:v>60</x:v>
      </x:c>
      <x:c r="K69" s="61">
        <x:f>ROUNDDOWN(ROUND($E$16*$E$17^(C69-1)*IF(B69=11,$E$21,1),6),0)</x:f>
        <x:v>3</x:v>
      </x:c>
      <x:c r="L69" s="61">
        <x:f>F69*K69</x:f>
        <x:v>18</x:v>
      </x:c>
      <x:c r="M69" s="65">
        <x:f>IF(B69=11,0,MIN($E$28,$E$26+$E$27*(A69-1)))</x:f>
        <x:v>0.02</x:v>
      </x:c>
      <x:c r="N69" s="61">
        <x:f>IF(B69=11,$E$22,0)</x:f>
        <x:v>0</x:v>
      </x:c>
      <x:c r="O69" s="61">
        <x:f>IF(B69=11,0,ROUNDDOWN(ROUND(I69*$E$23*(1+$E$39*$E$61),6),0))</x:f>
        <x:v>300</x:v>
      </x:c>
      <x:c r="P69" s="63">
        <x:f>8589934592+A69*65536+B69</x:f>
        <x:v>8590000130</x:v>
      </x:c>
    </x:row>
    <x:row r="70" ht="30" customHeight="1">
      <x:c r="A70" s="62" t="n">
        <x:v>1</x:v>
      </x:c>
      <x:c r="B70" s="62" t="n">
        <x:v>3</x:v>
      </x:c>
      <x:c r="C70" s="62">
        <x:f>11*(A70-1)+B70</x:f>
        <x:v>3</x:v>
      </x:c>
      <x:c r="D70" s="60" t="str">
        <x:v>산적</x:v>
      </x:c>
      <x:c r="E70" s="60" t="str">
        <x:v>일반</x:v>
      </x:c>
      <x:c r="F70" s="60" t="n">
        <x:v>8</x:v>
      </x:c>
      <x:c r="G70" s="60">
        <x:f>ROUNDUP(ROUND($E$10*$E$11^(C70-1)*IF(B70=11,$E$18,1),6),0)</x:f>
        <x:v>97</x:v>
      </x:c>
      <x:c r="H70" s="60">
        <x:f>ROUNDUP(ROUND($E$12*$E$13^(C70-1)*IF(B70=11,$E$19,1),6),0)</x:f>
        <x:v>6</x:v>
      </x:c>
      <x:c r="I70" s="60">
        <x:f>ROUNDDOWN(ROUND($E$14*$E$15^(C70-1)*IF(B70=11,$E$20,1),6),0)</x:f>
        <x:v>11</x:v>
      </x:c>
      <x:c r="J70" s="60">
        <x:f>F70*I70</x:f>
        <x:v>88</x:v>
      </x:c>
      <x:c r="K70" s="60">
        <x:f>ROUNDDOWN(ROUND($E$16*$E$17^(C70-1)*IF(B70=11,$E$21,1),6),0)</x:f>
        <x:v>3</x:v>
      </x:c>
      <x:c r="L70" s="60">
        <x:f>F70*K70</x:f>
        <x:v>24</x:v>
      </x:c>
      <x:c r="M70" s="64">
        <x:f>IF(B70=11,0,MIN($E$28,$E$26+$E$27*(A70-1)))</x:f>
        <x:v>0.02</x:v>
      </x:c>
      <x:c r="N70" s="60">
        <x:f>IF(B70=11,$E$22,0)</x:f>
        <x:v>0</x:v>
      </x:c>
      <x:c r="O70" s="60">
        <x:f>IF(B70=11,0,ROUNDDOWN(ROUND(I70*$E$23*(1+$E$39*$E$61),6),0))</x:f>
        <x:v>330</x:v>
      </x:c>
      <x:c r="P70" s="62">
        <x:f>8589934592+A70*65536+B70</x:f>
        <x:v>8590000131</x:v>
      </x:c>
    </x:row>
    <x:row r="71" ht="30" customHeight="1">
      <x:c r="A71" s="63" t="n">
        <x:v>1</x:v>
      </x:c>
      <x:c r="B71" s="63" t="n">
        <x:v>4</x:v>
      </x:c>
      <x:c r="C71" s="63">
        <x:f>11*(A71-1)+B71</x:f>
        <x:v>4</x:v>
      </x:c>
      <x:c r="D71" s="61" t="str">
        <x:v>산적</x:v>
      </x:c>
      <x:c r="E71" s="61" t="str">
        <x:v>일반</x:v>
      </x:c>
      <x:c r="F71" s="61" t="n">
        <x:v>10</x:v>
      </x:c>
      <x:c r="G71" s="61">
        <x:f>ROUNDUP(ROUND($E$10*$E$11^(C71-1)*IF(B71=11,$E$18,1),6),0)</x:f>
        <x:v>107</x:v>
      </x:c>
      <x:c r="H71" s="61">
        <x:f>ROUNDUP(ROUND($E$12*$E$13^(C71-1)*IF(B71=11,$E$19,1),6),0)</x:f>
        <x:v>7</x:v>
      </x:c>
      <x:c r="I71" s="61">
        <x:f>ROUNDDOWN(ROUND($E$14*$E$15^(C71-1)*IF(B71=11,$E$20,1),6),0)</x:f>
        <x:v>12</x:v>
      </x:c>
      <x:c r="J71" s="61">
        <x:f>F71*I71</x:f>
        <x:v>120</x:v>
      </x:c>
      <x:c r="K71" s="61">
        <x:f>ROUNDDOWN(ROUND($E$16*$E$17^(C71-1)*IF(B71=11,$E$21,1),6),0)</x:f>
        <x:v>3</x:v>
      </x:c>
      <x:c r="L71" s="61">
        <x:f>F71*K71</x:f>
        <x:v>30</x:v>
      </x:c>
      <x:c r="M71" s="65">
        <x:f>IF(B71=11,0,MIN($E$28,$E$26+$E$27*(A71-1)))</x:f>
        <x:v>0.02</x:v>
      </x:c>
      <x:c r="N71" s="61">
        <x:f>IF(B71=11,$E$22,0)</x:f>
        <x:v>0</x:v>
      </x:c>
      <x:c r="O71" s="61">
        <x:f>IF(B71=11,0,ROUNDDOWN(ROUND(I71*$E$23*(1+$E$39*$E$61),6),0))</x:f>
        <x:v>360</x:v>
      </x:c>
      <x:c r="P71" s="63">
        <x:f>8589934592+A71*65536+B71</x:f>
        <x:v>8590000132</x:v>
      </x:c>
    </x:row>
    <x:row r="72" ht="30" customHeight="1">
      <x:c r="A72" s="62" t="n">
        <x:v>1</x:v>
      </x:c>
      <x:c r="B72" s="62" t="n">
        <x:v>5</x:v>
      </x:c>
      <x:c r="C72" s="62">
        <x:f>11*(A72-1)+B72</x:f>
        <x:v>5</x:v>
      </x:c>
      <x:c r="D72" s="60" t="str">
        <x:v>산적</x:v>
      </x:c>
      <x:c r="E72" s="60" t="str">
        <x:v>일반</x:v>
      </x:c>
      <x:c r="F72" s="60" t="n">
        <x:v>12</x:v>
      </x:c>
      <x:c r="G72" s="60">
        <x:f>ROUNDUP(ROUND($E$10*$E$11^(C72-1)*IF(B72=11,$E$18,1),6),0)</x:f>
        <x:v>118</x:v>
      </x:c>
      <x:c r="H72" s="60">
        <x:f>ROUNDUP(ROUND($E$12*$E$13^(C72-1)*IF(B72=11,$E$19,1),6),0)</x:f>
        <x:v>7</x:v>
      </x:c>
      <x:c r="I72" s="60">
        <x:f>ROUNDDOWN(ROUND($E$14*$E$15^(C72-1)*IF(B72=11,$E$20,1),6),0)</x:f>
        <x:v>13</x:v>
      </x:c>
      <x:c r="J72" s="60">
        <x:f>F72*I72</x:f>
        <x:v>156</x:v>
      </x:c>
      <x:c r="K72" s="60">
        <x:f>ROUNDDOWN(ROUND($E$16*$E$17^(C72-1)*IF(B72=11,$E$21,1),6),0)</x:f>
        <x:v>3</x:v>
      </x:c>
      <x:c r="L72" s="60">
        <x:f>F72*K72</x:f>
        <x:v>36</x:v>
      </x:c>
      <x:c r="M72" s="64">
        <x:f>IF(B72=11,0,MIN($E$28,$E$26+$E$27*(A72-1)))</x:f>
        <x:v>0.02</x:v>
      </x:c>
      <x:c r="N72" s="60">
        <x:f>IF(B72=11,$E$22,0)</x:f>
        <x:v>0</x:v>
      </x:c>
      <x:c r="O72" s="60">
        <x:f>IF(B72=11,0,ROUNDDOWN(ROUND(I72*$E$23*(1+$E$39*$E$61),6),0))</x:f>
        <x:v>390</x:v>
      </x:c>
      <x:c r="P72" s="62">
        <x:f>8589934592+A72*65536+B72</x:f>
        <x:v>8590000133</x:v>
      </x:c>
    </x:row>
    <x:row r="73" ht="30" customHeight="1">
      <x:c r="A73" s="63" t="n">
        <x:v>1</x:v>
      </x:c>
      <x:c r="B73" s="63" t="n">
        <x:v>6</x:v>
      </x:c>
      <x:c r="C73" s="63">
        <x:f>11*(A73-1)+B73</x:f>
        <x:v>6</x:v>
      </x:c>
      <x:c r="D73" s="61" t="str">
        <x:v>산적</x:v>
      </x:c>
      <x:c r="E73" s="61" t="str">
        <x:v>일반</x:v>
      </x:c>
      <x:c r="F73" s="61" t="n">
        <x:v>14</x:v>
      </x:c>
      <x:c r="G73" s="61">
        <x:f>ROUNDUP(ROUND($E$10*$E$11^(C73-1)*IF(B73=11,$E$18,1),6),0)</x:f>
        <x:v>129</x:v>
      </x:c>
      <x:c r="H73" s="61">
        <x:f>ROUNDUP(ROUND($E$12*$E$13^(C73-1)*IF(B73=11,$E$19,1),6),0)</x:f>
        <x:v>7</x:v>
      </x:c>
      <x:c r="I73" s="61">
        <x:f>ROUNDDOWN(ROUND($E$14*$E$15^(C73-1)*IF(B73=11,$E$20,1),6),0)</x:f>
        <x:v>14</x:v>
      </x:c>
      <x:c r="J73" s="61">
        <x:f>F73*I73</x:f>
        <x:v>196</x:v>
      </x:c>
      <x:c r="K73" s="61">
        <x:f>ROUNDDOWN(ROUND($E$16*$E$17^(C73-1)*IF(B73=11,$E$21,1),6),0)</x:f>
        <x:v>4</x:v>
      </x:c>
      <x:c r="L73" s="61">
        <x:f>F73*K73</x:f>
        <x:v>56</x:v>
      </x:c>
      <x:c r="M73" s="65">
        <x:f>IF(B73=11,0,MIN($E$28,$E$26+$E$27*(A73-1)))</x:f>
        <x:v>0.02</x:v>
      </x:c>
      <x:c r="N73" s="61">
        <x:f>IF(B73=11,$E$22,0)</x:f>
        <x:v>0</x:v>
      </x:c>
      <x:c r="O73" s="61">
        <x:f>IF(B73=11,0,ROUNDDOWN(ROUND(I73*$E$23*(1+$E$39*$E$61),6),0))</x:f>
        <x:v>420</x:v>
      </x:c>
      <x:c r="P73" s="63">
        <x:f>8589934592+A73*65536+B73</x:f>
        <x:v>8590000134</x:v>
      </x:c>
    </x:row>
    <x:row r="74" ht="30" customHeight="1">
      <x:c r="A74" s="62" t="n">
        <x:v>1</x:v>
      </x:c>
      <x:c r="B74" s="62" t="n">
        <x:v>7</x:v>
      </x:c>
      <x:c r="C74" s="62">
        <x:f>11*(A74-1)+B74</x:f>
        <x:v>7</x:v>
      </x:c>
      <x:c r="D74" s="60" t="str">
        <x:v>산적</x:v>
      </x:c>
      <x:c r="E74" s="60" t="str">
        <x:v>일반</x:v>
      </x:c>
      <x:c r="F74" s="60" t="n">
        <x:v>16</x:v>
      </x:c>
      <x:c r="G74" s="60">
        <x:f>ROUNDUP(ROUND($E$10*$E$11^(C74-1)*IF(B74=11,$E$18,1),6),0)</x:f>
        <x:v>142</x:v>
      </x:c>
      <x:c r="H74" s="60">
        <x:f>ROUNDUP(ROUND($E$12*$E$13^(C74-1)*IF(B74=11,$E$19,1),6),0)</x:f>
        <x:v>8</x:v>
      </x:c>
      <x:c r="I74" s="60">
        <x:f>ROUNDDOWN(ROUND($E$14*$E$15^(C74-1)*IF(B74=11,$E$20,1),6),0)</x:f>
        <x:v>15</x:v>
      </x:c>
      <x:c r="J74" s="60">
        <x:f>F74*I74</x:f>
        <x:v>240</x:v>
      </x:c>
      <x:c r="K74" s="60">
        <x:f>ROUNDDOWN(ROUND($E$16*$E$17^(C74-1)*IF(B74=11,$E$21,1),6),0)</x:f>
        <x:v>4</x:v>
      </x:c>
      <x:c r="L74" s="60">
        <x:f>F74*K74</x:f>
        <x:v>64</x:v>
      </x:c>
      <x:c r="M74" s="64">
        <x:f>IF(B74=11,0,MIN($E$28,$E$26+$E$27*(A74-1)))</x:f>
        <x:v>0.02</x:v>
      </x:c>
      <x:c r="N74" s="60">
        <x:f>IF(B74=11,$E$22,0)</x:f>
        <x:v>0</x:v>
      </x:c>
      <x:c r="O74" s="60">
        <x:f>IF(B74=11,0,ROUNDDOWN(ROUND(I74*$E$23*(1+$E$39*$E$61),6),0))</x:f>
        <x:v>450</x:v>
      </x:c>
      <x:c r="P74" s="62">
        <x:f>8589934592+A74*65536+B74</x:f>
        <x:v>8590000135</x:v>
      </x:c>
    </x:row>
    <x:row r="75" ht="30" customHeight="1">
      <x:c r="A75" s="63" t="n">
        <x:v>1</x:v>
      </x:c>
      <x:c r="B75" s="63" t="n">
        <x:v>8</x:v>
      </x:c>
      <x:c r="C75" s="63">
        <x:f>11*(A75-1)+B75</x:f>
        <x:v>8</x:v>
      </x:c>
      <x:c r="D75" s="61" t="str">
        <x:v>산적</x:v>
      </x:c>
      <x:c r="E75" s="61" t="str">
        <x:v>일반</x:v>
      </x:c>
      <x:c r="F75" s="61" t="n">
        <x:v>18</x:v>
      </x:c>
      <x:c r="G75" s="61">
        <x:f>ROUNDUP(ROUND($E$10*$E$11^(C75-1)*IF(B75=11,$E$18,1),6),0)</x:f>
        <x:v>156</x:v>
      </x:c>
      <x:c r="H75" s="61">
        <x:f>ROUNDUP(ROUND($E$12*$E$13^(C75-1)*IF(B75=11,$E$19,1),6),0)</x:f>
        <x:v>8</x:v>
      </x:c>
      <x:c r="I75" s="61">
        <x:f>ROUNDDOWN(ROUND($E$14*$E$15^(C75-1)*IF(B75=11,$E$20,1),6),0)</x:f>
        <x:v>17</x:v>
      </x:c>
      <x:c r="J75" s="61">
        <x:f>F75*I75</x:f>
        <x:v>306</x:v>
      </x:c>
      <x:c r="K75" s="61">
        <x:f>ROUNDDOWN(ROUND($E$16*$E$17^(C75-1)*IF(B75=11,$E$21,1),6),0)</x:f>
        <x:v>4</x:v>
      </x:c>
      <x:c r="L75" s="61">
        <x:f>F75*K75</x:f>
        <x:v>72</x:v>
      </x:c>
      <x:c r="M75" s="65">
        <x:f>IF(B75=11,0,MIN($E$28,$E$26+$E$27*(A75-1)))</x:f>
        <x:v>0.02</x:v>
      </x:c>
      <x:c r="N75" s="61">
        <x:f>IF(B75=11,$E$22,0)</x:f>
        <x:v>0</x:v>
      </x:c>
      <x:c r="O75" s="61">
        <x:f>IF(B75=11,0,ROUNDDOWN(ROUND(I75*$E$23*(1+$E$39*$E$61),6),0))</x:f>
        <x:v>510</x:v>
      </x:c>
      <x:c r="P75" s="63">
        <x:f>8589934592+A75*65536+B75</x:f>
        <x:v>8590000136</x:v>
      </x:c>
    </x:row>
    <x:row r="76" ht="30" customHeight="1">
      <x:c r="A76" s="62" t="n">
        <x:v>1</x:v>
      </x:c>
      <x:c r="B76" s="62" t="n">
        <x:v>9</x:v>
      </x:c>
      <x:c r="C76" s="62">
        <x:f>11*(A76-1)+B76</x:f>
        <x:v>9</x:v>
      </x:c>
      <x:c r="D76" s="60" t="str">
        <x:v>산적</x:v>
      </x:c>
      <x:c r="E76" s="60" t="str">
        <x:v>일반</x:v>
      </x:c>
      <x:c r="F76" s="60" t="n">
        <x:v>20</x:v>
      </x:c>
      <x:c r="G76" s="60">
        <x:f>ROUNDUP(ROUND($E$10*$E$11^(C76-1)*IF(B76=11,$E$18,1),6),0)</x:f>
        <x:v>172</x:v>
      </x:c>
      <x:c r="H76" s="60">
        <x:f>ROUNDUP(ROUND($E$12*$E$13^(C76-1)*IF(B76=11,$E$19,1),6),0)</x:f>
        <x:v>9</x:v>
      </x:c>
      <x:c r="I76" s="60">
        <x:f>ROUNDDOWN(ROUND($E$14*$E$15^(C76-1)*IF(B76=11,$E$20,1),6),0)</x:f>
        <x:v>18</x:v>
      </x:c>
      <x:c r="J76" s="60">
        <x:f>F76*I76</x:f>
        <x:v>360</x:v>
      </x:c>
      <x:c r="K76" s="60">
        <x:f>ROUNDDOWN(ROUND($E$16*$E$17^(C76-1)*IF(B76=11,$E$21,1),6),0)</x:f>
        <x:v>5</x:v>
      </x:c>
      <x:c r="L76" s="60">
        <x:f>F76*K76</x:f>
        <x:v>100</x:v>
      </x:c>
      <x:c r="M76" s="64">
        <x:f>IF(B76=11,0,MIN($E$28,$E$26+$E$27*(A76-1)))</x:f>
        <x:v>0.02</x:v>
      </x:c>
      <x:c r="N76" s="60">
        <x:f>IF(B76=11,$E$22,0)</x:f>
        <x:v>0</x:v>
      </x:c>
      <x:c r="O76" s="60">
        <x:f>IF(B76=11,0,ROUNDDOWN(ROUND(I76*$E$23*(1+$E$39*$E$61),6),0))</x:f>
        <x:v>540</x:v>
      </x:c>
      <x:c r="P76" s="62">
        <x:f>8589934592+A76*65536+B76</x:f>
        <x:v>8590000137</x:v>
      </x:c>
    </x:row>
    <x:row r="77" ht="30" customHeight="1">
      <x:c r="A77" s="63" t="n">
        <x:v>1</x:v>
      </x:c>
      <x:c r="B77" s="63" t="n">
        <x:v>10</x:v>
      </x:c>
      <x:c r="C77" s="63">
        <x:f>11*(A77-1)+B77</x:f>
        <x:v>10</x:v>
      </x:c>
      <x:c r="D77" s="61" t="str">
        <x:v>산적</x:v>
      </x:c>
      <x:c r="E77" s="61" t="str">
        <x:v>일반</x:v>
      </x:c>
      <x:c r="F77" s="61" t="n">
        <x:v>24</x:v>
      </x:c>
      <x:c r="G77" s="61">
        <x:f>ROUNDUP(ROUND($E$10*$E$11^(C77-1)*IF(B77=11,$E$18,1),6),0)</x:f>
        <x:v>189</x:v>
      </x:c>
      <x:c r="H77" s="61">
        <x:f>ROUNDUP(ROUND($E$12*$E$13^(C77-1)*IF(B77=11,$E$19,1),6),0)</x:f>
        <x:v>9</x:v>
      </x:c>
      <x:c r="I77" s="61">
        <x:f>ROUNDDOWN(ROUND($E$14*$E$15^(C77-1)*IF(B77=11,$E$20,1),6),0)</x:f>
        <x:v>19</x:v>
      </x:c>
      <x:c r="J77" s="61">
        <x:f>F77*I77</x:f>
        <x:v>456</x:v>
      </x:c>
      <x:c r="K77" s="61">
        <x:f>ROUNDDOWN(ROUND($E$16*$E$17^(C77-1)*IF(B77=11,$E$21,1),6),0)</x:f>
        <x:v>5</x:v>
      </x:c>
      <x:c r="L77" s="61">
        <x:f>F77*K77</x:f>
        <x:v>120</x:v>
      </x:c>
      <x:c r="M77" s="65">
        <x:f>IF(B77=11,0,MIN($E$28,$E$26+$E$27*(A77-1)))</x:f>
        <x:v>0.02</x:v>
      </x:c>
      <x:c r="N77" s="61">
        <x:f>IF(B77=11,$E$22,0)</x:f>
        <x:v>0</x:v>
      </x:c>
      <x:c r="O77" s="61">
        <x:f>IF(B77=11,0,ROUNDDOWN(ROUND(I77*$E$23*(1+$E$39*$E$61),6),0))</x:f>
        <x:v>570</x:v>
      </x:c>
      <x:c r="P77" s="63">
        <x:f>8589934592+A77*65536+B77</x:f>
        <x:v>8590000138</x:v>
      </x:c>
    </x:row>
    <x:row r="78" ht="30" customHeight="1">
      <x:c r="A78" s="62" t="n">
        <x:v>1</x:v>
      </x:c>
      <x:c r="B78" s="62" t="n">
        <x:v>11</x:v>
      </x:c>
      <x:c r="C78" s="62">
        <x:f>11*(A78-1)+B78</x:f>
        <x:v>11</x:v>
      </x:c>
      <x:c r="D78" s="60" t="str">
        <x:v>산적</x:v>
      </x:c>
      <x:c r="E78" s="60" t="str">
        <x:v>보스</x:v>
      </x:c>
      <x:c r="F78" s="60" t="n">
        <x:v>1</x:v>
      </x:c>
      <x:c r="G78" s="60">
        <x:f>ROUNDUP(ROUND($E$10*$E$11^(C78-1)*IF(B78=11,$E$18,1),6),0)</x:f>
        <x:v>3735</x:v>
      </x:c>
      <x:c r="H78" s="60">
        <x:f>ROUNDUP(ROUND($E$12*$E$13^(C78-1)*IF(B78=11,$E$19,1),6),0)</x:f>
        <x:v>29</x:v>
      </x:c>
      <x:c r="I78" s="60">
        <x:f>ROUNDDOWN(ROUND($E$14*$E$15^(C78-1)*IF(B78=11,$E$20,1),6),0)</x:f>
        <x:v>215</x:v>
      </x:c>
      <x:c r="J78" s="60">
        <x:f>F78*I78</x:f>
        <x:v>215</x:v>
      </x:c>
      <x:c r="K78" s="60">
        <x:f>ROUNDDOWN(ROUND($E$16*$E$17^(C78-1)*IF(B78=11,$E$21,1),6),0)</x:f>
        <x:v>118</x:v>
      </x:c>
      <x:c r="L78" s="60">
        <x:f>F78*K78</x:f>
        <x:v>118</x:v>
      </x:c>
      <x:c r="M78" s="64">
        <x:f>IF(B78=11,0,MIN($E$28,$E$26+$E$27*(A78-1)))</x:f>
        <x:v>0</x:v>
      </x:c>
      <x:c r="N78" s="60">
        <x:f>IF(B78=11,$E$22,0)</x:f>
        <x:v>60</x:v>
      </x:c>
      <x:c r="O78" s="60">
        <x:f>IF(B78=11,0,ROUNDDOWN(ROUND(I78*$E$23*(1+$E$39*$E$61),6),0))</x:f>
        <x:v>0</x:v>
      </x:c>
      <x:c r="P78" s="62">
        <x:f>8589934592+A78*65536+B78</x:f>
        <x:v>8590000139</x:v>
      </x:c>
    </x:row>
    <x:row r="79" ht="30" customHeight="1">
      <x:c r="A79" s="63" t="n">
        <x:v>2</x:v>
      </x:c>
      <x:c r="B79" s="63" t="n">
        <x:v>1</x:v>
      </x:c>
      <x:c r="C79" s="63">
        <x:f>11*(A79-1)+B79</x:f>
        <x:v>12</x:v>
      </x:c>
      <x:c r="D79" s="61" t="str">
        <x:v>고블린</x:v>
      </x:c>
      <x:c r="E79" s="61" t="str">
        <x:v>일반</x:v>
      </x:c>
      <x:c r="F79" s="61" t="n">
        <x:v>3</x:v>
      </x:c>
      <x:c r="G79" s="61">
        <x:f>ROUNDUP(ROUND($E$10*$E$11^(C79-1)*IF(B79=11,$E$18,1),6),0)</x:f>
        <x:v>229</x:v>
      </x:c>
      <x:c r="H79" s="61">
        <x:f>ROUNDUP(ROUND($E$12*$E$13^(C79-1)*IF(B79=11,$E$19,1),6),0)</x:f>
        <x:v>10</x:v>
      </x:c>
      <x:c r="I79" s="61">
        <x:f>ROUNDDOWN(ROUND($E$14*$E$15^(C79-1)*IF(B79=11,$E$20,1),6),0)</x:f>
        <x:v>23</x:v>
      </x:c>
      <x:c r="J79" s="61">
        <x:f>F79*I79</x:f>
        <x:v>69</x:v>
      </x:c>
      <x:c r="K79" s="61">
        <x:f>ROUNDDOWN(ROUND($E$16*$E$17^(C79-1)*IF(B79=11,$E$21,1),6),0)</x:f>
        <x:v>6</x:v>
      </x:c>
      <x:c r="L79" s="61">
        <x:f>F79*K79</x:f>
        <x:v>18</x:v>
      </x:c>
      <x:c r="M79" s="65">
        <x:f>IF(B79=11,0,MIN($E$28,$E$26+$E$27*(A79-1)))</x:f>
        <x:v>2.1000000000000001E-2</x:v>
      </x:c>
      <x:c r="N79" s="61">
        <x:f>IF(B79=11,$E$22,0)</x:f>
        <x:v>0</x:v>
      </x:c>
      <x:c r="O79" s="61">
        <x:f>IF(B79=11,0,ROUNDDOWN(ROUND(I79*$E$23*(1+$E$39*$E$61),6),0))</x:f>
        <x:v>690</x:v>
      </x:c>
      <x:c r="P79" s="63">
        <x:f>8589934592+A79*65536+B79</x:f>
        <x:v>8590065665</x:v>
      </x:c>
    </x:row>
    <x:row r="80" ht="30" customHeight="1">
      <x:c r="A80" s="62" t="n">
        <x:v>2</x:v>
      </x:c>
      <x:c r="B80" s="62" t="n">
        <x:v>2</x:v>
      </x:c>
      <x:c r="C80" s="62">
        <x:f>11*(A80-1)+B80</x:f>
        <x:v>13</x:v>
      </x:c>
      <x:c r="D80" s="60" t="str">
        <x:v>고블린</x:v>
      </x:c>
      <x:c r="E80" s="60" t="str">
        <x:v>일반</x:v>
      </x:c>
      <x:c r="F80" s="60" t="n">
        <x:v>6</x:v>
      </x:c>
      <x:c r="G80" s="60">
        <x:f>ROUNDUP(ROUND($E$10*$E$11^(C80-1)*IF(B80=11,$E$18,1),6),0)</x:f>
        <x:v>252</x:v>
      </x:c>
      <x:c r="H80" s="60">
        <x:f>ROUNDUP(ROUND($E$12*$E$13^(C80-1)*IF(B80=11,$E$19,1),6),0)</x:f>
        <x:v>11</x:v>
      </x:c>
      <x:c r="I80" s="60">
        <x:f>ROUNDDOWN(ROUND($E$14*$E$15^(C80-1)*IF(B80=11,$E$20,1),6),0)</x:f>
        <x:v>25</x:v>
      </x:c>
      <x:c r="J80" s="60">
        <x:f>F80*I80</x:f>
        <x:v>150</x:v>
      </x:c>
      <x:c r="K80" s="60">
        <x:f>ROUNDDOWN(ROUND($E$16*$E$17^(C80-1)*IF(B80=11,$E$21,1),6),0)</x:f>
        <x:v>6</x:v>
      </x:c>
      <x:c r="L80" s="60">
        <x:f>F80*K80</x:f>
        <x:v>36</x:v>
      </x:c>
      <x:c r="M80" s="64">
        <x:f>IF(B80=11,0,MIN($E$28,$E$26+$E$27*(A80-1)))</x:f>
        <x:v>2.1000000000000001E-2</x:v>
      </x:c>
      <x:c r="N80" s="60">
        <x:f>IF(B80=11,$E$22,0)</x:f>
        <x:v>0</x:v>
      </x:c>
      <x:c r="O80" s="60">
        <x:f>IF(B80=11,0,ROUNDDOWN(ROUND(I80*$E$23*(1+$E$39*$E$61),6),0))</x:f>
        <x:v>750</x:v>
      </x:c>
      <x:c r="P80" s="62">
        <x:f>8589934592+A80*65536+B80</x:f>
        <x:v>8590065666</x:v>
      </x:c>
    </x:row>
    <x:row r="81" ht="30" customHeight="1">
      <x:c r="A81" s="63" t="n">
        <x:v>2</x:v>
      </x:c>
      <x:c r="B81" s="63" t="n">
        <x:v>3</x:v>
      </x:c>
      <x:c r="C81" s="63">
        <x:f>11*(A81-1)+B81</x:f>
        <x:v>14</x:v>
      </x:c>
      <x:c r="D81" s="61" t="str">
        <x:v>고블린</x:v>
      </x:c>
      <x:c r="E81" s="61" t="str">
        <x:v>일반</x:v>
      </x:c>
      <x:c r="F81" s="61" t="n">
        <x:v>8</x:v>
      </x:c>
      <x:c r="G81" s="61">
        <x:f>ROUNDUP(ROUND($E$10*$E$11^(C81-1)*IF(B81=11,$E$18,1),6),0)</x:f>
        <x:v>277</x:v>
      </x:c>
      <x:c r="H81" s="61">
        <x:f>ROUNDUP(ROUND($E$12*$E$13^(C81-1)*IF(B81=11,$E$19,1),6),0)</x:f>
        <x:v>12</x:v>
      </x:c>
      <x:c r="I81" s="61">
        <x:f>ROUNDDOWN(ROUND($E$14*$E$15^(C81-1)*IF(B81=11,$E$20,1),6),0)</x:f>
        <x:v>27</x:v>
      </x:c>
      <x:c r="J81" s="61">
        <x:f>F81*I81</x:f>
        <x:v>216</x:v>
      </x:c>
      <x:c r="K81" s="61">
        <x:f>ROUNDDOWN(ROUND($E$16*$E$17^(C81-1)*IF(B81=11,$E$21,1),6),0)</x:f>
        <x:v>7</x:v>
      </x:c>
      <x:c r="L81" s="61">
        <x:f>F81*K81</x:f>
        <x:v>56</x:v>
      </x:c>
      <x:c r="M81" s="65">
        <x:f>IF(B81=11,0,MIN($E$28,$E$26+$E$27*(A81-1)))</x:f>
        <x:v>2.1000000000000001E-2</x:v>
      </x:c>
      <x:c r="N81" s="61">
        <x:f>IF(B81=11,$E$22,0)</x:f>
        <x:v>0</x:v>
      </x:c>
      <x:c r="O81" s="61">
        <x:f>IF(B81=11,0,ROUNDDOWN(ROUND(I81*$E$23*(1+$E$39*$E$61),6),0))</x:f>
        <x:v>810</x:v>
      </x:c>
      <x:c r="P81" s="63">
        <x:f>8589934592+A81*65536+B81</x:f>
        <x:v>8590065667</x:v>
      </x:c>
    </x:row>
    <x:row r="82" ht="30" customHeight="1">
      <x:c r="A82" s="62" t="n">
        <x:v>2</x:v>
      </x:c>
      <x:c r="B82" s="62" t="n">
        <x:v>4</x:v>
      </x:c>
      <x:c r="C82" s="62">
        <x:f>11*(A82-1)+B82</x:f>
        <x:v>15</x:v>
      </x:c>
      <x:c r="D82" s="60" t="str">
        <x:v>고블린</x:v>
      </x:c>
      <x:c r="E82" s="60" t="str">
        <x:v>일반</x:v>
      </x:c>
      <x:c r="F82" s="60" t="n">
        <x:v>10</x:v>
      </x:c>
      <x:c r="G82" s="60">
        <x:f>ROUNDUP(ROUND($E$10*$E$11^(C82-1)*IF(B82=11,$E$18,1),6),0)</x:f>
        <x:v>304</x:v>
      </x:c>
      <x:c r="H82" s="60">
        <x:f>ROUNDUP(ROUND($E$12*$E$13^(C82-1)*IF(B82=11,$E$19,1),6),0)</x:f>
        <x:v>13</x:v>
      </x:c>
      <x:c r="I82" s="60">
        <x:f>ROUNDDOWN(ROUND($E$14*$E$15^(C82-1)*IF(B82=11,$E$20,1),6),0)</x:f>
        <x:v>29</x:v>
      </x:c>
      <x:c r="J82" s="60">
        <x:f>F82*I82</x:f>
        <x:v>290</x:v>
      </x:c>
      <x:c r="K82" s="60">
        <x:f>ROUNDDOWN(ROUND($E$16*$E$17^(C82-1)*IF(B82=11,$E$21,1),6),0)</x:f>
        <x:v>7</x:v>
      </x:c>
      <x:c r="L82" s="60">
        <x:f>F82*K82</x:f>
        <x:v>70</x:v>
      </x:c>
      <x:c r="M82" s="64">
        <x:f>IF(B82=11,0,MIN($E$28,$E$26+$E$27*(A82-1)))</x:f>
        <x:v>2.1000000000000001E-2</x:v>
      </x:c>
      <x:c r="N82" s="60">
        <x:f>IF(B82=11,$E$22,0)</x:f>
        <x:v>0</x:v>
      </x:c>
      <x:c r="O82" s="60">
        <x:f>IF(B82=11,0,ROUNDDOWN(ROUND(I82*$E$23*(1+$E$39*$E$61),6),0))</x:f>
        <x:v>870</x:v>
      </x:c>
      <x:c r="P82" s="62">
        <x:f>8589934592+A82*65536+B82</x:f>
        <x:v>8590065668</x:v>
      </x:c>
    </x:row>
    <x:row r="83" ht="30" customHeight="1">
      <x:c r="A83" s="63" t="n">
        <x:v>2</x:v>
      </x:c>
      <x:c r="B83" s="63" t="n">
        <x:v>5</x:v>
      </x:c>
      <x:c r="C83" s="63">
        <x:f>11*(A83-1)+B83</x:f>
        <x:v>16</x:v>
      </x:c>
      <x:c r="D83" s="61" t="str">
        <x:v>고블린</x:v>
      </x:c>
      <x:c r="E83" s="61" t="str">
        <x:v>일반</x:v>
      </x:c>
      <x:c r="F83" s="61" t="n">
        <x:v>12</x:v>
      </x:c>
      <x:c r="G83" s="61">
        <x:f>ROUNDUP(ROUND($E$10*$E$11^(C83-1)*IF(B83=11,$E$18,1),6),0)</x:f>
        <x:v>335</x:v>
      </x:c>
      <x:c r="H83" s="61">
        <x:f>ROUNDUP(ROUND($E$12*$E$13^(C83-1)*IF(B83=11,$E$19,1),6),0)</x:f>
        <x:v>13</x:v>
      </x:c>
      <x:c r="I83" s="61">
        <x:f>ROUNDDOWN(ROUND($E$14*$E$15^(C83-1)*IF(B83=11,$E$20,1),6),0)</x:f>
        <x:v>31</x:v>
      </x:c>
      <x:c r="J83" s="61">
        <x:f>F83*I83</x:f>
        <x:v>372</x:v>
      </x:c>
      <x:c r="K83" s="61">
        <x:f>ROUNDDOWN(ROUND($E$16*$E$17^(C83-1)*IF(B83=11,$E$21,1),6),0)</x:f>
        <x:v>8</x:v>
      </x:c>
      <x:c r="L83" s="61">
        <x:f>F83*K83</x:f>
        <x:v>96</x:v>
      </x:c>
      <x:c r="M83" s="65">
        <x:f>IF(B83=11,0,MIN($E$28,$E$26+$E$27*(A83-1)))</x:f>
        <x:v>2.1000000000000001E-2</x:v>
      </x:c>
      <x:c r="N83" s="61">
        <x:f>IF(B83=11,$E$22,0)</x:f>
        <x:v>0</x:v>
      </x:c>
      <x:c r="O83" s="61">
        <x:f>IF(B83=11,0,ROUNDDOWN(ROUND(I83*$E$23*(1+$E$39*$E$61),6),0))</x:f>
        <x:v>930</x:v>
      </x:c>
      <x:c r="P83" s="63">
        <x:f>8589934592+A83*65536+B83</x:f>
        <x:v>8590065669</x:v>
      </x:c>
    </x:row>
    <x:row r="84" ht="30" customHeight="1">
      <x:c r="A84" s="62" t="n">
        <x:v>2</x:v>
      </x:c>
      <x:c r="B84" s="62" t="n">
        <x:v>6</x:v>
      </x:c>
      <x:c r="C84" s="62">
        <x:f>11*(A84-1)+B84</x:f>
        <x:v>17</x:v>
      </x:c>
      <x:c r="D84" s="60" t="str">
        <x:v>고블린</x:v>
      </x:c>
      <x:c r="E84" s="60" t="str">
        <x:v>일반</x:v>
      </x:c>
      <x:c r="F84" s="60" t="n">
        <x:v>14</x:v>
      </x:c>
      <x:c r="G84" s="60">
        <x:f>ROUNDUP(ROUND($E$10*$E$11^(C84-1)*IF(B84=11,$E$18,1),6),0)</x:f>
        <x:v>368</x:v>
      </x:c>
      <x:c r="H84" s="60">
        <x:f>ROUNDUP(ROUND($E$12*$E$13^(C84-1)*IF(B84=11,$E$19,1),6),0)</x:f>
        <x:v>14</x:v>
      </x:c>
      <x:c r="I84" s="60">
        <x:f>ROUNDDOWN(ROUND($E$14*$E$15^(C84-1)*IF(B84=11,$E$20,1),6),0)</x:f>
        <x:v>34</x:v>
      </x:c>
      <x:c r="J84" s="60">
        <x:f>F84*I84</x:f>
        <x:v>476</x:v>
      </x:c>
      <x:c r="K84" s="60">
        <x:f>ROUNDDOWN(ROUND($E$16*$E$17^(C84-1)*IF(B84=11,$E$21,1),6),0)</x:f>
        <x:v>8</x:v>
      </x:c>
      <x:c r="L84" s="60">
        <x:f>F84*K84</x:f>
        <x:v>112</x:v>
      </x:c>
      <x:c r="M84" s="64">
        <x:f>IF(B84=11,0,MIN($E$28,$E$26+$E$27*(A84-1)))</x:f>
        <x:v>2.1000000000000001E-2</x:v>
      </x:c>
      <x:c r="N84" s="60">
        <x:f>IF(B84=11,$E$22,0)</x:f>
        <x:v>0</x:v>
      </x:c>
      <x:c r="O84" s="60">
        <x:f>IF(B84=11,0,ROUNDDOWN(ROUND(I84*$E$23*(1+$E$39*$E$61),6),0))</x:f>
        <x:v>1020</x:v>
      </x:c>
      <x:c r="P84" s="62">
        <x:f>8589934592+A84*65536+B84</x:f>
        <x:v>8590065670</x:v>
      </x:c>
    </x:row>
    <x:row r="85" ht="30" customHeight="1">
      <x:c r="A85" s="63" t="n">
        <x:v>2</x:v>
      </x:c>
      <x:c r="B85" s="63" t="n">
        <x:v>7</x:v>
      </x:c>
      <x:c r="C85" s="63">
        <x:f>11*(A85-1)+B85</x:f>
        <x:v>18</x:v>
      </x:c>
      <x:c r="D85" s="61" t="str">
        <x:v>고블린</x:v>
      </x:c>
      <x:c r="E85" s="61" t="str">
        <x:v>일반</x:v>
      </x:c>
      <x:c r="F85" s="61" t="n">
        <x:v>16</x:v>
      </x:c>
      <x:c r="G85" s="61">
        <x:f>ROUNDUP(ROUND($E$10*$E$11^(C85-1)*IF(B85=11,$E$18,1),6),0)</x:f>
        <x:v>405</x:v>
      </x:c>
      <x:c r="H85" s="61">
        <x:f>ROUNDUP(ROUND($E$12*$E$13^(C85-1)*IF(B85=11,$E$19,1),6),0)</x:f>
        <x:v>15</x:v>
      </x:c>
      <x:c r="I85" s="61">
        <x:f>ROUNDDOWN(ROUND($E$14*$E$15^(C85-1)*IF(B85=11,$E$20,1),6),0)</x:f>
        <x:v>37</x:v>
      </x:c>
      <x:c r="J85" s="61">
        <x:f>F85*I85</x:f>
        <x:v>592</x:v>
      </x:c>
      <x:c r="K85" s="61">
        <x:f>ROUNDDOWN(ROUND($E$16*$E$17^(C85-1)*IF(B85=11,$E$21,1),6),0)</x:f>
        <x:v>9</x:v>
      </x:c>
      <x:c r="L85" s="61">
        <x:f>F85*K85</x:f>
        <x:v>144</x:v>
      </x:c>
      <x:c r="M85" s="65">
        <x:f>IF(B85=11,0,MIN($E$28,$E$26+$E$27*(A85-1)))</x:f>
        <x:v>2.1000000000000001E-2</x:v>
      </x:c>
      <x:c r="N85" s="61">
        <x:f>IF(B85=11,$E$22,0)</x:f>
        <x:v>0</x:v>
      </x:c>
      <x:c r="O85" s="61">
        <x:f>IF(B85=11,0,ROUNDDOWN(ROUND(I85*$E$23*(1+$E$39*$E$61),6),0))</x:f>
        <x:v>1110</x:v>
      </x:c>
      <x:c r="P85" s="63">
        <x:f>8589934592+A85*65536+B85</x:f>
        <x:v>8590065671</x:v>
      </x:c>
    </x:row>
    <x:row r="86" ht="30" customHeight="1">
      <x:c r="A86" s="62" t="n">
        <x:v>2</x:v>
      </x:c>
      <x:c r="B86" s="62" t="n">
        <x:v>8</x:v>
      </x:c>
      <x:c r="C86" s="62">
        <x:f>11*(A86-1)+B86</x:f>
        <x:v>19</x:v>
      </x:c>
      <x:c r="D86" s="60" t="str">
        <x:v>고블린</x:v>
      </x:c>
      <x:c r="E86" s="60" t="str">
        <x:v>일반</x:v>
      </x:c>
      <x:c r="F86" s="60" t="n">
        <x:v>18</x:v>
      </x:c>
      <x:c r="G86" s="60">
        <x:f>ROUNDUP(ROUND($E$10*$E$11^(C86-1)*IF(B86=11,$E$18,1),6),0)</x:f>
        <x:v>445</x:v>
      </x:c>
      <x:c r="H86" s="60">
        <x:f>ROUNDUP(ROUND($E$12*$E$13^(C86-1)*IF(B86=11,$E$19,1),6),0)</x:f>
        <x:v>16</x:v>
      </x:c>
      <x:c r="I86" s="60">
        <x:f>ROUNDDOWN(ROUND($E$14*$E$15^(C86-1)*IF(B86=11,$E$20,1),6),0)</x:f>
        <x:v>39</x:v>
      </x:c>
      <x:c r="J86" s="60">
        <x:f>F86*I86</x:f>
        <x:v>702</x:v>
      </x:c>
      <x:c r="K86" s="60">
        <x:f>ROUNDDOWN(ROUND($E$16*$E$17^(C86-1)*IF(B86=11,$E$21,1),6),0)</x:f>
        <x:v>10</x:v>
      </x:c>
      <x:c r="L86" s="60">
        <x:f>F86*K86</x:f>
        <x:v>180</x:v>
      </x:c>
      <x:c r="M86" s="64">
        <x:f>IF(B86=11,0,MIN($E$28,$E$26+$E$27*(A86-1)))</x:f>
        <x:v>2.1000000000000001E-2</x:v>
      </x:c>
      <x:c r="N86" s="60">
        <x:f>IF(B86=11,$E$22,0)</x:f>
        <x:v>0</x:v>
      </x:c>
      <x:c r="O86" s="60">
        <x:f>IF(B86=11,0,ROUNDDOWN(ROUND(I86*$E$23*(1+$E$39*$E$61),6),0))</x:f>
        <x:v>1170</x:v>
      </x:c>
      <x:c r="P86" s="62">
        <x:f>8589934592+A86*65536+B86</x:f>
        <x:v>8590065672</x:v>
      </x:c>
    </x:row>
    <x:row r="87" ht="30" customHeight="1">
      <x:c r="A87" s="63" t="n">
        <x:v>2</x:v>
      </x:c>
      <x:c r="B87" s="63" t="n">
        <x:v>9</x:v>
      </x:c>
      <x:c r="C87" s="63">
        <x:f>11*(A87-1)+B87</x:f>
        <x:v>20</x:v>
      </x:c>
      <x:c r="D87" s="61" t="str">
        <x:v>고블린</x:v>
      </x:c>
      <x:c r="E87" s="61" t="str">
        <x:v>일반</x:v>
      </x:c>
      <x:c r="F87" s="61" t="n">
        <x:v>20</x:v>
      </x:c>
      <x:c r="G87" s="61">
        <x:f>ROUNDUP(ROUND($E$10*$E$11^(C87-1)*IF(B87=11,$E$18,1),6),0)</x:f>
        <x:v>490</x:v>
      </x:c>
      <x:c r="H87" s="61">
        <x:f>ROUNDUP(ROUND($E$12*$E$13^(C87-1)*IF(B87=11,$E$19,1),6),0)</x:f>
        <x:v>17</x:v>
      </x:c>
      <x:c r="I87" s="61">
        <x:f>ROUNDDOWN(ROUND($E$14*$E$15^(C87-1)*IF(B87=11,$E$20,1),6),0)</x:f>
        <x:v>43</x:v>
      </x:c>
      <x:c r="J87" s="61">
        <x:f>F87*I87</x:f>
        <x:v>860</x:v>
      </x:c>
      <x:c r="K87" s="61">
        <x:f>ROUNDDOWN(ROUND($E$16*$E$17^(C87-1)*IF(B87=11,$E$21,1),6),0)</x:f>
        <x:v>10</x:v>
      </x:c>
      <x:c r="L87" s="61">
        <x:f>F87*K87</x:f>
        <x:v>200</x:v>
      </x:c>
      <x:c r="M87" s="65">
        <x:f>IF(B87=11,0,MIN($E$28,$E$26+$E$27*(A87-1)))</x:f>
        <x:v>2.1000000000000001E-2</x:v>
      </x:c>
      <x:c r="N87" s="61">
        <x:f>IF(B87=11,$E$22,0)</x:f>
        <x:v>0</x:v>
      </x:c>
      <x:c r="O87" s="61">
        <x:f>IF(B87=11,0,ROUNDDOWN(ROUND(I87*$E$23*(1+$E$39*$E$61),6),0))</x:f>
        <x:v>1290</x:v>
      </x:c>
      <x:c r="P87" s="63">
        <x:f>8589934592+A87*65536+B87</x:f>
        <x:v>8590065673</x:v>
      </x:c>
    </x:row>
    <x:row r="88" ht="30" customHeight="1">
      <x:c r="A88" s="62" t="n">
        <x:v>2</x:v>
      </x:c>
      <x:c r="B88" s="62" t="n">
        <x:v>10</x:v>
      </x:c>
      <x:c r="C88" s="62">
        <x:f>11*(A88-1)+B88</x:f>
        <x:v>21</x:v>
      </x:c>
      <x:c r="D88" s="60" t="str">
        <x:v>고블린</x:v>
      </x:c>
      <x:c r="E88" s="60" t="str">
        <x:v>일반</x:v>
      </x:c>
      <x:c r="F88" s="60" t="n">
        <x:v>24</x:v>
      </x:c>
      <x:c r="G88" s="60">
        <x:f>ROUNDUP(ROUND($E$10*$E$11^(C88-1)*IF(B88=11,$E$18,1),6),0)</x:f>
        <x:v>539</x:v>
      </x:c>
      <x:c r="H88" s="60">
        <x:f>ROUNDUP(ROUND($E$12*$E$13^(C88-1)*IF(B88=11,$E$19,1),6),0)</x:f>
        <x:v>18</x:v>
      </x:c>
      <x:c r="I88" s="60">
        <x:f>ROUNDDOWN(ROUND($E$14*$E$15^(C88-1)*IF(B88=11,$E$20,1),6),0)</x:f>
        <x:v>46</x:v>
      </x:c>
      <x:c r="J88" s="60">
        <x:f>F88*I88</x:f>
        <x:v>1104</x:v>
      </x:c>
      <x:c r="K88" s="60">
        <x:f>ROUNDDOWN(ROUND($E$16*$E$17^(C88-1)*IF(B88=11,$E$21,1),6),0)</x:f>
        <x:v>11</x:v>
      </x:c>
      <x:c r="L88" s="60">
        <x:f>F88*K88</x:f>
        <x:v>264</x:v>
      </x:c>
      <x:c r="M88" s="64">
        <x:f>IF(B88=11,0,MIN($E$28,$E$26+$E$27*(A88-1)))</x:f>
        <x:v>2.1000000000000001E-2</x:v>
      </x:c>
      <x:c r="N88" s="60">
        <x:f>IF(B88=11,$E$22,0)</x:f>
        <x:v>0</x:v>
      </x:c>
      <x:c r="O88" s="60">
        <x:f>IF(B88=11,0,ROUNDDOWN(ROUND(I88*$E$23*(1+$E$39*$E$61),6),0))</x:f>
        <x:v>1380</x:v>
      </x:c>
      <x:c r="P88" s="62">
        <x:f>8589934592+A88*65536+B88</x:f>
        <x:v>8590065674</x:v>
      </x:c>
    </x:row>
    <x:row r="89" ht="30" customHeight="1">
      <x:c r="A89" s="63" t="n">
        <x:v>2</x:v>
      </x:c>
      <x:c r="B89" s="63" t="n">
        <x:v>11</x:v>
      </x:c>
      <x:c r="C89" s="63">
        <x:f>11*(A89-1)+B89</x:f>
        <x:v>22</x:v>
      </x:c>
      <x:c r="D89" s="61" t="str">
        <x:v>고블린</x:v>
      </x:c>
      <x:c r="E89" s="61" t="str">
        <x:v>보스</x:v>
      </x:c>
      <x:c r="F89" s="61" t="n">
        <x:v>1</x:v>
      </x:c>
      <x:c r="G89" s="61">
        <x:f>ROUNDUP(ROUND($E$10*$E$11^(C89-1)*IF(B89=11,$E$18,1),6),0)</x:f>
        <x:v>10657</x:v>
      </x:c>
      <x:c r="H89" s="61">
        <x:f>ROUNDUP(ROUND($E$12*$E$13^(C89-1)*IF(B89=11,$E$19,1),6),0)</x:f>
        <x:v>57</x:v>
      </x:c>
      <x:c r="I89" s="61">
        <x:f>ROUNDDOWN(ROUND($E$14*$E$15^(C89-1)*IF(B89=11,$E$20,1),6),0)</x:f>
        <x:v>503</x:v>
      </x:c>
      <x:c r="J89" s="61">
        <x:f>F89*I89</x:f>
        <x:v>503</x:v>
      </x:c>
      <x:c r="K89" s="61">
        <x:f>ROUNDDOWN(ROUND($E$16*$E$17^(C89-1)*IF(B89=11,$E$21,1),6),0)</x:f>
        <x:v>248</x:v>
      </x:c>
      <x:c r="L89" s="61">
        <x:f>F89*K89</x:f>
        <x:v>248</x:v>
      </x:c>
      <x:c r="M89" s="65">
        <x:f>IF(B89=11,0,MIN($E$28,$E$26+$E$27*(A89-1)))</x:f>
        <x:v>0</x:v>
      </x:c>
      <x:c r="N89" s="61">
        <x:f>IF(B89=11,$E$22,0)</x:f>
        <x:v>60</x:v>
      </x:c>
      <x:c r="O89" s="61">
        <x:f>IF(B89=11,0,ROUNDDOWN(ROUND(I89*$E$23*(1+$E$39*$E$61),6),0))</x:f>
        <x:v>0</x:v>
      </x:c>
      <x:c r="P89" s="63">
        <x:f>8589934592+A89*65536+B89</x:f>
        <x:v>8590065675</x:v>
      </x:c>
    </x:row>
    <x:row r="90" ht="30" customHeight="1">
      <x:c r="A90" s="62" t="n">
        <x:v>3</x:v>
      </x:c>
      <x:c r="B90" s="62" t="n">
        <x:v>1</x:v>
      </x:c>
      <x:c r="C90" s="62">
        <x:f>11*(A90-1)+B90</x:f>
        <x:v>23</x:v>
      </x:c>
      <x:c r="D90" s="60" t="str">
        <x:v>신규 오크</x:v>
      </x:c>
      <x:c r="E90" s="60" t="str">
        <x:v>일반</x:v>
      </x:c>
      <x:c r="F90" s="60" t="n">
        <x:v>3</x:v>
      </x:c>
      <x:c r="G90" s="60">
        <x:f>ROUNDUP(ROUND($E$10*$E$11^(C90-1)*IF(B90=11,$E$18,1),6),0)</x:f>
        <x:v>652</x:v>
      </x:c>
      <x:c r="H90" s="60">
        <x:f>ROUNDUP(ROUND($E$12*$E$13^(C90-1)*IF(B90=11,$E$19,1),6),0)</x:f>
        <x:v>20</x:v>
      </x:c>
      <x:c r="I90" s="60">
        <x:f>ROUNDDOWN(ROUND($E$14*$E$15^(C90-1)*IF(B90=11,$E$20,1),6),0)</x:f>
        <x:v>54</x:v>
      </x:c>
      <x:c r="J90" s="60">
        <x:f>F90*I90</x:f>
        <x:v>162</x:v>
      </x:c>
      <x:c r="K90" s="60">
        <x:f>ROUNDDOWN(ROUND($E$16*$E$17^(C90-1)*IF(B90=11,$E$21,1),6),0)</x:f>
        <x:v>13</x:v>
      </x:c>
      <x:c r="L90" s="60">
        <x:f>F90*K90</x:f>
        <x:v>39</x:v>
      </x:c>
      <x:c r="M90" s="64">
        <x:f>IF(B90=11,0,MIN($E$28,$E$26+$E$27*(A90-1)))</x:f>
        <x:v>2.1999999999999999E-2</x:v>
      </x:c>
      <x:c r="N90" s="60">
        <x:f>IF(B90=11,$E$22,0)</x:f>
        <x:v>0</x:v>
      </x:c>
      <x:c r="O90" s="60">
        <x:f>IF(B90=11,0,ROUNDDOWN(ROUND(I90*$E$23*(1+$E$39*$E$61),6),0))</x:f>
        <x:v>1620</x:v>
      </x:c>
      <x:c r="P90" s="62">
        <x:f>8589934592+A90*65536+B90</x:f>
        <x:v>8590131201</x:v>
      </x:c>
    </x:row>
    <x:row r="91" ht="30" customHeight="1">
      <x:c r="A91" s="63" t="n">
        <x:v>3</x:v>
      </x:c>
      <x:c r="B91" s="63" t="n">
        <x:v>2</x:v>
      </x:c>
      <x:c r="C91" s="63">
        <x:f>11*(A91-1)+B91</x:f>
        <x:v>24</x:v>
      </x:c>
      <x:c r="D91" s="61" t="str">
        <x:v>신규 오크</x:v>
      </x:c>
      <x:c r="E91" s="61" t="str">
        <x:v>일반</x:v>
      </x:c>
      <x:c r="F91" s="61" t="n">
        <x:v>6</x:v>
      </x:c>
      <x:c r="G91" s="61">
        <x:f>ROUNDUP(ROUND($E$10*$E$11^(C91-1)*IF(B91=11,$E$18,1),6),0)</x:f>
        <x:v>717</x:v>
      </x:c>
      <x:c r="H91" s="61">
        <x:f>ROUNDUP(ROUND($E$12*$E$13^(C91-1)*IF(B91=11,$E$19,1),6),0)</x:f>
        <x:v>22</x:v>
      </x:c>
      <x:c r="I91" s="61">
        <x:f>ROUNDDOWN(ROUND($E$14*$E$15^(C91-1)*IF(B91=11,$E$20,1),6),0)</x:f>
        <x:v>58</x:v>
      </x:c>
      <x:c r="J91" s="61">
        <x:f>F91*I91</x:f>
        <x:v>348</x:v>
      </x:c>
      <x:c r="K91" s="61">
        <x:f>ROUNDDOWN(ROUND($E$16*$E$17^(C91-1)*IF(B91=11,$E$21,1),6),0)</x:f>
        <x:v>14</x:v>
      </x:c>
      <x:c r="L91" s="61">
        <x:f>F91*K91</x:f>
        <x:v>84</x:v>
      </x:c>
      <x:c r="M91" s="65">
        <x:f>IF(B91=11,0,MIN($E$28,$E$26+$E$27*(A91-1)))</x:f>
        <x:v>2.1999999999999999E-2</x:v>
      </x:c>
      <x:c r="N91" s="61">
        <x:f>IF(B91=11,$E$22,0)</x:f>
        <x:v>0</x:v>
      </x:c>
      <x:c r="O91" s="61">
        <x:f>IF(B91=11,0,ROUNDDOWN(ROUND(I91*$E$23*(1+$E$39*$E$61),6),0))</x:f>
        <x:v>1740</x:v>
      </x:c>
      <x:c r="P91" s="63">
        <x:f>8589934592+A91*65536+B91</x:f>
        <x:v>8590131202</x:v>
      </x:c>
    </x:row>
    <x:row r="92" ht="30" customHeight="1">
      <x:c r="A92" s="62" t="n">
        <x:v>3</x:v>
      </x:c>
      <x:c r="B92" s="62" t="n">
        <x:v>3</x:v>
      </x:c>
      <x:c r="C92" s="62">
        <x:f>11*(A92-1)+B92</x:f>
        <x:v>25</x:v>
      </x:c>
      <x:c r="D92" s="60" t="str">
        <x:v>신규 오크</x:v>
      </x:c>
      <x:c r="E92" s="60" t="str">
        <x:v>일반</x:v>
      </x:c>
      <x:c r="F92" s="60" t="n">
        <x:v>8</x:v>
      </x:c>
      <x:c r="G92" s="60">
        <x:f>ROUNDUP(ROUND($E$10*$E$11^(C92-1)*IF(B92=11,$E$18,1),6),0)</x:f>
        <x:v>788</x:v>
      </x:c>
      <x:c r="H92" s="60">
        <x:f>ROUNDUP(ROUND($E$12*$E$13^(C92-1)*IF(B92=11,$E$19,1),6),0)</x:f>
        <x:v>23</x:v>
      </x:c>
      <x:c r="I92" s="60">
        <x:f>ROUNDDOWN(ROUND($E$14*$E$15^(C92-1)*IF(B92=11,$E$20,1),6),0)</x:f>
        <x:v>63</x:v>
      </x:c>
      <x:c r="J92" s="60">
        <x:f>F92*I92</x:f>
        <x:v>504</x:v>
      </x:c>
      <x:c r="K92" s="60">
        <x:f>ROUNDDOWN(ROUND($E$16*$E$17^(C92-1)*IF(B92=11,$E$21,1),6),0)</x:f>
        <x:v>15</x:v>
      </x:c>
      <x:c r="L92" s="60">
        <x:f>F92*K92</x:f>
        <x:v>120</x:v>
      </x:c>
      <x:c r="M92" s="64">
        <x:f>IF(B92=11,0,MIN($E$28,$E$26+$E$27*(A92-1)))</x:f>
        <x:v>2.1999999999999999E-2</x:v>
      </x:c>
      <x:c r="N92" s="60">
        <x:f>IF(B92=11,$E$22,0)</x:f>
        <x:v>0</x:v>
      </x:c>
      <x:c r="O92" s="60">
        <x:f>IF(B92=11,0,ROUNDDOWN(ROUND(I92*$E$23*(1+$E$39*$E$61),6),0))</x:f>
        <x:v>1890</x:v>
      </x:c>
      <x:c r="P92" s="62">
        <x:f>8589934592+A92*65536+B92</x:f>
        <x:v>8590131203</x:v>
      </x:c>
    </x:row>
    <x:row r="93" ht="30" customHeight="1">
      <x:c r="A93" s="63" t="n">
        <x:v>3</x:v>
      </x:c>
      <x:c r="B93" s="63" t="n">
        <x:v>4</x:v>
      </x:c>
      <x:c r="C93" s="63">
        <x:f>11*(A93-1)+B93</x:f>
        <x:v>26</x:v>
      </x:c>
      <x:c r="D93" s="61" t="str">
        <x:v>신규 오크</x:v>
      </x:c>
      <x:c r="E93" s="61" t="str">
        <x:v>일반</x:v>
      </x:c>
      <x:c r="F93" s="61" t="n">
        <x:v>10</x:v>
      </x:c>
      <x:c r="G93" s="61">
        <x:f>ROUNDUP(ROUND($E$10*$E$11^(C93-1)*IF(B93=11,$E$18,1),6),0)</x:f>
        <x:v>867</x:v>
      </x:c>
      <x:c r="H93" s="61">
        <x:f>ROUNDUP(ROUND($E$12*$E$13^(C93-1)*IF(B93=11,$E$19,1),6),0)</x:f>
        <x:v>25</x:v>
      </x:c>
      <x:c r="I93" s="61">
        <x:f>ROUNDDOWN(ROUND($E$14*$E$15^(C93-1)*IF(B93=11,$E$20,1),6),0)</x:f>
        <x:v>68</x:v>
      </x:c>
      <x:c r="J93" s="61">
        <x:f>F93*I93</x:f>
        <x:v>680</x:v>
      </x:c>
      <x:c r="K93" s="61">
        <x:f>ROUNDDOWN(ROUND($E$16*$E$17^(C93-1)*IF(B93=11,$E$21,1),6),0)</x:f>
        <x:v>16</x:v>
      </x:c>
      <x:c r="L93" s="61">
        <x:f>F93*K93</x:f>
        <x:v>160</x:v>
      </x:c>
      <x:c r="M93" s="65">
        <x:f>IF(B93=11,0,MIN($E$28,$E$26+$E$27*(A93-1)))</x:f>
        <x:v>2.1999999999999999E-2</x:v>
      </x:c>
      <x:c r="N93" s="61">
        <x:f>IF(B93=11,$E$22,0)</x:f>
        <x:v>0</x:v>
      </x:c>
      <x:c r="O93" s="61">
        <x:f>IF(B93=11,0,ROUNDDOWN(ROUND(I93*$E$23*(1+$E$39*$E$61),6),0))</x:f>
        <x:v>2040</x:v>
      </x:c>
      <x:c r="P93" s="63">
        <x:f>8589934592+A93*65536+B93</x:f>
        <x:v>8590131204</x:v>
      </x:c>
    </x:row>
    <x:row r="94" ht="30" customHeight="1">
      <x:c r="A94" s="62" t="n">
        <x:v>3</x:v>
      </x:c>
      <x:c r="B94" s="62" t="n">
        <x:v>5</x:v>
      </x:c>
      <x:c r="C94" s="62">
        <x:f>11*(A94-1)+B94</x:f>
        <x:v>27</x:v>
      </x:c>
      <x:c r="D94" s="60" t="str">
        <x:v>신규 오크</x:v>
      </x:c>
      <x:c r="E94" s="60" t="str">
        <x:v>일반</x:v>
      </x:c>
      <x:c r="F94" s="60" t="n">
        <x:v>12</x:v>
      </x:c>
      <x:c r="G94" s="60">
        <x:f>ROUNDUP(ROUND($E$10*$E$11^(C94-1)*IF(B94=11,$E$18,1),6),0)</x:f>
        <x:v>954</x:v>
      </x:c>
      <x:c r="H94" s="60">
        <x:f>ROUNDUP(ROUND($E$12*$E$13^(C94-1)*IF(B94=11,$E$19,1),6),0)</x:f>
        <x:v>26</x:v>
      </x:c>
      <x:c r="I94" s="60">
        <x:f>ROUNDDOWN(ROUND($E$14*$E$15^(C94-1)*IF(B94=11,$E$20,1),6),0)</x:f>
        <x:v>73</x:v>
      </x:c>
      <x:c r="J94" s="60">
        <x:f>F94*I94</x:f>
        <x:v>876</x:v>
      </x:c>
      <x:c r="K94" s="60">
        <x:f>ROUNDDOWN(ROUND($E$16*$E$17^(C94-1)*IF(B94=11,$E$21,1),6),0)</x:f>
        <x:v>17</x:v>
      </x:c>
      <x:c r="L94" s="60">
        <x:f>F94*K94</x:f>
        <x:v>204</x:v>
      </x:c>
      <x:c r="M94" s="64">
        <x:f>IF(B94=11,0,MIN($E$28,$E$26+$E$27*(A94-1)))</x:f>
        <x:v>2.1999999999999999E-2</x:v>
      </x:c>
      <x:c r="N94" s="60">
        <x:f>IF(B94=11,$E$22,0)</x:f>
        <x:v>0</x:v>
      </x:c>
      <x:c r="O94" s="60">
        <x:f>IF(B94=11,0,ROUNDDOWN(ROUND(I94*$E$23*(1+$E$39*$E$61),6),0))</x:f>
        <x:v>2190</x:v>
      </x:c>
      <x:c r="P94" s="62">
        <x:f>8589934592+A94*65536+B94</x:f>
        <x:v>8590131205</x:v>
      </x:c>
    </x:row>
    <x:row r="95" ht="30" customHeight="1">
      <x:c r="A95" s="63" t="n">
        <x:v>3</x:v>
      </x:c>
      <x:c r="B95" s="63" t="n">
        <x:v>6</x:v>
      </x:c>
      <x:c r="C95" s="63">
        <x:f>11*(A95-1)+B95</x:f>
        <x:v>28</x:v>
      </x:c>
      <x:c r="D95" s="61" t="str">
        <x:v>신규 오크</x:v>
      </x:c>
      <x:c r="E95" s="61" t="str">
        <x:v>일반</x:v>
      </x:c>
      <x:c r="F95" s="61" t="n">
        <x:v>14</x:v>
      </x:c>
      <x:c r="G95" s="61">
        <x:f>ROUNDUP(ROUND($E$10*$E$11^(C95-1)*IF(B95=11,$E$18,1),6),0)</x:f>
        <x:v>1049</x:v>
      </x:c>
      <x:c r="H95" s="61">
        <x:f>ROUNDUP(ROUND($E$12*$E$13^(C95-1)*IF(B95=11,$E$19,1),6),0)</x:f>
        <x:v>28</x:v>
      </x:c>
      <x:c r="I95" s="61">
        <x:f>ROUNDDOWN(ROUND($E$14*$E$15^(C95-1)*IF(B95=11,$E$20,1),6),0)</x:f>
        <x:v>79</x:v>
      </x:c>
      <x:c r="J95" s="61">
        <x:f>F95*I95</x:f>
        <x:v>1106</x:v>
      </x:c>
      <x:c r="K95" s="61">
        <x:f>ROUNDDOWN(ROUND($E$16*$E$17^(C95-1)*IF(B95=11,$E$21,1),6),0)</x:f>
        <x:v>18</x:v>
      </x:c>
      <x:c r="L95" s="61">
        <x:f>F95*K95</x:f>
        <x:v>252</x:v>
      </x:c>
      <x:c r="M95" s="65">
        <x:f>IF(B95=11,0,MIN($E$28,$E$26+$E$27*(A95-1)))</x:f>
        <x:v>2.1999999999999999E-2</x:v>
      </x:c>
      <x:c r="N95" s="61">
        <x:f>IF(B95=11,$E$22,0)</x:f>
        <x:v>0</x:v>
      </x:c>
      <x:c r="O95" s="61">
        <x:f>IF(B95=11,0,ROUNDDOWN(ROUND(I95*$E$23*(1+$E$39*$E$61),6),0))</x:f>
        <x:v>2370</x:v>
      </x:c>
      <x:c r="P95" s="63">
        <x:f>8589934592+A95*65536+B95</x:f>
        <x:v>8590131206</x:v>
      </x:c>
    </x:row>
    <x:row r="96" ht="30" customHeight="1">
      <x:c r="A96" s="62" t="n">
        <x:v>3</x:v>
      </x:c>
      <x:c r="B96" s="62" t="n">
        <x:v>7</x:v>
      </x:c>
      <x:c r="C96" s="62">
        <x:f>11*(A96-1)+B96</x:f>
        <x:v>29</x:v>
      </x:c>
      <x:c r="D96" s="60" t="str">
        <x:v>신규 오크</x:v>
      </x:c>
      <x:c r="E96" s="60" t="str">
        <x:v>일반</x:v>
      </x:c>
      <x:c r="F96" s="60" t="n">
        <x:v>16</x:v>
      </x:c>
      <x:c r="G96" s="60">
        <x:f>ROUNDUP(ROUND($E$10*$E$11^(C96-1)*IF(B96=11,$E$18,1),6),0)</x:f>
        <x:v>1154</x:v>
      </x:c>
      <x:c r="H96" s="60">
        <x:f>ROUNDUP(ROUND($E$12*$E$13^(C96-1)*IF(B96=11,$E$19,1),6),0)</x:f>
        <x:v>30</x:v>
      </x:c>
      <x:c r="I96" s="60">
        <x:f>ROUNDDOWN(ROUND($E$14*$E$15^(C96-1)*IF(B96=11,$E$20,1),6),0)</x:f>
        <x:v>86</x:v>
      </x:c>
      <x:c r="J96" s="60">
        <x:f>F96*I96</x:f>
        <x:v>1376</x:v>
      </x:c>
      <x:c r="K96" s="60">
        <x:f>ROUNDDOWN(ROUND($E$16*$E$17^(C96-1)*IF(B96=11,$E$21,1),6),0)</x:f>
        <x:v>19</x:v>
      </x:c>
      <x:c r="L96" s="60">
        <x:f>F96*K96</x:f>
        <x:v>304</x:v>
      </x:c>
      <x:c r="M96" s="64">
        <x:f>IF(B96=11,0,MIN($E$28,$E$26+$E$27*(A96-1)))</x:f>
        <x:v>2.1999999999999999E-2</x:v>
      </x:c>
      <x:c r="N96" s="60">
        <x:f>IF(B96=11,$E$22,0)</x:f>
        <x:v>0</x:v>
      </x:c>
      <x:c r="O96" s="60">
        <x:f>IF(B96=11,0,ROUNDDOWN(ROUND(I96*$E$23*(1+$E$39*$E$61),6),0))</x:f>
        <x:v>2580</x:v>
      </x:c>
      <x:c r="P96" s="62">
        <x:f>8589934592+A96*65536+B96</x:f>
        <x:v>8590131207</x:v>
      </x:c>
    </x:row>
    <x:row r="97" ht="30" customHeight="1">
      <x:c r="A97" s="63" t="n">
        <x:v>3</x:v>
      </x:c>
      <x:c r="B97" s="63" t="n">
        <x:v>8</x:v>
      </x:c>
      <x:c r="C97" s="63">
        <x:f>11*(A97-1)+B97</x:f>
        <x:v>30</x:v>
      </x:c>
      <x:c r="D97" s="61" t="str">
        <x:v>신규 오크</x:v>
      </x:c>
      <x:c r="E97" s="61" t="str">
        <x:v>일반</x:v>
      </x:c>
      <x:c r="F97" s="61" t="n">
        <x:v>18</x:v>
      </x:c>
      <x:c r="G97" s="61">
        <x:f>ROUNDUP(ROUND($E$10*$E$11^(C97-1)*IF(B97=11,$E$18,1),6),0)</x:f>
        <x:v>1270</x:v>
      </x:c>
      <x:c r="H97" s="61">
        <x:f>ROUNDUP(ROUND($E$12*$E$13^(C97-1)*IF(B97=11,$E$19,1),6),0)</x:f>
        <x:v>32</x:v>
      </x:c>
      <x:c r="I97" s="61">
        <x:f>ROUNDDOWN(ROUND($E$14*$E$15^(C97-1)*IF(B97=11,$E$20,1),6),0)</x:f>
        <x:v>93</x:v>
      </x:c>
      <x:c r="J97" s="61">
        <x:f>F97*I97</x:f>
        <x:v>1674</x:v>
      </x:c>
      <x:c r="K97" s="61">
        <x:f>ROUNDDOWN(ROUND($E$16*$E$17^(C97-1)*IF(B97=11,$E$21,1),6),0)</x:f>
        <x:v>21</x:v>
      </x:c>
      <x:c r="L97" s="61">
        <x:f>F97*K97</x:f>
        <x:v>378</x:v>
      </x:c>
      <x:c r="M97" s="65">
        <x:f>IF(B97=11,0,MIN($E$28,$E$26+$E$27*(A97-1)))</x:f>
        <x:v>2.1999999999999999E-2</x:v>
      </x:c>
      <x:c r="N97" s="61">
        <x:f>IF(B97=11,$E$22,0)</x:f>
        <x:v>0</x:v>
      </x:c>
      <x:c r="O97" s="61">
        <x:f>IF(B97=11,0,ROUNDDOWN(ROUND(I97*$E$23*(1+$E$39*$E$61),6),0))</x:f>
        <x:v>2790</x:v>
      </x:c>
      <x:c r="P97" s="63">
        <x:f>8589934592+A97*65536+B97</x:f>
        <x:v>8590131208</x:v>
      </x:c>
    </x:row>
    <x:row r="98" ht="30" customHeight="1">
      <x:c r="A98" s="62" t="n">
        <x:v>3</x:v>
      </x:c>
      <x:c r="B98" s="62" t="n">
        <x:v>9</x:v>
      </x:c>
      <x:c r="C98" s="62">
        <x:f>11*(A98-1)+B98</x:f>
        <x:v>31</x:v>
      </x:c>
      <x:c r="D98" s="60" t="str">
        <x:v>신규 오크</x:v>
      </x:c>
      <x:c r="E98" s="60" t="str">
        <x:v>일반</x:v>
      </x:c>
      <x:c r="F98" s="60" t="n">
        <x:v>20</x:v>
      </x:c>
      <x:c r="G98" s="60">
        <x:f>ROUNDUP(ROUND($E$10*$E$11^(C98-1)*IF(B98=11,$E$18,1),6),0)</x:f>
        <x:v>1396</x:v>
      </x:c>
      <x:c r="H98" s="60">
        <x:f>ROUNDUP(ROUND($E$12*$E$13^(C98-1)*IF(B98=11,$E$19,1),6),0)</x:f>
        <x:v>34</x:v>
      </x:c>
      <x:c r="I98" s="60">
        <x:f>ROUNDDOWN(ROUND($E$14*$E$15^(C98-1)*IF(B98=11,$E$20,1),6),0)</x:f>
        <x:v>100</x:v>
      </x:c>
      <x:c r="J98" s="60">
        <x:f>F98*I98</x:f>
        <x:v>2000</x:v>
      </x:c>
      <x:c r="K98" s="60">
        <x:f>ROUNDDOWN(ROUND($E$16*$E$17^(C98-1)*IF(B98=11,$E$21,1),6),0)</x:f>
        <x:v>22</x:v>
      </x:c>
      <x:c r="L98" s="60">
        <x:f>F98*K98</x:f>
        <x:v>440</x:v>
      </x:c>
      <x:c r="M98" s="64">
        <x:f>IF(B98=11,0,MIN($E$28,$E$26+$E$27*(A98-1)))</x:f>
        <x:v>2.1999999999999999E-2</x:v>
      </x:c>
      <x:c r="N98" s="60">
        <x:f>IF(B98=11,$E$22,0)</x:f>
        <x:v>0</x:v>
      </x:c>
      <x:c r="O98" s="60">
        <x:f>IF(B98=11,0,ROUNDDOWN(ROUND(I98*$E$23*(1+$E$39*$E$61),6),0))</x:f>
        <x:v>3000</x:v>
      </x:c>
      <x:c r="P98" s="62">
        <x:f>8589934592+A98*65536+B98</x:f>
        <x:v>8590131209</x:v>
      </x:c>
    </x:row>
    <x:row r="99" ht="30" customHeight="1">
      <x:c r="A99" s="63" t="n">
        <x:v>3</x:v>
      </x:c>
      <x:c r="B99" s="63" t="n">
        <x:v>10</x:v>
      </x:c>
      <x:c r="C99" s="63">
        <x:f>11*(A99-1)+B99</x:f>
        <x:v>32</x:v>
      </x:c>
      <x:c r="D99" s="61" t="str">
        <x:v>신규 오크</x:v>
      </x:c>
      <x:c r="E99" s="61" t="str">
        <x:v>일반</x:v>
      </x:c>
      <x:c r="F99" s="61" t="n">
        <x:v>24</x:v>
      </x:c>
      <x:c r="G99" s="61">
        <x:f>ROUNDUP(ROUND($E$10*$E$11^(C99-1)*IF(B99=11,$E$18,1),6),0)</x:f>
        <x:v>1536</x:v>
      </x:c>
      <x:c r="H99" s="61">
        <x:f>ROUNDUP(ROUND($E$12*$E$13^(C99-1)*IF(B99=11,$E$19,1),6),0)</x:f>
        <x:v>36</x:v>
      </x:c>
      <x:c r="I99" s="61">
        <x:f>ROUNDDOWN(ROUND($E$14*$E$15^(C99-1)*IF(B99=11,$E$20,1),6),0)</x:f>
        <x:v>108</x:v>
      </x:c>
      <x:c r="J99" s="61">
        <x:f>F99*I99</x:f>
        <x:v>2592</x:v>
      </x:c>
      <x:c r="K99" s="61">
        <x:f>ROUNDDOWN(ROUND($E$16*$E$17^(C99-1)*IF(B99=11,$E$21,1),6),0)</x:f>
        <x:v>24</x:v>
      </x:c>
      <x:c r="L99" s="61">
        <x:f>F99*K99</x:f>
        <x:v>576</x:v>
      </x:c>
      <x:c r="M99" s="65">
        <x:f>IF(B99=11,0,MIN($E$28,$E$26+$E$27*(A99-1)))</x:f>
        <x:v>2.1999999999999999E-2</x:v>
      </x:c>
      <x:c r="N99" s="61">
        <x:f>IF(B99=11,$E$22,0)</x:f>
        <x:v>0</x:v>
      </x:c>
      <x:c r="O99" s="61">
        <x:f>IF(B99=11,0,ROUNDDOWN(ROUND(I99*$E$23*(1+$E$39*$E$61),6),0))</x:f>
        <x:v>3240</x:v>
      </x:c>
      <x:c r="P99" s="63">
        <x:f>8589934592+A99*65536+B99</x:f>
        <x:v>8590131210</x:v>
      </x:c>
    </x:row>
    <x:row r="100" ht="30" customHeight="1">
      <x:c r="A100" s="62" t="n">
        <x:v>3</x:v>
      </x:c>
      <x:c r="B100" s="62" t="n">
        <x:v>11</x:v>
      </x:c>
      <x:c r="C100" s="62">
        <x:f>11*(A100-1)+B100</x:f>
        <x:v>33</x:v>
      </x:c>
      <x:c r="D100" s="60" t="str">
        <x:v>신규 오크</x:v>
      </x:c>
      <x:c r="E100" s="60" t="str">
        <x:v>보스</x:v>
      </x:c>
      <x:c r="F100" s="60" t="n">
        <x:v>1</x:v>
      </x:c>
      <x:c r="G100" s="60">
        <x:f>ROUNDUP(ROUND($E$10*$E$11^(C100-1)*IF(B100=11,$E$18,1),6),0)</x:f>
        <x:v>30404</x:v>
      </x:c>
      <x:c r="H100" s="60">
        <x:f>ROUNDUP(ROUND($E$12*$E$13^(C100-1)*IF(B100=11,$E$19,1),6),0)</x:f>
        <x:v>113</x:v>
      </x:c>
      <x:c r="I100" s="60">
        <x:f>ROUNDDOWN(ROUND($E$14*$E$15^(C100-1)*IF(B100=11,$E$20,1),6),0)</x:f>
        <x:v>1173</x:v>
      </x:c>
      <x:c r="J100" s="60">
        <x:f>F100*I100</x:f>
        <x:v>1173</x:v>
      </x:c>
      <x:c r="K100" s="60">
        <x:f>ROUNDDOWN(ROUND($E$16*$E$17^(C100-1)*IF(B100=11,$E$21,1),6),0)</x:f>
        <x:v>522</x:v>
      </x:c>
      <x:c r="L100" s="60">
        <x:f>F100*K100</x:f>
        <x:v>522</x:v>
      </x:c>
      <x:c r="M100" s="64">
        <x:f>IF(B100=11,0,MIN($E$28,$E$26+$E$27*(A100-1)))</x:f>
        <x:v>0</x:v>
      </x:c>
      <x:c r="N100" s="60">
        <x:f>IF(B100=11,$E$22,0)</x:f>
        <x:v>60</x:v>
      </x:c>
      <x:c r="O100" s="60">
        <x:f>IF(B100=11,0,ROUNDDOWN(ROUND(I100*$E$23*(1+$E$39*$E$61),6),0))</x:f>
        <x:v>0</x:v>
      </x:c>
      <x:c r="P100" s="62">
        <x:f>8589934592+A100*65536+B100</x:f>
        <x:v>8590131211</x:v>
      </x:c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  <x:c r="L101" s="60"/>
      <x:c r="M101" s="60"/>
      <x:c r="N101" s="60"/>
      <x:c r="O101" s="60"/>
      <x:c r="P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  <x:c r="L102" s="60"/>
      <x:c r="M102" s="60"/>
      <x:c r="N102" s="60"/>
      <x:c r="O102" s="60"/>
      <x:c r="P102" s="60"/>
    </x:row>
    <x:row r="103" ht="28" customHeight="1">
      <x:c r="A103" s="82" t="str">
        <x:v>03 · 메인 적 편성 — 신규 등록이 필요한 제작용 키</x:v>
      </x:c>
      <x:c r="B103" s="82"/>
      <x:c r="C103" s="82"/>
      <x:c r="D103" s="82"/>
      <x:c r="E103" s="82"/>
      <x:c r="F103" s="82"/>
      <x:c r="G103" s="82"/>
      <x:c r="H103" s="82"/>
      <x:c r="I103" s="82"/>
      <x:c r="J103" s="82"/>
      <x:c r="K103" s="82"/>
      <x:c r="L103" s="82"/>
      <x:c r="M103" s="82"/>
      <x:c r="N103" s="82"/>
      <x:c r="O103" s="82"/>
      <x:c r="P103" s="82"/>
    </x:row>
    <x:row r="104" ht="34" customHeight="1">
      <x:c r="A104" s="53" t="str">
        <x:v>W1~3 원거리0%, W4~7 25%, W8~10 40%. 원거리=floor(총수×비율), 근접=나머지. 일반 역할의 HP/ATK/보상 배율은 모두1.0.</x:v>
      </x:c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</x:row>
    <x:row r="105" ht="34" customHeight="1">
      <x:c r="A105" s="59" t="str">
        <x:v>S</x:v>
      </x:c>
      <x:c r="B105" s="59" t="str">
        <x:v>종류</x:v>
      </x:c>
      <x:c r="C105" s="59" t="str">
        <x:v>제작용 코드</x:v>
      </x:c>
      <x:c r="D105" s="59"/>
      <x:c r="E105" s="59"/>
      <x:c r="F105" s="59"/>
      <x:c r="G105" s="59"/>
      <x:c r="H105" s="59"/>
      <x:c r="I105" s="59" t="str">
        <x:v>표시 이름</x:v>
      </x:c>
      <x:c r="J105" s="59"/>
      <x:c r="K105" s="59"/>
      <x:c r="L105" s="59" t="str">
        <x:v>상태</x:v>
      </x:c>
      <x:c r="M105" s="59"/>
      <x:c r="N105" s="59"/>
      <x:c r="O105" s="59"/>
      <x:c r="P105" s="59"/>
    </x:row>
    <x:row r="106" ht="44" customHeight="1">
      <x:c r="A106" s="68" t="n">
        <x:v>1</x:v>
      </x:c>
      <x:c r="B106" s="68" t="str">
        <x:v>근접</x:v>
      </x:c>
      <x:c r="C106" s="68" t="str">
        <x:v>BETA_BANDIT_MELEE</x:v>
      </x:c>
      <x:c r="D106" s="68"/>
      <x:c r="E106" s="68"/>
      <x:c r="F106" s="68"/>
      <x:c r="G106" s="68"/>
      <x:c r="H106" s="68"/>
      <x:c r="I106" s="68" t="str">
        <x:v>산적 전사</x:v>
      </x:c>
      <x:c r="J106" s="68"/>
      <x:c r="K106" s="68"/>
      <x:c r="L106" s="68" t="str">
        <x:v>기존 산적 재연결</x:v>
      </x:c>
      <x:c r="M106" s="68"/>
      <x:c r="N106" s="68"/>
      <x:c r="O106" s="68"/>
      <x:c r="P106" s="68"/>
    </x:row>
    <x:row r="107" ht="44" customHeight="1">
      <x:c r="A107" s="71" t="n">
        <x:v>1</x:v>
      </x:c>
      <x:c r="B107" s="71" t="str">
        <x:v>원거리</x:v>
      </x:c>
      <x:c r="C107" s="71" t="str">
        <x:v>BETA_BANDIT_RANGED</x:v>
      </x:c>
      <x:c r="D107" s="71"/>
      <x:c r="E107" s="71"/>
      <x:c r="F107" s="71"/>
      <x:c r="G107" s="71"/>
      <x:c r="H107" s="71"/>
      <x:c r="I107" s="71" t="str">
        <x:v>산적 궁수</x:v>
      </x:c>
      <x:c r="J107" s="71"/>
      <x:c r="K107" s="71"/>
      <x:c r="L107" s="71" t="str">
        <x:v>기존 산적 재연결</x:v>
      </x:c>
      <x:c r="M107" s="71"/>
      <x:c r="N107" s="71"/>
      <x:c r="O107" s="71"/>
      <x:c r="P107" s="71"/>
    </x:row>
    <x:row r="108" ht="44" customHeight="1">
      <x:c r="A108" s="68" t="n">
        <x:v>1</x:v>
      </x:c>
      <x:c r="B108" s="68" t="str">
        <x:v>보스</x:v>
      </x:c>
      <x:c r="C108" s="68" t="str">
        <x:v>BETA_BANDIT_BOSS</x:v>
      </x:c>
      <x:c r="D108" s="68"/>
      <x:c r="E108" s="68"/>
      <x:c r="F108" s="68"/>
      <x:c r="G108" s="68"/>
      <x:c r="H108" s="68"/>
      <x:c r="I108" s="68" t="str">
        <x:v>산적 왕</x:v>
      </x:c>
      <x:c r="J108" s="68"/>
      <x:c r="K108" s="68"/>
      <x:c r="L108" s="68" t="str">
        <x:v>기존 산적 보스 재연결</x:v>
      </x:c>
      <x:c r="M108" s="68"/>
      <x:c r="N108" s="68"/>
      <x:c r="O108" s="68"/>
      <x:c r="P108" s="68"/>
    </x:row>
    <x:row r="109" ht="44" customHeight="1">
      <x:c r="A109" s="71" t="n">
        <x:v>2</x:v>
      </x:c>
      <x:c r="B109" s="71" t="str">
        <x:v>근접</x:v>
      </x:c>
      <x:c r="C109" s="71" t="str">
        <x:v>BETA_GOBLIN_MELEE</x:v>
      </x:c>
      <x:c r="D109" s="71"/>
      <x:c r="E109" s="71"/>
      <x:c r="F109" s="71"/>
      <x:c r="G109" s="71"/>
      <x:c r="H109" s="71"/>
      <x:c r="I109" s="71" t="str">
        <x:v>고블린 전사</x:v>
      </x:c>
      <x:c r="J109" s="71"/>
      <x:c r="K109" s="71"/>
      <x:c r="L109" s="71" t="str">
        <x:v>신규 에셋·코드 필요</x:v>
      </x:c>
      <x:c r="M109" s="71"/>
      <x:c r="N109" s="71"/>
      <x:c r="O109" s="71"/>
      <x:c r="P109" s="71"/>
    </x:row>
    <x:row r="110" ht="44" customHeight="1">
      <x:c r="A110" s="68" t="n">
        <x:v>2</x:v>
      </x:c>
      <x:c r="B110" s="68" t="str">
        <x:v>원거리</x:v>
      </x:c>
      <x:c r="C110" s="68" t="str">
        <x:v>BETA_GOBLIN_RANGED</x:v>
      </x:c>
      <x:c r="D110" s="68"/>
      <x:c r="E110" s="68"/>
      <x:c r="F110" s="68"/>
      <x:c r="G110" s="68"/>
      <x:c r="H110" s="68"/>
      <x:c r="I110" s="68" t="str">
        <x:v>고블린 사수</x:v>
      </x:c>
      <x:c r="J110" s="68"/>
      <x:c r="K110" s="68"/>
      <x:c r="L110" s="68" t="str">
        <x:v>신규 에셋·코드 필요</x:v>
      </x:c>
      <x:c r="M110" s="68"/>
      <x:c r="N110" s="68"/>
      <x:c r="O110" s="68"/>
      <x:c r="P110" s="68"/>
    </x:row>
    <x:row r="111" ht="44" customHeight="1">
      <x:c r="A111" s="71" t="n">
        <x:v>2</x:v>
      </x:c>
      <x:c r="B111" s="71" t="str">
        <x:v>보스</x:v>
      </x:c>
      <x:c r="C111" s="71" t="str">
        <x:v>BETA_GOBLIN_BOSS</x:v>
      </x:c>
      <x:c r="D111" s="71"/>
      <x:c r="E111" s="71"/>
      <x:c r="F111" s="71"/>
      <x:c r="G111" s="71"/>
      <x:c r="H111" s="71"/>
      <x:c r="I111" s="71" t="str">
        <x:v>고블린 우두머리</x:v>
      </x:c>
      <x:c r="J111" s="71"/>
      <x:c r="K111" s="71"/>
      <x:c r="L111" s="71" t="str">
        <x:v>신규 에셋·코드 필요</x:v>
      </x:c>
      <x:c r="M111" s="71"/>
      <x:c r="N111" s="71"/>
      <x:c r="O111" s="71"/>
      <x:c r="P111" s="71"/>
    </x:row>
    <x:row r="112" ht="44" customHeight="1">
      <x:c r="A112" s="68" t="n">
        <x:v>3</x:v>
      </x:c>
      <x:c r="B112" s="68" t="str">
        <x:v>근접</x:v>
      </x:c>
      <x:c r="C112" s="68" t="str">
        <x:v>BETA_ORC_MELEE</x:v>
      </x:c>
      <x:c r="D112" s="68"/>
      <x:c r="E112" s="68"/>
      <x:c r="F112" s="68"/>
      <x:c r="G112" s="68"/>
      <x:c r="H112" s="68"/>
      <x:c r="I112" s="68" t="str">
        <x:v>신규 오크 전사</x:v>
      </x:c>
      <x:c r="J112" s="68"/>
      <x:c r="K112" s="68"/>
      <x:c r="L112" s="68" t="str">
        <x:v>기존 오크 전량 폐기 후 신규</x:v>
      </x:c>
      <x:c r="M112" s="68"/>
      <x:c r="N112" s="68"/>
      <x:c r="O112" s="68"/>
      <x:c r="P112" s="68"/>
    </x:row>
    <x:row r="113" ht="44" customHeight="1">
      <x:c r="A113" s="71" t="n">
        <x:v>3</x:v>
      </x:c>
      <x:c r="B113" s="71" t="str">
        <x:v>원거리</x:v>
      </x:c>
      <x:c r="C113" s="71" t="str">
        <x:v>BETA_ORC_RANGED</x:v>
      </x:c>
      <x:c r="D113" s="71"/>
      <x:c r="E113" s="71"/>
      <x:c r="F113" s="71"/>
      <x:c r="G113" s="71"/>
      <x:c r="H113" s="71"/>
      <x:c r="I113" s="71" t="str">
        <x:v>신규 오크 사수</x:v>
      </x:c>
      <x:c r="J113" s="71"/>
      <x:c r="K113" s="71"/>
      <x:c r="L113" s="71" t="str">
        <x:v>기존 오크 전량 폐기 후 신규</x:v>
      </x:c>
      <x:c r="M113" s="71"/>
      <x:c r="N113" s="71"/>
      <x:c r="O113" s="71"/>
      <x:c r="P113" s="71"/>
    </x:row>
    <x:row r="114" ht="44" customHeight="1">
      <x:c r="A114" s="68" t="n">
        <x:v>3</x:v>
      </x:c>
      <x:c r="B114" s="68" t="str">
        <x:v>보스</x:v>
      </x:c>
      <x:c r="C114" s="68" t="str">
        <x:v>BETA_ORC_BOSS</x:v>
      </x:c>
      <x:c r="D114" s="68"/>
      <x:c r="E114" s="68"/>
      <x:c r="F114" s="68"/>
      <x:c r="G114" s="68"/>
      <x:c r="H114" s="68"/>
      <x:c r="I114" s="68" t="str">
        <x:v>신규 오크 대장</x:v>
      </x:c>
      <x:c r="J114" s="68"/>
      <x:c r="K114" s="68"/>
      <x:c r="L114" s="68" t="str">
        <x:v>기존 ORC_KING 재활용 승인 아님</x:v>
      </x:c>
      <x:c r="M114" s="68"/>
      <x:c r="N114" s="68"/>
      <x:c r="O114" s="68"/>
      <x:c r="P114" s="68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  <x:c r="L115" s="60"/>
      <x:c r="M115" s="60"/>
      <x:c r="N115" s="60"/>
      <x:c r="O115" s="60"/>
      <x:c r="P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  <x:c r="L116" s="60"/>
      <x:c r="M116" s="60"/>
      <x:c r="N116" s="60"/>
      <x:c r="O116" s="60"/>
      <x:c r="P116" s="60"/>
    </x:row>
    <x:row r="117" ht="28" customHeight="1">
      <x:c r="A117" s="82" t="str">
        <x:v>04 · 골드 던전 — 유한 미믹20체 / 처치 즉시 확정</x:v>
      </x:c>
      <x:c r="B117" s="82"/>
      <x:c r="C117" s="82"/>
      <x:c r="D117" s="82"/>
      <x:c r="E117" s="82"/>
      <x:c r="F117" s="82"/>
      <x:c r="G117" s="82"/>
      <x:c r="H117" s="82"/>
      <x:c r="I117" s="82"/>
      <x:c r="J117" s="82"/>
      <x:c r="K117" s="82"/>
      <x:c r="L117" s="82"/>
      <x:c r="M117" s="82"/>
      <x:c r="N117" s="82"/>
      <x:c r="O117" s="82"/>
      <x:c r="P117" s="82"/>
    </x:row>
    <x:row r="118" ht="34" customHeight="1">
      <x:c r="A118" s="53" t="str">
        <x:v>5체×4묶음, 전멸 시 다음 묶음0.3초 이내 생성. 전체60초는 계속 흐름. 실패·전멸해도 KillId별 획득 Gold 보존, 모두 처치해야 다음단계.</x:v>
      </x:c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</x:row>
    <x:row r="119" ht="34" customHeight="1">
      <x:c r="A119" s="59" t="str">
        <x:v>단계</x:v>
      </x:c>
      <x:c r="B119" s="59" t="str">
        <x:v>미믹수</x:v>
      </x:c>
      <x:c r="C119" s="59" t="str">
        <x:v>1체 HP</x:v>
      </x:c>
      <x:c r="D119" s="59" t="str">
        <x:v>1체 ATK</x:v>
      </x:c>
      <x:c r="E119" s="59" t="str">
        <x:v>제한 초</x:v>
      </x:c>
      <x:c r="F119" s="59" t="str">
        <x:v>1체 Gold</x:v>
      </x:c>
      <x:c r="G119" s="59" t="str">
        <x:v>전체 Gold</x:v>
      </x:c>
      <x:c r="H119" s="59" t="str">
        <x:v>드롭률</x:v>
      </x:c>
      <x:c r="I119" s="59" t="str">
        <x:v>EXP</x:v>
      </x:c>
      <x:c r="J119" s="59" t="str">
        <x:v>주화</x:v>
      </x:c>
      <x:c r="K119" s="59" t="str">
        <x:v>장비율</x:v>
      </x:c>
      <x:c r="L119" s="59" t="str">
        <x:v>일일권</x:v>
      </x:c>
      <x:c r="M119" s="59" t="str">
        <x:v>1일2회 Gold</x:v>
      </x:c>
      <x:c r="N119" s="60"/>
      <x:c r="O119" s="60"/>
      <x:c r="P119" s="60"/>
    </x:row>
    <x:row r="120" ht="30" customHeight="1">
      <x:c r="A120" s="60" t="n">
        <x:v>1</x:v>
      </x:c>
      <x:c r="B120" s="60">
        <x:f>$E$41</x:f>
        <x:v>20</x:v>
      </x:c>
      <x:c r="C120" s="60">
        <x:f>ROUNDUP(ROUND($E$42*$E$43^(A120-1),6),0)</x:f>
        <x:v>500</x:v>
      </x:c>
      <x:c r="D120" s="60">
        <x:f>ROUNDUP(ROUND($E$44*$E$45^(A120-1),6),0)</x:f>
        <x:v>6</x:v>
      </x:c>
      <x:c r="E120" s="60">
        <x:f>$E$48</x:f>
        <x:v>60</x:v>
      </x:c>
      <x:c r="F120" s="60">
        <x:f>ROUNDDOWN(ROUND($E$46*$E$47^(A120-1),6),0)</x:f>
        <x:v>450</x:v>
      </x:c>
      <x:c r="G120" s="60">
        <x:f>B120*F120</x:f>
        <x:v>9000</x:v>
      </x:c>
      <x:c r="H120" s="72" t="n">
        <x:v>1</x:v>
      </x:c>
      <x:c r="I120" s="60" t="n">
        <x:v>0</x:v>
      </x:c>
      <x:c r="J120" s="60" t="n">
        <x:v>0</x:v>
      </x:c>
      <x:c r="K120" s="72" t="n">
        <x:v>0</x:v>
      </x:c>
      <x:c r="L120" s="60">
        <x:f>$E$60</x:f>
        <x:v>2</x:v>
      </x:c>
      <x:c r="M120" s="60">
        <x:f>G120*L120</x:f>
        <x:v>18000</x:v>
      </x:c>
      <x:c r="N120" s="60"/>
      <x:c r="O120" s="60"/>
      <x:c r="P120" s="60"/>
    </x:row>
    <x:row r="121" ht="30" customHeight="1">
      <x:c r="A121" s="61" t="n">
        <x:v>2</x:v>
      </x:c>
      <x:c r="B121" s="61">
        <x:f>$E$41</x:f>
        <x:v>20</x:v>
      </x:c>
      <x:c r="C121" s="61">
        <x:f>ROUNDUP(ROUND($E$42*$E$43^(A121-1),6),0)</x:f>
        <x:v>1000</x:v>
      </x:c>
      <x:c r="D121" s="61">
        <x:f>ROUNDUP(ROUND($E$44*$E$45^(A121-1),6),0)</x:f>
        <x:v>9</x:v>
      </x:c>
      <x:c r="E121" s="61">
        <x:f>$E$48</x:f>
        <x:v>60</x:v>
      </x:c>
      <x:c r="F121" s="61">
        <x:f>ROUNDDOWN(ROUND($E$46*$E$47^(A121-1),6),0)</x:f>
        <x:v>720</x:v>
      </x:c>
      <x:c r="G121" s="61">
        <x:f>B121*F121</x:f>
        <x:v>14400</x:v>
      </x:c>
      <x:c r="H121" s="73" t="n">
        <x:v>1</x:v>
      </x:c>
      <x:c r="I121" s="61" t="n">
        <x:v>0</x:v>
      </x:c>
      <x:c r="J121" s="61" t="n">
        <x:v>0</x:v>
      </x:c>
      <x:c r="K121" s="73" t="n">
        <x:v>0</x:v>
      </x:c>
      <x:c r="L121" s="61">
        <x:f>$E$60</x:f>
        <x:v>2</x:v>
      </x:c>
      <x:c r="M121" s="61">
        <x:f>G121*L121</x:f>
        <x:v>28800</x:v>
      </x:c>
      <x:c r="N121" s="60"/>
      <x:c r="O121" s="60"/>
      <x:c r="P121" s="60"/>
    </x:row>
    <x:row r="122" ht="30" customHeight="1">
      <x:c r="A122" s="60" t="n">
        <x:v>3</x:v>
      </x:c>
      <x:c r="B122" s="60">
        <x:f>$E$41</x:f>
        <x:v>20</x:v>
      </x:c>
      <x:c r="C122" s="60">
        <x:f>ROUNDUP(ROUND($E$42*$E$43^(A122-1),6),0)</x:f>
        <x:v>2000</x:v>
      </x:c>
      <x:c r="D122" s="60">
        <x:f>ROUNDUP(ROUND($E$44*$E$45^(A122-1),6),0)</x:f>
        <x:v>11</x:v>
      </x:c>
      <x:c r="E122" s="60">
        <x:f>$E$48</x:f>
        <x:v>60</x:v>
      </x:c>
      <x:c r="F122" s="60">
        <x:f>ROUNDDOWN(ROUND($E$46*$E$47^(A122-1),6),0)</x:f>
        <x:v>1152</x:v>
      </x:c>
      <x:c r="G122" s="60">
        <x:f>B122*F122</x:f>
        <x:v>23040</x:v>
      </x:c>
      <x:c r="H122" s="72" t="n">
        <x:v>1</x:v>
      </x:c>
      <x:c r="I122" s="60" t="n">
        <x:v>0</x:v>
      </x:c>
      <x:c r="J122" s="60" t="n">
        <x:v>0</x:v>
      </x:c>
      <x:c r="K122" s="72" t="n">
        <x:v>0</x:v>
      </x:c>
      <x:c r="L122" s="60">
        <x:f>$E$60</x:f>
        <x:v>2</x:v>
      </x:c>
      <x:c r="M122" s="60">
        <x:f>G122*L122</x:f>
        <x:v>46080</x:v>
      </x:c>
      <x:c r="N122" s="60"/>
      <x:c r="O122" s="60"/>
      <x:c r="P122" s="60"/>
    </x:row>
    <x:row r="123" ht="30" customHeight="1">
      <x:c r="A123" s="61" t="n">
        <x:v>4</x:v>
      </x:c>
      <x:c r="B123" s="61">
        <x:f>$E$41</x:f>
        <x:v>20</x:v>
      </x:c>
      <x:c r="C123" s="61">
        <x:f>ROUNDUP(ROUND($E$42*$E$43^(A123-1),6),0)</x:f>
        <x:v>4000</x:v>
      </x:c>
      <x:c r="D123" s="61">
        <x:f>ROUNDUP(ROUND($E$44*$E$45^(A123-1),6),0)</x:f>
        <x:v>15</x:v>
      </x:c>
      <x:c r="E123" s="61">
        <x:f>$E$48</x:f>
        <x:v>60</x:v>
      </x:c>
      <x:c r="F123" s="61">
        <x:f>ROUNDDOWN(ROUND($E$46*$E$47^(A123-1),6),0)</x:f>
        <x:v>1843</x:v>
      </x:c>
      <x:c r="G123" s="61">
        <x:f>B123*F123</x:f>
        <x:v>36860</x:v>
      </x:c>
      <x:c r="H123" s="73" t="n">
        <x:v>1</x:v>
      </x:c>
      <x:c r="I123" s="61" t="n">
        <x:v>0</x:v>
      </x:c>
      <x:c r="J123" s="61" t="n">
        <x:v>0</x:v>
      </x:c>
      <x:c r="K123" s="73" t="n">
        <x:v>0</x:v>
      </x:c>
      <x:c r="L123" s="61">
        <x:f>$E$60</x:f>
        <x:v>2</x:v>
      </x:c>
      <x:c r="M123" s="61">
        <x:f>G123*L123</x:f>
        <x:v>73720</x:v>
      </x:c>
      <x:c r="N123" s="60"/>
      <x:c r="O123" s="60"/>
      <x:c r="P123" s="60"/>
    </x:row>
    <x:row r="124" ht="30" customHeight="1">
      <x:c r="A124" s="60" t="n">
        <x:v>5</x:v>
      </x:c>
      <x:c r="B124" s="60">
        <x:f>$E$41</x:f>
        <x:v>20</x:v>
      </x:c>
      <x:c r="C124" s="60">
        <x:f>ROUNDUP(ROUND($E$42*$E$43^(A124-1),6),0)</x:f>
        <x:v>8000</x:v>
      </x:c>
      <x:c r="D124" s="60">
        <x:f>ROUNDUP(ROUND($E$44*$E$45^(A124-1),6),0)</x:f>
        <x:v>20</x:v>
      </x:c>
      <x:c r="E124" s="60">
        <x:f>$E$48</x:f>
        <x:v>60</x:v>
      </x:c>
      <x:c r="F124" s="60">
        <x:f>ROUNDDOWN(ROUND($E$46*$E$47^(A124-1),6),0)</x:f>
        <x:v>2949</x:v>
      </x:c>
      <x:c r="G124" s="60">
        <x:f>B124*F124</x:f>
        <x:v>58980</x:v>
      </x:c>
      <x:c r="H124" s="72" t="n">
        <x:v>1</x:v>
      </x:c>
      <x:c r="I124" s="60" t="n">
        <x:v>0</x:v>
      </x:c>
      <x:c r="J124" s="60" t="n">
        <x:v>0</x:v>
      </x:c>
      <x:c r="K124" s="72" t="n">
        <x:v>0</x:v>
      </x:c>
      <x:c r="L124" s="60">
        <x:f>$E$60</x:f>
        <x:v>2</x:v>
      </x:c>
      <x:c r="M124" s="60">
        <x:f>G124*L124</x:f>
        <x:v>117960</x:v>
      </x:c>
      <x:c r="N124" s="60"/>
      <x:c r="O124" s="60"/>
      <x:c r="P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  <x:c r="L125" s="60"/>
      <x:c r="M125" s="60"/>
      <x:c r="N125" s="60"/>
      <x:c r="O125" s="60"/>
      <x:c r="P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  <x:c r="L126" s="60"/>
      <x:c r="M126" s="60"/>
      <x:c r="N126" s="60"/>
      <x:c r="O126" s="60"/>
      <x:c r="P126" s="60"/>
    </x:row>
    <x:row r="127" ht="28" customHeight="1">
      <x:c r="A127" s="82" t="str">
        <x:v>05 · 루비 던전 — 보스1→2→3 / 각 보스 새30초</x:v>
      </x:c>
      <x:c r="B127" s="82"/>
      <x:c r="C127" s="82"/>
      <x:c r="D127" s="82"/>
      <x:c r="E127" s="82"/>
      <x:c r="F127" s="82"/>
      <x:c r="G127" s="82"/>
      <x:c r="H127" s="82"/>
      <x:c r="I127" s="82"/>
      <x:c r="J127" s="82"/>
      <x:c r="K127" s="82"/>
      <x:c r="L127" s="82"/>
      <x:c r="M127" s="82"/>
      <x:c r="N127" s="82"/>
      <x:c r="O127" s="82"/>
      <x:c r="P127" s="82"/>
    </x:row>
    <x:row r="128" ht="34" customHeight="1">
      <x:c r="A128" s="53" t="str">
        <x:v>HP와 쿨타임은 보스 사이에 이어짐. 전환0.8초는 다음 타이머 제외. 일부 실패 Ruby0. 최종 클리어 시 반복+계정 최초추가, 각1회만 지급.</x:v>
      </x:c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</x:row>
    <x:row r="129" ht="34" customHeight="1">
      <x:c r="A129" s="59" t="str">
        <x:v>단계</x:v>
      </x:c>
      <x:c r="B129" s="59" t="str">
        <x:v>보스순번</x:v>
      </x:c>
      <x:c r="C129" s="59" t="str">
        <x:v>보스 코드</x:v>
      </x:c>
      <x:c r="D129" s="59" t="str">
        <x:v>HP</x:v>
      </x:c>
      <x:c r="E129" s="59" t="str">
        <x:v>ATK</x:v>
      </x:c>
      <x:c r="F129" s="59" t="str">
        <x:v>제한 초</x:v>
      </x:c>
      <x:c r="G129" s="59" t="str">
        <x:v>기본 간격</x:v>
      </x:c>
      <x:c r="H129" s="59" t="str">
        <x:v>넉백</x:v>
      </x:c>
      <x:c r="I129" s="59" t="str">
        <x:v>개별 Ruby</x:v>
      </x:c>
      <x:c r="J129" s="60"/>
      <x:c r="K129" s="60"/>
      <x:c r="L129" s="60"/>
      <x:c r="M129" s="60"/>
      <x:c r="N129" s="60"/>
      <x:c r="O129" s="60"/>
      <x:c r="P129" s="60"/>
    </x:row>
    <x:row r="130" ht="30" customHeight="1">
      <x:c r="A130" s="60" t="n">
        <x:v>1</x:v>
      </x:c>
      <x:c r="B130" s="60" t="n">
        <x:v>1</x:v>
      </x:c>
      <x:c r="C130" s="60" t="str">
        <x:v>BETA_BANDIT_BOSS</x:v>
      </x:c>
      <x:c r="D130" s="60">
        <x:f>ROUNDUP(ROUND($E$49*$E$52^(A130-1),6),0)</x:f>
        <x:v>1200</x:v>
      </x:c>
      <x:c r="E130" s="60">
        <x:f>ROUNDUP(ROUND($E$53*$E$45^(A130-1),6),0)</x:f>
        <x:v>12</x:v>
      </x:c>
      <x:c r="F130" s="60">
        <x:f>$E$56</x:f>
        <x:v>30</x:v>
      </x:c>
      <x:c r="G130" s="74" t="n">
        <x:v>1.5</x:v>
      </x:c>
      <x:c r="H130" s="60" t="str">
        <x:v>면역</x:v>
      </x:c>
      <x:c r="I130" s="60" t="n">
        <x:v>0</x:v>
      </x:c>
      <x:c r="J130" s="60"/>
      <x:c r="K130" s="60"/>
      <x:c r="L130" s="60"/>
      <x:c r="M130" s="60"/>
      <x:c r="N130" s="60"/>
      <x:c r="O130" s="60"/>
      <x:c r="P130" s="60"/>
    </x:row>
    <x:row r="131" ht="30" customHeight="1">
      <x:c r="A131" s="61" t="n">
        <x:v>1</x:v>
      </x:c>
      <x:c r="B131" s="61" t="n">
        <x:v>2</x:v>
      </x:c>
      <x:c r="C131" s="61" t="str">
        <x:v>BETA_GOBLIN_BOSS</x:v>
      </x:c>
      <x:c r="D131" s="61">
        <x:f>ROUNDUP(ROUND($E$50*$E$52^(A131-1),6),0)</x:f>
        <x:v>1800</x:v>
      </x:c>
      <x:c r="E131" s="61">
        <x:f>ROUNDUP(ROUND($E$54*$E$45^(A131-1),6),0)</x:f>
        <x:v>15</x:v>
      </x:c>
      <x:c r="F131" s="61">
        <x:f>$E$56</x:f>
        <x:v>30</x:v>
      </x:c>
      <x:c r="G131" s="75" t="n">
        <x:v>1.5</x:v>
      </x:c>
      <x:c r="H131" s="61" t="str">
        <x:v>면역</x:v>
      </x:c>
      <x:c r="I131" s="61" t="n">
        <x:v>0</x:v>
      </x:c>
      <x:c r="J131" s="60"/>
      <x:c r="K131" s="60"/>
      <x:c r="L131" s="60"/>
      <x:c r="M131" s="60"/>
      <x:c r="N131" s="60"/>
      <x:c r="O131" s="60"/>
      <x:c r="P131" s="60"/>
    </x:row>
    <x:row r="132" ht="30" customHeight="1">
      <x:c r="A132" s="60" t="n">
        <x:v>1</x:v>
      </x:c>
      <x:c r="B132" s="60" t="n">
        <x:v>3</x:v>
      </x:c>
      <x:c r="C132" s="60" t="str">
        <x:v>BETA_ORC_BOSS</x:v>
      </x:c>
      <x:c r="D132" s="60">
        <x:f>ROUNDUP(ROUND($E$51*$E$52^(A132-1),6),0)</x:f>
        <x:v>2400</x:v>
      </x:c>
      <x:c r="E132" s="60">
        <x:f>ROUNDUP(ROUND($E$55*$E$45^(A132-1),6),0)</x:f>
        <x:v>18</x:v>
      </x:c>
      <x:c r="F132" s="60">
        <x:f>$E$56</x:f>
        <x:v>30</x:v>
      </x:c>
      <x:c r="G132" s="74" t="n">
        <x:v>1.5</x:v>
      </x:c>
      <x:c r="H132" s="60" t="str">
        <x:v>면역</x:v>
      </x:c>
      <x:c r="I132" s="60" t="n">
        <x:v>0</x:v>
      </x:c>
      <x:c r="J132" s="60"/>
      <x:c r="K132" s="60"/>
      <x:c r="L132" s="60"/>
      <x:c r="M132" s="60"/>
      <x:c r="N132" s="60"/>
      <x:c r="O132" s="60"/>
      <x:c r="P132" s="60"/>
    </x:row>
    <x:row r="133" ht="30" customHeight="1">
      <x:c r="A133" s="61" t="n">
        <x:v>2</x:v>
      </x:c>
      <x:c r="B133" s="61" t="n">
        <x:v>1</x:v>
      </x:c>
      <x:c r="C133" s="61" t="str">
        <x:v>BETA_BANDIT_BOSS</x:v>
      </x:c>
      <x:c r="D133" s="61">
        <x:f>ROUNDUP(ROUND($E$49*$E$52^(A133-1),6),0)</x:f>
        <x:v>2640</x:v>
      </x:c>
      <x:c r="E133" s="61">
        <x:f>ROUNDUP(ROUND($E$53*$E$45^(A133-1),6),0)</x:f>
        <x:v>17</x:v>
      </x:c>
      <x:c r="F133" s="61">
        <x:f>$E$56</x:f>
        <x:v>30</x:v>
      </x:c>
      <x:c r="G133" s="75" t="n">
        <x:v>1.5</x:v>
      </x:c>
      <x:c r="H133" s="61" t="str">
        <x:v>면역</x:v>
      </x:c>
      <x:c r="I133" s="61" t="n">
        <x:v>0</x:v>
      </x:c>
      <x:c r="J133" s="60"/>
      <x:c r="K133" s="60"/>
      <x:c r="L133" s="60"/>
      <x:c r="M133" s="60"/>
      <x:c r="N133" s="60"/>
      <x:c r="O133" s="60"/>
      <x:c r="P133" s="60"/>
    </x:row>
    <x:row r="134" ht="30" customHeight="1">
      <x:c r="A134" s="60" t="n">
        <x:v>2</x:v>
      </x:c>
      <x:c r="B134" s="60" t="n">
        <x:v>2</x:v>
      </x:c>
      <x:c r="C134" s="60" t="str">
        <x:v>BETA_GOBLIN_BOSS</x:v>
      </x:c>
      <x:c r="D134" s="60">
        <x:f>ROUNDUP(ROUND($E$50*$E$52^(A134-1),6),0)</x:f>
        <x:v>3960</x:v>
      </x:c>
      <x:c r="E134" s="60">
        <x:f>ROUNDUP(ROUND($E$54*$E$45^(A134-1),6),0)</x:f>
        <x:v>21</x:v>
      </x:c>
      <x:c r="F134" s="60">
        <x:f>$E$56</x:f>
        <x:v>30</x:v>
      </x:c>
      <x:c r="G134" s="74" t="n">
        <x:v>1.5</x:v>
      </x:c>
      <x:c r="H134" s="60" t="str">
        <x:v>면역</x:v>
      </x:c>
      <x:c r="I134" s="60" t="n">
        <x:v>0</x:v>
      </x:c>
      <x:c r="J134" s="60"/>
      <x:c r="K134" s="60"/>
      <x:c r="L134" s="60"/>
      <x:c r="M134" s="60"/>
      <x:c r="N134" s="60"/>
      <x:c r="O134" s="60"/>
      <x:c r="P134" s="60"/>
    </x:row>
    <x:row r="135" ht="30" customHeight="1">
      <x:c r="A135" s="61" t="n">
        <x:v>2</x:v>
      </x:c>
      <x:c r="B135" s="61" t="n">
        <x:v>3</x:v>
      </x:c>
      <x:c r="C135" s="61" t="str">
        <x:v>BETA_ORC_BOSS</x:v>
      </x:c>
      <x:c r="D135" s="61">
        <x:f>ROUNDUP(ROUND($E$51*$E$52^(A135-1),6),0)</x:f>
        <x:v>5280</x:v>
      </x:c>
      <x:c r="E135" s="61">
        <x:f>ROUNDUP(ROUND($E$55*$E$45^(A135-1),6),0)</x:f>
        <x:v>25</x:v>
      </x:c>
      <x:c r="F135" s="61">
        <x:f>$E$56</x:f>
        <x:v>30</x:v>
      </x:c>
      <x:c r="G135" s="75" t="n">
        <x:v>1.5</x:v>
      </x:c>
      <x:c r="H135" s="61" t="str">
        <x:v>면역</x:v>
      </x:c>
      <x:c r="I135" s="61" t="n">
        <x:v>0</x:v>
      </x:c>
      <x:c r="J135" s="60"/>
      <x:c r="K135" s="60"/>
      <x:c r="L135" s="60"/>
      <x:c r="M135" s="60"/>
      <x:c r="N135" s="60"/>
      <x:c r="O135" s="60"/>
      <x:c r="P135" s="60"/>
    </x:row>
    <x:row r="136" ht="30" customHeight="1">
      <x:c r="A136" s="60" t="n">
        <x:v>3</x:v>
      </x:c>
      <x:c r="B136" s="60" t="n">
        <x:v>1</x:v>
      </x:c>
      <x:c r="C136" s="60" t="str">
        <x:v>BETA_BANDIT_BOSS</x:v>
      </x:c>
      <x:c r="D136" s="60">
        <x:f>ROUNDUP(ROUND($E$49*$E$52^(A136-1),6),0)</x:f>
        <x:v>5808</x:v>
      </x:c>
      <x:c r="E136" s="60">
        <x:f>ROUNDUP(ROUND($E$53*$E$45^(A136-1),6),0)</x:f>
        <x:v>22</x:v>
      </x:c>
      <x:c r="F136" s="60">
        <x:f>$E$56</x:f>
        <x:v>30</x:v>
      </x:c>
      <x:c r="G136" s="74" t="n">
        <x:v>1.5</x:v>
      </x:c>
      <x:c r="H136" s="60" t="str">
        <x:v>면역</x:v>
      </x:c>
      <x:c r="I136" s="60" t="n">
        <x:v>0</x:v>
      </x:c>
      <x:c r="J136" s="60"/>
      <x:c r="K136" s="60"/>
      <x:c r="L136" s="60"/>
      <x:c r="M136" s="60"/>
      <x:c r="N136" s="60"/>
      <x:c r="O136" s="60"/>
      <x:c r="P136" s="60"/>
    </x:row>
    <x:row r="137" ht="30" customHeight="1">
      <x:c r="A137" s="61" t="n">
        <x:v>3</x:v>
      </x:c>
      <x:c r="B137" s="61" t="n">
        <x:v>2</x:v>
      </x:c>
      <x:c r="C137" s="61" t="str">
        <x:v>BETA_GOBLIN_BOSS</x:v>
      </x:c>
      <x:c r="D137" s="61">
        <x:f>ROUNDUP(ROUND($E$50*$E$52^(A137-1),6),0)</x:f>
        <x:v>8712</x:v>
      </x:c>
      <x:c r="E137" s="61">
        <x:f>ROUNDUP(ROUND($E$54*$E$45^(A137-1),6),0)</x:f>
        <x:v>28</x:v>
      </x:c>
      <x:c r="F137" s="61">
        <x:f>$E$56</x:f>
        <x:v>30</x:v>
      </x:c>
      <x:c r="G137" s="75" t="n">
        <x:v>1.5</x:v>
      </x:c>
      <x:c r="H137" s="61" t="str">
        <x:v>면역</x:v>
      </x:c>
      <x:c r="I137" s="61" t="n">
        <x:v>0</x:v>
      </x:c>
      <x:c r="J137" s="60"/>
      <x:c r="K137" s="60"/>
      <x:c r="L137" s="60"/>
      <x:c r="M137" s="60"/>
      <x:c r="N137" s="60"/>
      <x:c r="O137" s="60"/>
      <x:c r="P137" s="60"/>
    </x:row>
    <x:row r="138" ht="30" customHeight="1">
      <x:c r="A138" s="60" t="n">
        <x:v>3</x:v>
      </x:c>
      <x:c r="B138" s="60" t="n">
        <x:v>3</x:v>
      </x:c>
      <x:c r="C138" s="60" t="str">
        <x:v>BETA_ORC_BOSS</x:v>
      </x:c>
      <x:c r="D138" s="60">
        <x:f>ROUNDUP(ROUND($E$51*$E$52^(A138-1),6),0)</x:f>
        <x:v>11616</x:v>
      </x:c>
      <x:c r="E138" s="60">
        <x:f>ROUNDUP(ROUND($E$55*$E$45^(A138-1),6),0)</x:f>
        <x:v>33</x:v>
      </x:c>
      <x:c r="F138" s="60">
        <x:f>$E$56</x:f>
        <x:v>30</x:v>
      </x:c>
      <x:c r="G138" s="74" t="n">
        <x:v>1.5</x:v>
      </x:c>
      <x:c r="H138" s="60" t="str">
        <x:v>면역</x:v>
      </x:c>
      <x:c r="I138" s="60" t="n">
        <x:v>0</x:v>
      </x:c>
      <x:c r="J138" s="60"/>
      <x:c r="K138" s="60"/>
      <x:c r="L138" s="60"/>
      <x:c r="M138" s="60"/>
      <x:c r="N138" s="60"/>
      <x:c r="O138" s="60"/>
      <x:c r="P138" s="60"/>
    </x:row>
    <x:row r="139" ht="30" customHeight="1">
      <x:c r="A139" s="61" t="n">
        <x:v>4</x:v>
      </x:c>
      <x:c r="B139" s="61" t="n">
        <x:v>1</x:v>
      </x:c>
      <x:c r="C139" s="61" t="str">
        <x:v>BETA_BANDIT_BOSS</x:v>
      </x:c>
      <x:c r="D139" s="61">
        <x:f>ROUNDUP(ROUND($E$49*$E$52^(A139-1),6),0)</x:f>
        <x:v>12778</x:v>
      </x:c>
      <x:c r="E139" s="61">
        <x:f>ROUNDUP(ROUND($E$53*$E$45^(A139-1),6),0)</x:f>
        <x:v>30</x:v>
      </x:c>
      <x:c r="F139" s="61">
        <x:f>$E$56</x:f>
        <x:v>30</x:v>
      </x:c>
      <x:c r="G139" s="75" t="n">
        <x:v>1.5</x:v>
      </x:c>
      <x:c r="H139" s="61" t="str">
        <x:v>면역</x:v>
      </x:c>
      <x:c r="I139" s="61" t="n">
        <x:v>0</x:v>
      </x:c>
      <x:c r="J139" s="60"/>
      <x:c r="K139" s="60"/>
      <x:c r="L139" s="60"/>
      <x:c r="M139" s="60"/>
      <x:c r="N139" s="60"/>
      <x:c r="O139" s="60"/>
      <x:c r="P139" s="60"/>
    </x:row>
    <x:row r="140" ht="30" customHeight="1">
      <x:c r="A140" s="60" t="n">
        <x:v>4</x:v>
      </x:c>
      <x:c r="B140" s="60" t="n">
        <x:v>2</x:v>
      </x:c>
      <x:c r="C140" s="60" t="str">
        <x:v>BETA_GOBLIN_BOSS</x:v>
      </x:c>
      <x:c r="D140" s="60">
        <x:f>ROUNDUP(ROUND($E$50*$E$52^(A140-1),6),0)</x:f>
        <x:v>19167</x:v>
      </x:c>
      <x:c r="E140" s="60">
        <x:f>ROUNDUP(ROUND($E$54*$E$45^(A140-1),6),0)</x:f>
        <x:v>37</x:v>
      </x:c>
      <x:c r="F140" s="60">
        <x:f>$E$56</x:f>
        <x:v>30</x:v>
      </x:c>
      <x:c r="G140" s="74" t="n">
        <x:v>1.5</x:v>
      </x:c>
      <x:c r="H140" s="60" t="str">
        <x:v>면역</x:v>
      </x:c>
      <x:c r="I140" s="60" t="n">
        <x:v>0</x:v>
      </x:c>
      <x:c r="J140" s="60"/>
      <x:c r="K140" s="60"/>
      <x:c r="L140" s="60"/>
      <x:c r="M140" s="60"/>
      <x:c r="N140" s="60"/>
      <x:c r="O140" s="60"/>
      <x:c r="P140" s="60"/>
    </x:row>
    <x:row r="141" ht="30" customHeight="1">
      <x:c r="A141" s="61" t="n">
        <x:v>4</x:v>
      </x:c>
      <x:c r="B141" s="61" t="n">
        <x:v>3</x:v>
      </x:c>
      <x:c r="C141" s="61" t="str">
        <x:v>BETA_ORC_BOSS</x:v>
      </x:c>
      <x:c r="D141" s="61">
        <x:f>ROUNDUP(ROUND($E$51*$E$52^(A141-1),6),0)</x:f>
        <x:v>25556</x:v>
      </x:c>
      <x:c r="E141" s="61">
        <x:f>ROUNDUP(ROUND($E$55*$E$45^(A141-1),6),0)</x:f>
        <x:v>45</x:v>
      </x:c>
      <x:c r="F141" s="61">
        <x:f>$E$56</x:f>
        <x:v>30</x:v>
      </x:c>
      <x:c r="G141" s="75" t="n">
        <x:v>1.5</x:v>
      </x:c>
      <x:c r="H141" s="61" t="str">
        <x:v>면역</x:v>
      </x:c>
      <x:c r="I141" s="61" t="n">
        <x:v>0</x:v>
      </x:c>
      <x:c r="J141" s="60"/>
      <x:c r="K141" s="60"/>
      <x:c r="L141" s="60"/>
      <x:c r="M141" s="60"/>
      <x:c r="N141" s="60"/>
      <x:c r="O141" s="60"/>
      <x:c r="P141" s="60"/>
    </x:row>
    <x:row r="142" ht="30" customHeight="1">
      <x:c r="A142" s="60" t="n">
        <x:v>5</x:v>
      </x:c>
      <x:c r="B142" s="60" t="n">
        <x:v>1</x:v>
      </x:c>
      <x:c r="C142" s="60" t="str">
        <x:v>BETA_BANDIT_BOSS</x:v>
      </x:c>
      <x:c r="D142" s="60">
        <x:f>ROUNDUP(ROUND($E$49*$E$52^(A142-1),6),0)</x:f>
        <x:v>28111</x:v>
      </x:c>
      <x:c r="E142" s="60">
        <x:f>ROUNDUP(ROUND($E$53*$E$45^(A142-1),6),0)</x:f>
        <x:v>40</x:v>
      </x:c>
      <x:c r="F142" s="60">
        <x:f>$E$56</x:f>
        <x:v>30</x:v>
      </x:c>
      <x:c r="G142" s="74" t="n">
        <x:v>1.5</x:v>
      </x:c>
      <x:c r="H142" s="60" t="str">
        <x:v>면역</x:v>
      </x:c>
      <x:c r="I142" s="60" t="n">
        <x:v>0</x:v>
      </x:c>
      <x:c r="J142" s="60"/>
      <x:c r="K142" s="60"/>
      <x:c r="L142" s="60"/>
      <x:c r="M142" s="60"/>
      <x:c r="N142" s="60"/>
      <x:c r="O142" s="60"/>
      <x:c r="P142" s="60"/>
    </x:row>
    <x:row r="143" ht="30" customHeight="1">
      <x:c r="A143" s="61" t="n">
        <x:v>5</x:v>
      </x:c>
      <x:c r="B143" s="61" t="n">
        <x:v>2</x:v>
      </x:c>
      <x:c r="C143" s="61" t="str">
        <x:v>BETA_GOBLIN_BOSS</x:v>
      </x:c>
      <x:c r="D143" s="61">
        <x:f>ROUNDUP(ROUND($E$50*$E$52^(A143-1),6),0)</x:f>
        <x:v>42167</x:v>
      </x:c>
      <x:c r="E143" s="61">
        <x:f>ROUNDUP(ROUND($E$54*$E$45^(A143-1),6),0)</x:f>
        <x:v>50</x:v>
      </x:c>
      <x:c r="F143" s="61">
        <x:f>$E$56</x:f>
        <x:v>30</x:v>
      </x:c>
      <x:c r="G143" s="75" t="n">
        <x:v>1.5</x:v>
      </x:c>
      <x:c r="H143" s="61" t="str">
        <x:v>면역</x:v>
      </x:c>
      <x:c r="I143" s="61" t="n">
        <x:v>0</x:v>
      </x:c>
      <x:c r="J143" s="60"/>
      <x:c r="K143" s="60"/>
      <x:c r="L143" s="60"/>
      <x:c r="M143" s="60"/>
      <x:c r="N143" s="60"/>
      <x:c r="O143" s="60"/>
      <x:c r="P143" s="60"/>
    </x:row>
    <x:row r="144" ht="30" customHeight="1">
      <x:c r="A144" s="60" t="n">
        <x:v>5</x:v>
      </x:c>
      <x:c r="B144" s="60" t="n">
        <x:v>3</x:v>
      </x:c>
      <x:c r="C144" s="60" t="str">
        <x:v>BETA_ORC_BOSS</x:v>
      </x:c>
      <x:c r="D144" s="60">
        <x:f>ROUNDUP(ROUND($E$51*$E$52^(A144-1),6),0)</x:f>
        <x:v>56222</x:v>
      </x:c>
      <x:c r="E144" s="60">
        <x:f>ROUNDUP(ROUND($E$55*$E$45^(A144-1),6),0)</x:f>
        <x:v>60</x:v>
      </x:c>
      <x:c r="F144" s="60">
        <x:f>$E$56</x:f>
        <x:v>30</x:v>
      </x:c>
      <x:c r="G144" s="74" t="n">
        <x:v>1.5</x:v>
      </x:c>
      <x:c r="H144" s="60" t="str">
        <x:v>면역</x:v>
      </x:c>
      <x:c r="I144" s="60" t="n">
        <x:v>0</x:v>
      </x:c>
      <x:c r="J144" s="60"/>
      <x:c r="K144" s="60"/>
      <x:c r="L144" s="60"/>
      <x:c r="M144" s="60"/>
      <x:c r="N144" s="60"/>
      <x:c r="O144" s="60"/>
      <x:c r="P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  <x:c r="L145" s="60"/>
      <x:c r="M145" s="60"/>
      <x:c r="N145" s="60"/>
      <x:c r="O145" s="60"/>
      <x:c r="P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  <x:c r="L146" s="60"/>
      <x:c r="M146" s="60"/>
      <x:c r="N146" s="60"/>
      <x:c r="O146" s="60"/>
      <x:c r="P146" s="60"/>
    </x:row>
    <x:row r="147" ht="34" customHeight="1">
      <x:c r="A147" s="59" t="str">
        <x:v>단계</x:v>
      </x:c>
      <x:c r="B147" s="59" t="str">
        <x:v>반복 Ruby</x:v>
      </x:c>
      <x:c r="C147" s="59" t="str">
        <x:v>최초추가</x:v>
      </x:c>
      <x:c r="D147" s="59" t="str">
        <x:v>첫 클리어 합</x:v>
      </x:c>
      <x:c r="E147" s="59" t="str">
        <x:v>성공 지급률</x:v>
      </x:c>
      <x:c r="F147" s="59" t="str">
        <x:v>실패 Ruby</x:v>
      </x:c>
      <x:c r="G147" s="59" t="str">
        <x:v>최종보스 최소 DPS</x:v>
      </x:c>
      <x:c r="H147" s="60"/>
      <x:c r="I147" s="60"/>
      <x:c r="J147" s="60"/>
      <x:c r="K147" s="60"/>
      <x:c r="L147" s="60"/>
      <x:c r="M147" s="60"/>
      <x:c r="N147" s="60"/>
      <x:c r="O147" s="60"/>
      <x:c r="P147" s="60"/>
    </x:row>
    <x:row r="148" ht="30" customHeight="1">
      <x:c r="A148" s="60" t="n">
        <x:v>1</x:v>
      </x:c>
      <x:c r="B148" s="60">
        <x:f>ROUNDDOWN(ROUND($E$57*$E$58^(A148-1),6),0)</x:f>
        <x:v>50</x:v>
      </x:c>
      <x:c r="C148" s="60">
        <x:f>$E$59*A148</x:f>
        <x:v>25</x:v>
      </x:c>
      <x:c r="D148" s="60">
        <x:f>B148+C148</x:f>
        <x:v>75</x:v>
      </x:c>
      <x:c r="E148" s="72" t="n">
        <x:v>1</x:v>
      </x:c>
      <x:c r="F148" s="60" t="n">
        <x:v>0</x:v>
      </x:c>
      <x:c r="G148" s="76">
        <x:f>D132/F132</x:f>
        <x:v>80</x:v>
      </x:c>
      <x:c r="H148" s="60"/>
      <x:c r="I148" s="60"/>
      <x:c r="J148" s="60"/>
      <x:c r="K148" s="60"/>
      <x:c r="L148" s="60"/>
      <x:c r="M148" s="60"/>
      <x:c r="N148" s="60"/>
      <x:c r="O148" s="60"/>
      <x:c r="P148" s="60"/>
    </x:row>
    <x:row r="149" ht="30" customHeight="1">
      <x:c r="A149" s="61" t="n">
        <x:v>2</x:v>
      </x:c>
      <x:c r="B149" s="61">
        <x:f>ROUNDDOWN(ROUND($E$57*$E$58^(A149-1),6),0)</x:f>
        <x:v>67</x:v>
      </x:c>
      <x:c r="C149" s="61">
        <x:f>$E$59*A149</x:f>
        <x:v>50</x:v>
      </x:c>
      <x:c r="D149" s="61">
        <x:f>B149+C149</x:f>
        <x:v>117</x:v>
      </x:c>
      <x:c r="E149" s="73" t="n">
        <x:v>1</x:v>
      </x:c>
      <x:c r="F149" s="61" t="n">
        <x:v>0</x:v>
      </x:c>
      <x:c r="G149" s="77">
        <x:f>D135/F135</x:f>
        <x:v>176</x:v>
      </x:c>
      <x:c r="H149" s="60"/>
      <x:c r="I149" s="60"/>
      <x:c r="J149" s="60"/>
      <x:c r="K149" s="60"/>
      <x:c r="L149" s="60"/>
      <x:c r="M149" s="60"/>
      <x:c r="N149" s="60"/>
      <x:c r="O149" s="60"/>
      <x:c r="P149" s="60"/>
    </x:row>
    <x:row r="150" ht="30" customHeight="1">
      <x:c r="A150" s="60" t="n">
        <x:v>3</x:v>
      </x:c>
      <x:c r="B150" s="60">
        <x:f>ROUNDDOWN(ROUND($E$57*$E$58^(A150-1),6),0)</x:f>
        <x:v>91</x:v>
      </x:c>
      <x:c r="C150" s="60">
        <x:f>$E$59*A150</x:f>
        <x:v>75</x:v>
      </x:c>
      <x:c r="D150" s="60">
        <x:f>B150+C150</x:f>
        <x:v>166</x:v>
      </x:c>
      <x:c r="E150" s="72" t="n">
        <x:v>1</x:v>
      </x:c>
      <x:c r="F150" s="60" t="n">
        <x:v>0</x:v>
      </x:c>
      <x:c r="G150" s="76">
        <x:f>D138/F138</x:f>
        <x:v>387.2</x:v>
      </x:c>
      <x:c r="H150" s="60"/>
      <x:c r="I150" s="60"/>
      <x:c r="J150" s="60"/>
      <x:c r="K150" s="60"/>
      <x:c r="L150" s="60"/>
      <x:c r="M150" s="60"/>
      <x:c r="N150" s="60"/>
      <x:c r="O150" s="60"/>
      <x:c r="P150" s="60"/>
    </x:row>
    <x:row r="151" ht="30" customHeight="1">
      <x:c r="A151" s="61" t="n">
        <x:v>4</x:v>
      </x:c>
      <x:c r="B151" s="61">
        <x:f>ROUNDDOWN(ROUND($E$57*$E$58^(A151-1),6),0)</x:f>
        <x:v>123</x:v>
      </x:c>
      <x:c r="C151" s="61">
        <x:f>$E$59*A151</x:f>
        <x:v>100</x:v>
      </x:c>
      <x:c r="D151" s="61">
        <x:f>B151+C151</x:f>
        <x:v>223</x:v>
      </x:c>
      <x:c r="E151" s="73" t="n">
        <x:v>1</x:v>
      </x:c>
      <x:c r="F151" s="61" t="n">
        <x:v>0</x:v>
      </x:c>
      <x:c r="G151" s="77">
        <x:f>D141/F141</x:f>
        <x:v>851.86666666666667</x:v>
      </x:c>
      <x:c r="H151" s="60"/>
      <x:c r="I151" s="60"/>
      <x:c r="J151" s="60"/>
      <x:c r="K151" s="60"/>
      <x:c r="L151" s="60"/>
      <x:c r="M151" s="60"/>
      <x:c r="N151" s="60"/>
      <x:c r="O151" s="60"/>
      <x:c r="P151" s="60"/>
    </x:row>
    <x:row r="152" ht="30" customHeight="1">
      <x:c r="A152" s="60" t="n">
        <x:v>5</x:v>
      </x:c>
      <x:c r="B152" s="60">
        <x:f>ROUNDDOWN(ROUND($E$57*$E$58^(A152-1),6),0)</x:f>
        <x:v>166</x:v>
      </x:c>
      <x:c r="C152" s="60">
        <x:f>$E$59*A152</x:f>
        <x:v>125</x:v>
      </x:c>
      <x:c r="D152" s="60">
        <x:f>B152+C152</x:f>
        <x:v>291</x:v>
      </x:c>
      <x:c r="E152" s="72" t="n">
        <x:v>1</x:v>
      </x:c>
      <x:c r="F152" s="60" t="n">
        <x:v>0</x:v>
      </x:c>
      <x:c r="G152" s="76">
        <x:f>D144/F144</x:f>
        <x:v>1874.0666666666666</x:v>
      </x:c>
      <x:c r="H152" s="60"/>
      <x:c r="I152" s="60"/>
      <x:c r="J152" s="60"/>
      <x:c r="K152" s="60"/>
      <x:c r="L152" s="60"/>
      <x:c r="M152" s="60"/>
      <x:c r="N152" s="60"/>
      <x:c r="O152" s="60"/>
      <x:c r="P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  <x:c r="L153" s="60"/>
      <x:c r="M153" s="60"/>
      <x:c r="N153" s="60"/>
      <x:c r="O153" s="60"/>
      <x:c r="P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  <x:c r="L154" s="60"/>
      <x:c r="M154" s="60"/>
      <x:c r="N154" s="60"/>
      <x:c r="O154" s="60"/>
      <x:c r="P154" s="60"/>
    </x:row>
    <x:row r="155" ht="28" customHeight="1">
      <x:c r="A155" s="82" t="str">
        <x:v>06 · 계정 최초 클리어 — 반복 보스 드롭과 별도 원장</x:v>
      </x:c>
      <x:c r="B155" s="82"/>
      <x:c r="C155" s="82"/>
      <x:c r="D155" s="82"/>
      <x:c r="E155" s="82"/>
      <x:c r="F155" s="82"/>
      <x:c r="G155" s="82"/>
      <x:c r="H155" s="82"/>
      <x:c r="I155" s="82"/>
      <x:c r="J155" s="82"/>
      <x:c r="K155" s="82"/>
      <x:c r="L155" s="82"/>
      <x:c r="M155" s="82"/>
      <x:c r="N155" s="82"/>
      <x:c r="O155" s="82"/>
      <x:c r="P155" s="82"/>
    </x:row>
    <x:row r="156" ht="34" customHeight="1">
      <x:c r="A156" s="59" t="str">
        <x:v>S-W</x:v>
      </x:c>
      <x:c r="B156" s="59"/>
      <x:c r="C156" s="59" t="str">
        <x:v>고대 주화</x:v>
      </x:c>
      <x:c r="D156" s="59"/>
      <x:c r="E156" s="59" t="str">
        <x:v>전직 파편</x:v>
      </x:c>
      <x:c r="F156" s="59"/>
      <x:c r="G156" s="59" t="str">
        <x:v>스킬 해금</x:v>
      </x:c>
      <x:c r="H156" s="59"/>
      <x:c r="I156" s="59"/>
      <x:c r="J156" s="59" t="str">
        <x:v>동일 스킬 파편</x:v>
      </x:c>
      <x:c r="K156" s="59"/>
      <x:c r="L156" s="59" t="str">
        <x:v>해금/비고</x:v>
      </x:c>
      <x:c r="M156" s="59"/>
      <x:c r="N156" s="59"/>
      <x:c r="O156" s="59"/>
      <x:c r="P156" s="59"/>
    </x:row>
    <x:row r="157" ht="44" customHeight="1">
      <x:c r="A157" s="68" t="str">
        <x:v>1-1</x:v>
      </x:c>
      <x:c r="B157" s="68"/>
      <x:c r="C157" s="68" t="n">
        <x:v>0</x:v>
      </x:c>
      <x:c r="D157" s="68"/>
      <x:c r="E157" s="68" t="n">
        <x:v>0</x:v>
      </x:c>
      <x:c r="F157" s="68"/>
      <x:c r="G157" s="68" t="str"/>
      <x:c r="H157" s="68"/>
      <x:c r="I157" s="68"/>
      <x:c r="J157" s="68" t="n">
        <x:v>0</x:v>
      </x:c>
      <x:c r="K157" s="68"/>
      <x:c r="L157" s="68" t="str">
        <x:v>노말 ATK10 무기1</x:v>
      </x:c>
      <x:c r="M157" s="68"/>
      <x:c r="N157" s="68"/>
      <x:c r="O157" s="68"/>
      <x:c r="P157" s="68"/>
    </x:row>
    <x:row r="158" ht="44" customHeight="1">
      <x:c r="A158" s="71" t="str">
        <x:v>1-3</x:v>
      </x:c>
      <x:c r="B158" s="71"/>
      <x:c r="C158" s="71" t="n">
        <x:v>0</x:v>
      </x:c>
      <x:c r="D158" s="71"/>
      <x:c r="E158" s="71" t="n">
        <x:v>0</x:v>
      </x:c>
      <x:c r="F158" s="71"/>
      <x:c r="G158" s="71" t="str"/>
      <x:c r="H158" s="71"/>
      <x:c r="I158" s="71"/>
      <x:c r="J158" s="71" t="n">
        <x:v>0</x:v>
      </x:c>
      <x:c r="K158" s="71"/>
      <x:c r="L158" s="71" t="str">
        <x:v>노말 ATK10 무기1 추가</x:v>
      </x:c>
      <x:c r="M158" s="71"/>
      <x:c r="N158" s="71"/>
      <x:c r="O158" s="71"/>
      <x:c r="P158" s="71"/>
    </x:row>
    <x:row r="159" ht="44" customHeight="1">
      <x:c r="A159" s="68" t="str">
        <x:v>1-5</x:v>
      </x:c>
      <x:c r="B159" s="68"/>
      <x:c r="C159" s="68" t="n">
        <x:v>0</x:v>
      </x:c>
      <x:c r="D159" s="68"/>
      <x:c r="E159" s="68" t="n">
        <x:v>0</x:v>
      </x:c>
      <x:c r="F159" s="68"/>
      <x:c r="G159" s="68" t="str">
        <x:v>Lightning</x:v>
      </x:c>
      <x:c r="H159" s="68"/>
      <x:c r="I159" s="68"/>
      <x:c r="J159" s="68" t="n">
        <x:v>0</x:v>
      </x:c>
      <x:c r="K159" s="68"/>
      <x:c r="L159" s="68" t="str">
        <x:v>마탑 자동/강화</x:v>
      </x:c>
      <x:c r="M159" s="68"/>
      <x:c r="N159" s="68"/>
      <x:c r="O159" s="68"/>
      <x:c r="P159" s="68"/>
    </x:row>
    <x:row r="160" ht="44" customHeight="1">
      <x:c r="A160" s="71" t="str">
        <x:v>1-7</x:v>
      </x:c>
      <x:c r="B160" s="71"/>
      <x:c r="C160" s="71" t="n">
        <x:v>0</x:v>
      </x:c>
      <x:c r="D160" s="71"/>
      <x:c r="E160" s="71" t="n">
        <x:v>0</x:v>
      </x:c>
      <x:c r="F160" s="71"/>
      <x:c r="G160" s="71" t="str"/>
      <x:c r="H160" s="71"/>
      <x:c r="I160" s="71"/>
      <x:c r="J160" s="71" t="n">
        <x:v>0</x:v>
      </x:c>
      <x:c r="K160" s="71"/>
      <x:c r="L160" s="71" t="str">
        <x:v>노말 ATK15 무기1 추가</x:v>
      </x:c>
      <x:c r="M160" s="71"/>
      <x:c r="N160" s="71"/>
      <x:c r="O160" s="71"/>
      <x:c r="P160" s="71"/>
    </x:row>
    <x:row r="161" ht="44" customHeight="1">
      <x:c r="A161" s="68" t="str">
        <x:v>1-11</x:v>
      </x:c>
      <x:c r="B161" s="68"/>
      <x:c r="C161" s="68" t="n">
        <x:v>100</x:v>
      </x:c>
      <x:c r="D161" s="68"/>
      <x:c r="E161" s="68" t="n">
        <x:v>40</x:v>
      </x:c>
      <x:c r="F161" s="68"/>
      <x:c r="G161" s="68" t="str"/>
      <x:c r="H161" s="68"/>
      <x:c r="I161" s="68"/>
      <x:c r="J161" s="68" t="n">
        <x:v>0</x:v>
      </x:c>
      <x:c r="K161" s="68"/>
      <x:c r="L161" s="68" t="str">
        <x:v>일일·주간·골드·환생</x:v>
      </x:c>
      <x:c r="M161" s="68"/>
      <x:c r="N161" s="68"/>
      <x:c r="O161" s="68"/>
      <x:c r="P161" s="68"/>
    </x:row>
    <x:row r="162" ht="44" customHeight="1">
      <x:c r="A162" s="71" t="str">
        <x:v>2-3</x:v>
      </x:c>
      <x:c r="B162" s="71"/>
      <x:c r="C162" s="71" t="n">
        <x:v>0</x:v>
      </x:c>
      <x:c r="D162" s="71"/>
      <x:c r="E162" s="71" t="n">
        <x:v>0</x:v>
      </x:c>
      <x:c r="F162" s="71"/>
      <x:c r="G162" s="71" t="str">
        <x:v>IceSpike</x:v>
      </x:c>
      <x:c r="H162" s="71"/>
      <x:c r="I162" s="71"/>
      <x:c r="J162" s="71" t="n">
        <x:v>0</x:v>
      </x:c>
      <x:c r="K162" s="71"/>
      <x:c r="L162" s="71" t="str">
        <x:v>서로 다른 스킬2종</x:v>
      </x:c>
      <x:c r="M162" s="71"/>
      <x:c r="N162" s="71"/>
      <x:c r="O162" s="71"/>
      <x:c r="P162" s="71"/>
    </x:row>
    <x:row r="163" ht="44" customHeight="1">
      <x:c r="A163" s="68" t="str">
        <x:v>2-5</x:v>
      </x:c>
      <x:c r="B163" s="68"/>
      <x:c r="C163" s="68" t="n">
        <x:v>100</x:v>
      </x:c>
      <x:c r="D163" s="68"/>
      <x:c r="E163" s="68" t="n">
        <x:v>0</x:v>
      </x:c>
      <x:c r="F163" s="68"/>
      <x:c r="G163" s="68" t="str"/>
      <x:c r="H163" s="68"/>
      <x:c r="I163" s="68"/>
      <x:c r="J163" s="68" t="n">
        <x:v>0</x:v>
      </x:c>
      <x:c r="K163" s="68"/>
      <x:c r="L163" s="68" t="str">
        <x:v>루비 던전·강화</x:v>
      </x:c>
      <x:c r="M163" s="68"/>
      <x:c r="N163" s="68"/>
      <x:c r="O163" s="68"/>
      <x:c r="P163" s="68"/>
    </x:row>
    <x:row r="164" ht="44" customHeight="1">
      <x:c r="A164" s="71" t="str">
        <x:v>2-11</x:v>
      </x:c>
      <x:c r="B164" s="71"/>
      <x:c r="C164" s="71" t="n">
        <x:v>200</x:v>
      </x:c>
      <x:c r="D164" s="71"/>
      <x:c r="E164" s="71" t="n">
        <x:v>0</x:v>
      </x:c>
      <x:c r="F164" s="71"/>
      <x:c r="G164" s="71" t="str"/>
      <x:c r="H164" s="71"/>
      <x:c r="I164" s="71"/>
      <x:c r="J164" s="71" t="n">
        <x:v>1</x:v>
      </x:c>
      <x:c r="K164" s="71"/>
      <x:c r="L164" s="71" t="str">
        <x:v>Lightning 파편1, 첫각성</x:v>
      </x:c>
      <x:c r="M164" s="71"/>
      <x:c r="N164" s="71"/>
      <x:c r="O164" s="71"/>
      <x:c r="P164" s="71"/>
    </x:row>
    <x:row r="165" ht="44" customHeight="1">
      <x:c r="A165" s="68" t="str">
        <x:v>3-3</x:v>
      </x:c>
      <x:c r="B165" s="68"/>
      <x:c r="C165" s="68" t="n">
        <x:v>0</x:v>
      </x:c>
      <x:c r="D165" s="68"/>
      <x:c r="E165" s="68" t="n">
        <x:v>0</x:v>
      </x:c>
      <x:c r="F165" s="68"/>
      <x:c r="G165" s="68" t="str">
        <x:v>Firestorm</x:v>
      </x:c>
      <x:c r="H165" s="68"/>
      <x:c r="I165" s="68"/>
      <x:c r="J165" s="68" t="n">
        <x:v>0</x:v>
      </x:c>
      <x:c r="K165" s="68"/>
      <x:c r="L165" s="68" t="str">
        <x:v>현재3종 확보</x:v>
      </x:c>
      <x:c r="M165" s="68"/>
      <x:c r="N165" s="68"/>
      <x:c r="O165" s="68"/>
      <x:c r="P165" s="68"/>
    </x:row>
    <x:row r="166" ht="44" customHeight="1">
      <x:c r="A166" s="71" t="str">
        <x:v>3-11</x:v>
      </x:c>
      <x:c r="B166" s="71"/>
      <x:c r="C166" s="71" t="n">
        <x:v>300</x:v>
      </x:c>
      <x:c r="D166" s="71"/>
      <x:c r="E166" s="71" t="n">
        <x:v>40</x:v>
      </x:c>
      <x:c r="F166" s="71"/>
      <x:c r="G166" s="71" t="str"/>
      <x:c r="H166" s="71"/>
      <x:c r="I166" s="71"/>
      <x:c r="J166" s="71" t="n">
        <x:v>0</x:v>
      </x:c>
      <x:c r="K166" s="71"/>
      <x:c r="L166" s="71" t="str">
        <x:v>메인베타 종료 / 던전</x:v>
      </x:c>
      <x:c r="M166" s="71"/>
      <x:c r="N166" s="71"/>
      <x:c r="O166" s="71"/>
      <x:c r="P166" s="71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  <x:c r="L167" s="60"/>
      <x:c r="M167" s="60"/>
      <x:c r="N167" s="60"/>
      <x:c r="O167" s="60"/>
      <x:c r="P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  <x:c r="L168" s="60"/>
      <x:c r="M168" s="60"/>
      <x:c r="N168" s="60"/>
      <x:c r="O168" s="60"/>
      <x:c r="P168" s="60"/>
    </x:row>
    <x:row r="169" ht="34" customHeight="1">
      <x:c r="A169" s="53" t="str">
        <x:v>skillId는 실제 MageTower 운영 ID로 명시 매핑해야 합니다. 미보유 해금 보상만 해금, 이미 보유면 해당 skillId 파편1. 신 스킬·마석·공급품·훈련서 지급0.</x:v>
      </x:c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</x:row>
    <x:row r="170" ht="28" customHeight="1">
      <x:c r="A170" s="82" t="str">
        <x:v>07 · 수입 민감도 — 기준 KPM/루비 보너스 입력에 연동</x:v>
      </x:c>
      <x:c r="B170" s="82"/>
      <x:c r="C170" s="82"/>
      <x:c r="D170" s="82"/>
      <x:c r="E170" s="82"/>
      <x:c r="F170" s="82"/>
      <x:c r="G170" s="82"/>
      <x:c r="H170" s="82"/>
      <x:c r="I170" s="82"/>
      <x:c r="J170" s="82"/>
      <x:c r="K170" s="82"/>
      <x:c r="L170" s="82"/>
      <x:c r="M170" s="82"/>
      <x:c r="N170" s="82"/>
      <x:c r="O170" s="82"/>
      <x:c r="P170" s="82"/>
    </x:row>
    <x:row r="171" ht="34" customHeight="1">
      <x:c r="A171" s="59" t="str">
        <x:v>기준 W</x:v>
      </x:c>
      <x:c r="B171" s="59" t="str">
        <x:v>기본 Gold/체</x:v>
      </x:c>
      <x:c r="C171" s="59" t="str">
        <x:v>Gold/분</x:v>
      </x:c>
      <x:c r="D171" s="59" t="str">
        <x:v>온라인30분</x:v>
      </x:c>
      <x:c r="E171" s="59" t="str">
        <x:v>오프라인8시간</x:v>
      </x:c>
      <x:c r="F171" s="59" t="str">
        <x:v>일일 최소2분</x:v>
      </x:c>
      <x:c r="G171" s="59" t="str">
        <x:v>일일 최대6분</x:v>
      </x:c>
      <x:c r="H171" s="59" t="str">
        <x:v>미믹1단계2회</x:v>
      </x:c>
      <x:c r="I171" s="59" t="str">
        <x:v>30분+8h+미믹</x:v>
      </x:c>
      <x:c r="J171" s="59" t="str">
        <x:v>오프라인 가상킬</x:v>
      </x:c>
      <x:c r="K171" s="59" t="str">
        <x:v>오프라인 EXP</x:v>
      </x:c>
      <x:c r="L171" s="60"/>
      <x:c r="M171" s="60"/>
      <x:c r="N171" s="60"/>
      <x:c r="O171" s="60"/>
      <x:c r="P171" s="60"/>
    </x:row>
    <x:row r="172" ht="30" customHeight="1">
      <x:c r="A172" s="60" t="str">
        <x:v>1-10</x:v>
      </x:c>
      <x:c r="B172" s="60">
        <x:f>I77</x:f>
        <x:v>19</x:v>
      </x:c>
      <x:c r="C172" s="60">
        <x:f>O77</x:f>
        <x:v>570</x:v>
      </x:c>
      <x:c r="D172" s="60">
        <x:f>ROUNDDOWN(ROUND(B172*$E$23*30*(1+$E$39*$E$61),6),0)</x:f>
        <x:v>17100</x:v>
      </x:c>
      <x:c r="E172" s="60">
        <x:f>ROUNDDOWN(ROUND(ROUNDDOWN(ROUND($E$25*60*$E$23*$E$24,6),0)*B172*(1+$E$39*$E$61),6),0)</x:f>
        <x:v>164160</x:v>
      </x:c>
      <x:c r="F172" s="60">
        <x:f>C172*2</x:f>
        <x:v>1140</x:v>
      </x:c>
      <x:c r="G172" s="60">
        <x:f>C172*6</x:f>
        <x:v>3420</x:v>
      </x:c>
      <x:c r="H172" s="60">
        <x:f>M120</x:f>
        <x:v>18000</x:v>
      </x:c>
      <x:c r="I172" s="60">
        <x:f>D172+E172+H172</x:f>
        <x:v>199260</x:v>
      </x:c>
      <x:c r="J172" s="60">
        <x:f>ROUNDDOWN(ROUND($E$25*60*$E$23*$E$24,6),0)</x:f>
        <x:v>8640</x:v>
      </x:c>
      <x:c r="K172" s="84">
        <x:f>ROUNDDOWN(ROUND(J172*K77*(1+$E$39*$E$62),6),0)</x:f>
        <x:v>43200</x:v>
      </x:c>
      <x:c r="L172" s="60"/>
      <x:c r="M172" s="60"/>
      <x:c r="N172" s="60"/>
      <x:c r="O172" s="60"/>
      <x:c r="P172" s="60"/>
    </x:row>
    <x:row r="173" ht="30" customHeight="1">
      <x:c r="A173" s="61" t="str">
        <x:v>2-10</x:v>
      </x:c>
      <x:c r="B173" s="61">
        <x:f>I88</x:f>
        <x:v>46</x:v>
      </x:c>
      <x:c r="C173" s="61">
        <x:f>O88</x:f>
        <x:v>1380</x:v>
      </x:c>
      <x:c r="D173" s="61">
        <x:f>ROUNDDOWN(ROUND(B173*$E$23*30*(1+$E$39*$E$61),6),0)</x:f>
        <x:v>41400</x:v>
      </x:c>
      <x:c r="E173" s="61">
        <x:f>ROUNDDOWN(ROUND(ROUNDDOWN(ROUND($E$25*60*$E$23*$E$24,6),0)*B173*(1+$E$39*$E$61),6),0)</x:f>
        <x:v>397440</x:v>
      </x:c>
      <x:c r="F173" s="61">
        <x:f>C173*2</x:f>
        <x:v>2760</x:v>
      </x:c>
      <x:c r="G173" s="61">
        <x:f>C173*6</x:f>
        <x:v>8280</x:v>
      </x:c>
      <x:c r="H173" s="61">
        <x:f>M120</x:f>
        <x:v>18000</x:v>
      </x:c>
      <x:c r="I173" s="61">
        <x:f>D173+E173+H173</x:f>
        <x:v>456840</x:v>
      </x:c>
      <x:c r="J173" s="61">
        <x:f>ROUNDDOWN(ROUND($E$25*60*$E$23*$E$24,6),0)</x:f>
        <x:v>8640</x:v>
      </x:c>
      <x:c r="K173" s="61">
        <x:f>ROUNDDOWN(ROUND(J173*K88*(1+$E$39*$E$62),6),0)</x:f>
        <x:v>95040</x:v>
      </x:c>
      <x:c r="L173" s="60"/>
      <x:c r="M173" s="60"/>
      <x:c r="N173" s="60"/>
      <x:c r="O173" s="60"/>
      <x:c r="P173" s="60"/>
    </x:row>
    <x:row r="174" ht="30" customHeight="1">
      <x:c r="A174" s="60" t="str">
        <x:v>3-10</x:v>
      </x:c>
      <x:c r="B174" s="60">
        <x:f>I99</x:f>
        <x:v>108</x:v>
      </x:c>
      <x:c r="C174" s="60">
        <x:f>O99</x:f>
        <x:v>3240</x:v>
      </x:c>
      <x:c r="D174" s="60">
        <x:f>ROUNDDOWN(ROUND(B174*$E$23*30*(1+$E$39*$E$61),6),0)</x:f>
        <x:v>97200</x:v>
      </x:c>
      <x:c r="E174" s="60">
        <x:f>ROUNDDOWN(ROUND(ROUNDDOWN(ROUND($E$25*60*$E$23*$E$24,6),0)*B174*(1+$E$39*$E$61),6),0)</x:f>
        <x:v>933120</x:v>
      </x:c>
      <x:c r="F174" s="60">
        <x:f>C174*2</x:f>
        <x:v>6480</x:v>
      </x:c>
      <x:c r="G174" s="60">
        <x:f>C174*6</x:f>
        <x:v>19440</x:v>
      </x:c>
      <x:c r="H174" s="60">
        <x:f>M120</x:f>
        <x:v>18000</x:v>
      </x:c>
      <x:c r="I174" s="60">
        <x:f>D174+E174+H174</x:f>
        <x:v>1048320</x:v>
      </x:c>
      <x:c r="J174" s="60">
        <x:f>ROUNDDOWN(ROUND($E$25*60*$E$23*$E$24,6),0)</x:f>
        <x:v>8640</x:v>
      </x:c>
      <x:c r="K174" s="84">
        <x:f>ROUNDDOWN(ROUND(J174*K99*(1+$E$39*$E$62),6),0)</x:f>
        <x:v>207360</x:v>
      </x:c>
      <x:c r="L174" s="60"/>
      <x:c r="M174" s="60"/>
      <x:c r="N174" s="60"/>
      <x:c r="O174" s="60"/>
      <x:c r="P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  <x:c r="L175" s="60"/>
      <x:c r="M175" s="60"/>
      <x:c r="N175" s="60"/>
      <x:c r="O175" s="60"/>
      <x:c r="P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  <x:c r="L176" s="60"/>
      <x:c r="M176" s="60"/>
      <x:c r="N176" s="60"/>
      <x:c r="O176" s="60"/>
      <x:c r="P176" s="60"/>
    </x:row>
    <x:row r="177" ht="34" customHeight="1">
      <x:c r="A177" s="53" t="str">
        <x:v>8시간은 한 번의 수령 상한입니다. 하루 실제 오프라인 총시간은 온라인 시간과 중복 불가. 장비/주화/파편은 오프라인 지급0. 위 합은 퀘스트·최초 보상 제외.</x:v>
      </x:c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</x:row>
    <x:row r="178" ht="28" customHeight="1">
      <x:c r="A178" s="82" t="str">
        <x:v>08 · 전체 강화 곡선 — 레벨별 비용/누적/효과</x:v>
      </x:c>
      <x:c r="B178" s="82"/>
      <x:c r="C178" s="82"/>
      <x:c r="D178" s="82"/>
      <x:c r="E178" s="82"/>
      <x:c r="F178" s="82"/>
      <x:c r="G178" s="82"/>
      <x:c r="H178" s="82"/>
      <x:c r="I178" s="82"/>
      <x:c r="J178" s="82"/>
      <x:c r="K178" s="82"/>
      <x:c r="L178" s="82"/>
      <x:c r="M178" s="82"/>
      <x:c r="N178" s="82"/>
      <x:c r="O178" s="82"/>
      <x:c r="P178" s="82"/>
    </x:row>
    <x:row r="179" ht="34" customHeight="1">
      <x:c r="A179" s="53" t="str">
        <x:v>골드 ATK/HP 각L≤300, 마탑 E≤100, 루비2트랙 각L≤50. 빈 비용은 MAX이며0원 강화 아님. 누적 비용은 각 단계 최종 올림을 합산. 파편 A→A+1=A+1, 10각 총55.</x:v>
      </x:c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</x:row>
    <x:row r="180" ht="34" customHeight="1">
      <x:c r="A180" s="59" t="str">
        <x:v>L</x:v>
      </x:c>
      <x:c r="B180" s="59" t="str">
        <x:v>골드 다음</x:v>
      </x:c>
      <x:c r="C180" s="59" t="str">
        <x:v>골드 누적</x:v>
      </x:c>
      <x:c r="D180" s="59" t="str">
        <x:v>골드 효과</x:v>
      </x:c>
      <x:c r="E180" s="59" t="str">
        <x:v>마탑 다음 AK</x:v>
      </x:c>
      <x:c r="F180" s="59" t="str">
        <x:v>마탑 누적 AK</x:v>
      </x:c>
      <x:c r="G180" s="59" t="str">
        <x:v>마탑 효과</x:v>
      </x:c>
      <x:c r="H180" s="59" t="str">
        <x:v>루비 다음</x:v>
      </x:c>
      <x:c r="I180" s="59" t="str">
        <x:v>루비 누적</x:v>
      </x:c>
      <x:c r="J180" s="59" t="str">
        <x:v>수급 배율</x:v>
      </x:c>
      <x:c r="K180" s="60"/>
      <x:c r="L180" s="60"/>
      <x:c r="M180" s="60"/>
      <x:c r="N180" s="60"/>
      <x:c r="O180" s="60"/>
      <x:c r="P180" s="60"/>
    </x:row>
    <x:row r="181" ht="30" customHeight="1">
      <x:c r="A181" s="60" t="n">
        <x:v>0</x:v>
      </x:c>
      <x:c r="B181" s="60">
        <x:f>IF(A181&lt;$E$32,ROUNDUP(ROUND($E$29*$E$30^A181,6),0),"")</x:f>
        <x:v>50</x:v>
      </x:c>
      <x:c r="C181" s="60" t="n">
        <x:v>0</x:v>
      </x:c>
      <x:c r="D181" s="78">
        <x:f>IF(A181&lt;=$E$32,$E$31^A181,"")</x:f>
        <x:v>1</x:v>
      </x:c>
      <x:c r="E181" s="60">
        <x:f>IF(A181&lt;$E$36,ROUNDUP(ROUND($E$33*$E$34^A181,6),0),"")</x:f>
        <x:v>10</x:v>
      </x:c>
      <x:c r="F181" s="60" t="n">
        <x:v>0</x:v>
      </x:c>
      <x:c r="G181" s="78">
        <x:f>IF(A181&lt;=$E$36,$E$35^A181,"")</x:f>
        <x:v>1</x:v>
      </x:c>
      <x:c r="H181" s="60">
        <x:f>IF(A181&lt;$E$40,ROUNDUP(ROUND($E$37*$E$38^A181,6),0),"")</x:f>
        <x:v>20</x:v>
      </x:c>
      <x:c r="I181" s="60" t="n">
        <x:v>0</x:v>
      </x:c>
      <x:c r="J181" s="80">
        <x:f>IF(A181&lt;=$E$40,1+$E$39*A181,"")</x:f>
        <x:v>1</x:v>
      </x:c>
      <x:c r="K181" s="60"/>
      <x:c r="L181" s="60"/>
      <x:c r="M181" s="60"/>
      <x:c r="N181" s="60"/>
      <x:c r="O181" s="60"/>
      <x:c r="P181" s="60"/>
    </x:row>
    <x:row r="182" ht="30" customHeight="1">
      <x:c r="A182" s="61" t="n">
        <x:v>1</x:v>
      </x:c>
      <x:c r="B182" s="61">
        <x:f>IF(A182&lt;$E$32,ROUNDUP(ROUND($E$29*$E$30^A182,6),0),"")</x:f>
        <x:v>54</x:v>
      </x:c>
      <x:c r="C182" s="61">
        <x:f>IF(A182&lt;=$E$32,C181+B181,"")</x:f>
        <x:v>50</x:v>
      </x:c>
      <x:c r="D182" s="79">
        <x:f>IF(A182&lt;=$E$32,$E$31^A182,"")</x:f>
        <x:v>1.0249999999999999</x:v>
      </x:c>
      <x:c r="E182" s="61">
        <x:f>IF(A182&lt;$E$36,ROUNDUP(ROUND($E$33*$E$34^A182,6),0),"")</x:f>
        <x:v>11</x:v>
      </x:c>
      <x:c r="F182" s="61">
        <x:f>IF(A182&lt;=$E$36,F181+E181,"")</x:f>
        <x:v>10</x:v>
      </x:c>
      <x:c r="G182" s="79">
        <x:f>IF(A182&lt;=$E$36,$E$35^A182,"")</x:f>
        <x:v>1.04</x:v>
      </x:c>
      <x:c r="H182" s="61">
        <x:f>IF(A182&lt;$E$40,ROUNDUP(ROUND($E$37*$E$38^A182,6),0),"")</x:f>
        <x:v>22</x:v>
      </x:c>
      <x:c r="I182" s="61">
        <x:f>IF(A182&lt;=$E$40,I181+H181,"")</x:f>
        <x:v>20</x:v>
      </x:c>
      <x:c r="J182" s="81">
        <x:f>IF(A182&lt;=$E$40,1+$E$39*A182,"")</x:f>
        <x:v>1.02</x:v>
      </x:c>
      <x:c r="K182" s="60"/>
      <x:c r="L182" s="60"/>
      <x:c r="M182" s="60"/>
      <x:c r="N182" s="60"/>
      <x:c r="O182" s="60"/>
      <x:c r="P182" s="60"/>
    </x:row>
    <x:row r="183" ht="30" customHeight="1">
      <x:c r="A183" s="60" t="n">
        <x:v>2</x:v>
      </x:c>
      <x:c r="B183" s="60">
        <x:f>IF(A183&lt;$E$32,ROUNDUP(ROUND($E$29*$E$30^A183,6),0),"")</x:f>
        <x:v>58</x:v>
      </x:c>
      <x:c r="C183" s="60">
        <x:f>IF(A183&lt;=$E$32,C182+B182,"")</x:f>
        <x:v>104</x:v>
      </x:c>
      <x:c r="D183" s="78">
        <x:f>IF(A183&lt;=$E$32,$E$31^A183,"")</x:f>
        <x:v>1.0506249999999999</x:v>
      </x:c>
      <x:c r="E183" s="60">
        <x:f>IF(A183&lt;$E$36,ROUNDUP(ROUND($E$33*$E$34^A183,6),0),"")</x:f>
        <x:v>11</x:v>
      </x:c>
      <x:c r="F183" s="60">
        <x:f>IF(A183&lt;=$E$36,F182+E182,"")</x:f>
        <x:v>21</x:v>
      </x:c>
      <x:c r="G183" s="78">
        <x:f>IF(A183&lt;=$E$36,$E$35^A183,"")</x:f>
        <x:v>1.0816000000000001</x:v>
      </x:c>
      <x:c r="H183" s="60">
        <x:f>IF(A183&lt;$E$40,ROUNDUP(ROUND($E$37*$E$38^A183,6),0),"")</x:f>
        <x:v>24</x:v>
      </x:c>
      <x:c r="I183" s="60">
        <x:f>IF(A183&lt;=$E$40,I182+H182,"")</x:f>
        <x:v>42</x:v>
      </x:c>
      <x:c r="J183" s="80">
        <x:f>IF(A183&lt;=$E$40,1+$E$39*A183,"")</x:f>
        <x:v>1.04</x:v>
      </x:c>
      <x:c r="K183" s="60"/>
      <x:c r="L183" s="60"/>
      <x:c r="M183" s="60"/>
      <x:c r="N183" s="60"/>
      <x:c r="O183" s="60"/>
      <x:c r="P183" s="60"/>
    </x:row>
    <x:row r="184" ht="30" customHeight="1">
      <x:c r="A184" s="61" t="n">
        <x:v>3</x:v>
      </x:c>
      <x:c r="B184" s="61">
        <x:f>IF(A184&lt;$E$32,ROUNDUP(ROUND($E$29*$E$30^A184,6),0),"")</x:f>
        <x:v>62</x:v>
      </x:c>
      <x:c r="C184" s="61">
        <x:f>IF(A184&lt;=$E$32,C183+B183,"")</x:f>
        <x:v>162</x:v>
      </x:c>
      <x:c r="D184" s="79">
        <x:f>IF(A184&lt;=$E$32,$E$31^A184,"")</x:f>
        <x:v>1.0768906249999999</x:v>
      </x:c>
      <x:c r="E184" s="61">
        <x:f>IF(A184&lt;$E$36,ROUNDUP(ROUND($E$33*$E$34^A184,6),0),"")</x:f>
        <x:v>12</x:v>
      </x:c>
      <x:c r="F184" s="61">
        <x:f>IF(A184&lt;=$E$36,F183+E183,"")</x:f>
        <x:v>32</x:v>
      </x:c>
      <x:c r="G184" s="79">
        <x:f>IF(A184&lt;=$E$36,$E$35^A184,"")</x:f>
        <x:v>1.1248640000000001</x:v>
      </x:c>
      <x:c r="H184" s="61">
        <x:f>IF(A184&lt;$E$40,ROUNDUP(ROUND($E$37*$E$38^A184,6),0),"")</x:f>
        <x:v>26</x:v>
      </x:c>
      <x:c r="I184" s="61">
        <x:f>IF(A184&lt;=$E$40,I183+H183,"")</x:f>
        <x:v>66</x:v>
      </x:c>
      <x:c r="J184" s="81">
        <x:f>IF(A184&lt;=$E$40,1+$E$39*A184,"")</x:f>
        <x:v>1.06</x:v>
      </x:c>
      <x:c r="K184" s="60"/>
      <x:c r="L184" s="60"/>
      <x:c r="M184" s="60"/>
      <x:c r="N184" s="60"/>
      <x:c r="O184" s="60"/>
      <x:c r="P184" s="60"/>
    </x:row>
    <x:row r="185" ht="30" customHeight="1">
      <x:c r="A185" s="60" t="n">
        <x:v>4</x:v>
      </x:c>
      <x:c r="B185" s="60">
        <x:f>IF(A185&lt;$E$32,ROUNDUP(ROUND($E$29*$E$30^A185,6),0),"")</x:f>
        <x:v>66</x:v>
      </x:c>
      <x:c r="C185" s="60">
        <x:f>IF(A185&lt;=$E$32,C184+B184,"")</x:f>
        <x:v>224</x:v>
      </x:c>
      <x:c r="D185" s="78">
        <x:f>IF(A185&lt;=$E$32,$E$31^A185,"")</x:f>
        <x:v>1.1038128906249998</x:v>
      </x:c>
      <x:c r="E185" s="60">
        <x:f>IF(A185&lt;$E$36,ROUNDUP(ROUND($E$33*$E$34^A185,6),0),"")</x:f>
        <x:v>12</x:v>
      </x:c>
      <x:c r="F185" s="60">
        <x:f>IF(A185&lt;=$E$36,F184+E184,"")</x:f>
        <x:v>44</x:v>
      </x:c>
      <x:c r="G185" s="78">
        <x:f>IF(A185&lt;=$E$36,$E$35^A185,"")</x:f>
        <x:v>1.1698585600000002</x:v>
      </x:c>
      <x:c r="H185" s="60">
        <x:f>IF(A185&lt;$E$40,ROUNDUP(ROUND($E$37*$E$38^A185,6),0),"")</x:f>
        <x:v>28</x:v>
      </x:c>
      <x:c r="I185" s="60">
        <x:f>IF(A185&lt;=$E$40,I184+H184,"")</x:f>
        <x:v>92</x:v>
      </x:c>
      <x:c r="J185" s="80">
        <x:f>IF(A185&lt;=$E$40,1+$E$39*A185,"")</x:f>
        <x:v>1.08</x:v>
      </x:c>
      <x:c r="K185" s="60"/>
      <x:c r="L185" s="60"/>
      <x:c r="M185" s="60"/>
      <x:c r="N185" s="60"/>
      <x:c r="O185" s="60"/>
      <x:c r="P185" s="60"/>
    </x:row>
    <x:row r="186" ht="30" customHeight="1">
      <x:c r="A186" s="61" t="n">
        <x:v>5</x:v>
      </x:c>
      <x:c r="B186" s="61">
        <x:f>IF(A186&lt;$E$32,ROUNDUP(ROUND($E$29*$E$30^A186,6),0),"")</x:f>
        <x:v>71</x:v>
      </x:c>
      <x:c r="C186" s="61">
        <x:f>IF(A186&lt;=$E$32,C185+B185,"")</x:f>
        <x:v>290</x:v>
      </x:c>
      <x:c r="D186" s="79">
        <x:f>IF(A186&lt;=$E$32,$E$31^A186,"")</x:f>
        <x:v>1.1314082128906247</x:v>
      </x:c>
      <x:c r="E186" s="61">
        <x:f>IF(A186&lt;$E$36,ROUNDUP(ROUND($E$33*$E$34^A186,6),0),"")</x:f>
        <x:v>13</x:v>
      </x:c>
      <x:c r="F186" s="61">
        <x:f>IF(A186&lt;=$E$36,F185+E185,"")</x:f>
        <x:v>56</x:v>
      </x:c>
      <x:c r="G186" s="79">
        <x:f>IF(A186&lt;=$E$36,$E$35^A186,"")</x:f>
        <x:v>1.2166529024000003</x:v>
      </x:c>
      <x:c r="H186" s="61">
        <x:f>IF(A186&lt;$E$40,ROUNDUP(ROUND($E$37*$E$38^A186,6),0),"")</x:f>
        <x:v>30</x:v>
      </x:c>
      <x:c r="I186" s="61">
        <x:f>IF(A186&lt;=$E$40,I185+H185,"")</x:f>
        <x:v>120</x:v>
      </x:c>
      <x:c r="J186" s="81">
        <x:f>IF(A186&lt;=$E$40,1+$E$39*A186,"")</x:f>
        <x:v>1.1000000000000001</x:v>
      </x:c>
      <x:c r="K186" s="60"/>
      <x:c r="L186" s="60"/>
      <x:c r="M186" s="60"/>
      <x:c r="N186" s="60"/>
      <x:c r="O186" s="60"/>
      <x:c r="P186" s="60"/>
    </x:row>
    <x:row r="187" ht="30" customHeight="1">
      <x:c r="A187" s="60" t="n">
        <x:v>6</x:v>
      </x:c>
      <x:c r="B187" s="60">
        <x:f>IF(A187&lt;$E$32,ROUNDUP(ROUND($E$29*$E$30^A187,6),0),"")</x:f>
        <x:v>76</x:v>
      </x:c>
      <x:c r="C187" s="60">
        <x:f>IF(A187&lt;=$E$32,C186+B186,"")</x:f>
        <x:v>361</x:v>
      </x:c>
      <x:c r="D187" s="78">
        <x:f>IF(A187&lt;=$E$32,$E$31^A187,"")</x:f>
        <x:v>1.1596934182128902</x:v>
      </x:c>
      <x:c r="E187" s="60">
        <x:f>IF(A187&lt;$E$36,ROUNDUP(ROUND($E$33*$E$34^A187,6),0),"")</x:f>
        <x:v>13</x:v>
      </x:c>
      <x:c r="F187" s="60">
        <x:f>IF(A187&lt;=$E$36,F186+E186,"")</x:f>
        <x:v>69</x:v>
      </x:c>
      <x:c r="G187" s="78">
        <x:f>IF(A187&lt;=$E$36,$E$35^A187,"")</x:f>
        <x:v>1.2653190184960004</x:v>
      </x:c>
      <x:c r="H187" s="60">
        <x:f>IF(A187&lt;$E$40,ROUNDUP(ROUND($E$37*$E$38^A187,6),0),"")</x:f>
        <x:v>32</x:v>
      </x:c>
      <x:c r="I187" s="60">
        <x:f>IF(A187&lt;=$E$40,I186+H186,"")</x:f>
        <x:v>150</x:v>
      </x:c>
      <x:c r="J187" s="80">
        <x:f>IF(A187&lt;=$E$40,1+$E$39*A187,"")</x:f>
        <x:v>1.1200000000000001</x:v>
      </x:c>
      <x:c r="K187" s="60"/>
      <x:c r="L187" s="60"/>
      <x:c r="M187" s="60"/>
      <x:c r="N187" s="60"/>
      <x:c r="O187" s="60"/>
      <x:c r="P187" s="60"/>
    </x:row>
    <x:row r="188" ht="30" customHeight="1">
      <x:c r="A188" s="61" t="n">
        <x:v>7</x:v>
      </x:c>
      <x:c r="B188" s="61">
        <x:f>IF(A188&lt;$E$32,ROUNDUP(ROUND($E$29*$E$30^A188,6),0),"")</x:f>
        <x:v>81</x:v>
      </x:c>
      <x:c r="C188" s="61">
        <x:f>IF(A188&lt;=$E$32,C187+B187,"")</x:f>
        <x:v>437</x:v>
      </x:c>
      <x:c r="D188" s="79">
        <x:f>IF(A188&lt;=$E$32,$E$31^A188,"")</x:f>
        <x:v>1.1886857536682125</x:v>
      </x:c>
      <x:c r="E188" s="61">
        <x:f>IF(A188&lt;$E$36,ROUNDUP(ROUND($E$33*$E$34^A188,6),0),"")</x:f>
        <x:v>14</x:v>
      </x:c>
      <x:c r="F188" s="61">
        <x:f>IF(A188&lt;=$E$36,F187+E187,"")</x:f>
        <x:v>82</x:v>
      </x:c>
      <x:c r="G188" s="79">
        <x:f>IF(A188&lt;=$E$36,$E$35^A188,"")</x:f>
        <x:v>1.3159317792358403</x:v>
      </x:c>
      <x:c r="H188" s="61">
        <x:f>IF(A188&lt;$E$40,ROUNDUP(ROUND($E$37*$E$38^A188,6),0),"")</x:f>
        <x:v>35</x:v>
      </x:c>
      <x:c r="I188" s="61">
        <x:f>IF(A188&lt;=$E$40,I187+H187,"")</x:f>
        <x:v>182</x:v>
      </x:c>
      <x:c r="J188" s="81">
        <x:f>IF(A188&lt;=$E$40,1+$E$39*A188,"")</x:f>
        <x:v>1.1400000000000001</x:v>
      </x:c>
      <x:c r="K188" s="60"/>
      <x:c r="L188" s="60"/>
      <x:c r="M188" s="60"/>
      <x:c r="N188" s="60"/>
      <x:c r="O188" s="60"/>
      <x:c r="P188" s="60"/>
    </x:row>
    <x:row r="189" ht="30" customHeight="1">
      <x:c r="A189" s="60" t="n">
        <x:v>8</x:v>
      </x:c>
      <x:c r="B189" s="60">
        <x:f>IF(A189&lt;$E$32,ROUNDUP(ROUND($E$29*$E$30^A189,6),0),"")</x:f>
        <x:v>86</x:v>
      </x:c>
      <x:c r="C189" s="60">
        <x:f>IF(A189&lt;=$E$32,C188+B188,"")</x:f>
        <x:v>518</x:v>
      </x:c>
      <x:c r="D189" s="78">
        <x:f>IF(A189&lt;=$E$32,$E$31^A189,"")</x:f>
        <x:v>1.2184028975099177</x:v>
      </x:c>
      <x:c r="E189" s="60">
        <x:f>IF(A189&lt;$E$36,ROUNDUP(ROUND($E$33*$E$34^A189,6),0),"")</x:f>
        <x:v>14</x:v>
      </x:c>
      <x:c r="F189" s="60">
        <x:f>IF(A189&lt;=$E$36,F188+E188,"")</x:f>
        <x:v>96</x:v>
      </x:c>
      <x:c r="G189" s="78">
        <x:f>IF(A189&lt;=$E$36,$E$35^A189,"")</x:f>
        <x:v>1.3685690504052741</x:v>
      </x:c>
      <x:c r="H189" s="60">
        <x:f>IF(A189&lt;$E$40,ROUNDUP(ROUND($E$37*$E$38^A189,6),0),"")</x:f>
        <x:v>38</x:v>
      </x:c>
      <x:c r="I189" s="60">
        <x:f>IF(A189&lt;=$E$40,I188+H188,"")</x:f>
        <x:v>217</x:v>
      </x:c>
      <x:c r="J189" s="80">
        <x:f>IF(A189&lt;=$E$40,1+$E$39*A189,"")</x:f>
        <x:v>1.1599999999999999</x:v>
      </x:c>
      <x:c r="K189" s="60"/>
      <x:c r="L189" s="60"/>
      <x:c r="M189" s="60"/>
      <x:c r="N189" s="60"/>
      <x:c r="O189" s="60"/>
      <x:c r="P189" s="60"/>
    </x:row>
    <x:row r="190" ht="30" customHeight="1">
      <x:c r="A190" s="61" t="n">
        <x:v>9</x:v>
      </x:c>
      <x:c r="B190" s="61">
        <x:f>IF(A190&lt;$E$32,ROUNDUP(ROUND($E$29*$E$30^A190,6),0),"")</x:f>
        <x:v>92</x:v>
      </x:c>
      <x:c r="C190" s="61">
        <x:f>IF(A190&lt;=$E$32,C189+B189,"")</x:f>
        <x:v>604</x:v>
      </x:c>
      <x:c r="D190" s="79">
        <x:f>IF(A190&lt;=$E$32,$E$31^A190,"")</x:f>
        <x:v>1.2488629699476654</x:v>
      </x:c>
      <x:c r="E190" s="61">
        <x:f>IF(A190&lt;$E$36,ROUNDUP(ROUND($E$33*$E$34^A190,6),0),"")</x:f>
        <x:v>15</x:v>
      </x:c>
      <x:c r="F190" s="61">
        <x:f>IF(A190&lt;=$E$36,F189+E189,"")</x:f>
        <x:v>110</x:v>
      </x:c>
      <x:c r="G190" s="79">
        <x:f>IF(A190&lt;=$E$36,$E$35^A190,"")</x:f>
        <x:v>1.4233118124214852</x:v>
      </x:c>
      <x:c r="H190" s="61">
        <x:f>IF(A190&lt;$E$40,ROUNDUP(ROUND($E$37*$E$38^A190,6),0),"")</x:f>
        <x:v>40</x:v>
      </x:c>
      <x:c r="I190" s="61">
        <x:f>IF(A190&lt;=$E$40,I189+H189,"")</x:f>
        <x:v>255</x:v>
      </x:c>
      <x:c r="J190" s="81">
        <x:f>IF(A190&lt;=$E$40,1+$E$39*A190,"")</x:f>
        <x:v>1.18</x:v>
      </x:c>
      <x:c r="K190" s="60"/>
      <x:c r="L190" s="60"/>
      <x:c r="M190" s="60"/>
      <x:c r="N190" s="60"/>
      <x:c r="O190" s="60"/>
      <x:c r="P190" s="60"/>
    </x:row>
    <x:row r="191" ht="30" customHeight="1">
      <x:c r="A191" s="60" t="n">
        <x:v>10</x:v>
      </x:c>
      <x:c r="B191" s="60">
        <x:f>IF(A191&lt;$E$32,ROUNDUP(ROUND($E$29*$E$30^A191,6),0),"")</x:f>
        <x:v>99</x:v>
      </x:c>
      <x:c r="C191" s="60">
        <x:f>IF(A191&lt;=$E$32,C190+B190,"")</x:f>
        <x:v>696</x:v>
      </x:c>
      <x:c r="D191" s="78">
        <x:f>IF(A191&lt;=$E$32,$E$31^A191,"")</x:f>
        <x:v>1.2800845441963571</x:v>
      </x:c>
      <x:c r="E191" s="60">
        <x:f>IF(A191&lt;$E$36,ROUNDUP(ROUND($E$33*$E$34^A191,6),0),"")</x:f>
        <x:v>15</x:v>
      </x:c>
      <x:c r="F191" s="60">
        <x:f>IF(A191&lt;=$E$36,F190+E190,"")</x:f>
        <x:v>125</x:v>
      </x:c>
      <x:c r="G191" s="78">
        <x:f>IF(A191&lt;=$E$36,$E$35^A191,"")</x:f>
        <x:v>1.4802442849183446</x:v>
      </x:c>
      <x:c r="H191" s="60">
        <x:f>IF(A191&lt;$E$40,ROUNDUP(ROUND($E$37*$E$38^A191,6),0),"")</x:f>
        <x:v>44</x:v>
      </x:c>
      <x:c r="I191" s="60">
        <x:f>IF(A191&lt;=$E$40,I190+H190,"")</x:f>
        <x:v>295</x:v>
      </x:c>
      <x:c r="J191" s="80">
        <x:f>IF(A191&lt;=$E$40,1+$E$39*A191,"")</x:f>
        <x:v>1.2</x:v>
      </x:c>
      <x:c r="K191" s="60"/>
      <x:c r="L191" s="60"/>
      <x:c r="M191" s="60"/>
      <x:c r="N191" s="60"/>
      <x:c r="O191" s="60"/>
      <x:c r="P191" s="60"/>
    </x:row>
    <x:row r="192" ht="30" customHeight="1">
      <x:c r="A192" s="61" t="n">
        <x:v>11</x:v>
      </x:c>
      <x:c r="B192" s="61">
        <x:f>IF(A192&lt;$E$32,ROUNDUP(ROUND($E$29*$E$30^A192,6),0),"")</x:f>
        <x:v>106</x:v>
      </x:c>
      <x:c r="C192" s="61">
        <x:f>IF(A192&lt;=$E$32,C191+B191,"")</x:f>
        <x:v>795</x:v>
      </x:c>
      <x:c r="D192" s="79">
        <x:f>IF(A192&lt;=$E$32,$E$31^A192,"")</x:f>
        <x:v>1.312086657801266</x:v>
      </x:c>
      <x:c r="E192" s="61">
        <x:f>IF(A192&lt;$E$36,ROUNDUP(ROUND($E$33*$E$34^A192,6),0),"")</x:f>
        <x:v>16</x:v>
      </x:c>
      <x:c r="F192" s="61">
        <x:f>IF(A192&lt;=$E$36,F191+E191,"")</x:f>
        <x:v>140</x:v>
      </x:c>
      <x:c r="G192" s="79">
        <x:f>IF(A192&lt;=$E$36,$E$35^A192,"")</x:f>
        <x:v>1.5394540563150783</x:v>
      </x:c>
      <x:c r="H192" s="61">
        <x:f>IF(A192&lt;$E$40,ROUNDUP(ROUND($E$37*$E$38^A192,6),0),"")</x:f>
        <x:v>47</x:v>
      </x:c>
      <x:c r="I192" s="61">
        <x:f>IF(A192&lt;=$E$40,I191+H191,"")</x:f>
        <x:v>339</x:v>
      </x:c>
      <x:c r="J192" s="81">
        <x:f>IF(A192&lt;=$E$40,1+$E$39*A192,"")</x:f>
        <x:v>1.22</x:v>
      </x:c>
      <x:c r="K192" s="60"/>
      <x:c r="L192" s="60"/>
      <x:c r="M192" s="60"/>
      <x:c r="N192" s="60"/>
      <x:c r="O192" s="60"/>
      <x:c r="P192" s="60"/>
    </x:row>
    <x:row r="193" ht="30" customHeight="1">
      <x:c r="A193" s="60" t="n">
        <x:v>12</x:v>
      </x:c>
      <x:c r="B193" s="60">
        <x:f>IF(A193&lt;$E$32,ROUNDUP(ROUND($E$29*$E$30^A193,6),0),"")</x:f>
        <x:v>113</x:v>
      </x:c>
      <x:c r="C193" s="60">
        <x:f>IF(A193&lt;=$E$32,C192+B192,"")</x:f>
        <x:v>901</x:v>
      </x:c>
      <x:c r="D193" s="78">
        <x:f>IF(A193&lt;=$E$32,$E$31^A193,"")</x:f>
        <x:v>1.3448888242462975</x:v>
      </x:c>
      <x:c r="E193" s="60">
        <x:f>IF(A193&lt;$E$36,ROUNDUP(ROUND($E$33*$E$34^A193,6),0),"")</x:f>
        <x:v>17</x:v>
      </x:c>
      <x:c r="F193" s="60">
        <x:f>IF(A193&lt;=$E$36,F192+E192,"")</x:f>
        <x:v>156</x:v>
      </x:c>
      <x:c r="G193" s="78">
        <x:f>IF(A193&lt;=$E$36,$E$35^A193,"")</x:f>
        <x:v>1.6010322185676817</x:v>
      </x:c>
      <x:c r="H193" s="60">
        <x:f>IF(A193&lt;$E$40,ROUNDUP(ROUND($E$37*$E$38^A193,6),0),"")</x:f>
        <x:v>51</x:v>
      </x:c>
      <x:c r="I193" s="60">
        <x:f>IF(A193&lt;=$E$40,I192+H192,"")</x:f>
        <x:v>386</x:v>
      </x:c>
      <x:c r="J193" s="80">
        <x:f>IF(A193&lt;=$E$40,1+$E$39*A193,"")</x:f>
        <x:v>1.24</x:v>
      </x:c>
      <x:c r="K193" s="60"/>
      <x:c r="L193" s="60"/>
      <x:c r="M193" s="60"/>
      <x:c r="N193" s="60"/>
      <x:c r="O193" s="60"/>
      <x:c r="P193" s="60"/>
    </x:row>
    <x:row r="194" ht="30" customHeight="1">
      <x:c r="A194" s="61" t="n">
        <x:v>13</x:v>
      </x:c>
      <x:c r="B194" s="61">
        <x:f>IF(A194&lt;$E$32,ROUNDUP(ROUND($E$29*$E$30^A194,6),0),"")</x:f>
        <x:v>121</x:v>
      </x:c>
      <x:c r="C194" s="61">
        <x:f>IF(A194&lt;=$E$32,C193+B193,"")</x:f>
        <x:v>1014</x:v>
      </x:c>
      <x:c r="D194" s="79">
        <x:f>IF(A194&lt;=$E$32,$E$31^A194,"")</x:f>
        <x:v>1.3785110448524549</x:v>
      </x:c>
      <x:c r="E194" s="61">
        <x:f>IF(A194&lt;$E$36,ROUNDUP(ROUND($E$33*$E$34^A194,6),0),"")</x:f>
        <x:v>17</x:v>
      </x:c>
      <x:c r="F194" s="61">
        <x:f>IF(A194&lt;=$E$36,F193+E193,"")</x:f>
        <x:v>173</x:v>
      </x:c>
      <x:c r="G194" s="79">
        <x:f>IF(A194&lt;=$E$36,$E$35^A194,"")</x:f>
        <x:v>1.6650735073103891</x:v>
      </x:c>
      <x:c r="H194" s="61">
        <x:f>IF(A194&lt;$E$40,ROUNDUP(ROUND($E$37*$E$38^A194,6),0),"")</x:f>
        <x:v>55</x:v>
      </x:c>
      <x:c r="I194" s="61">
        <x:f>IF(A194&lt;=$E$40,I193+H193,"")</x:f>
        <x:v>437</x:v>
      </x:c>
      <x:c r="J194" s="81">
        <x:f>IF(A194&lt;=$E$40,1+$E$39*A194,"")</x:f>
        <x:v>1.26</x:v>
      </x:c>
      <x:c r="K194" s="60"/>
      <x:c r="L194" s="60"/>
      <x:c r="M194" s="60"/>
      <x:c r="N194" s="60"/>
      <x:c r="O194" s="60"/>
      <x:c r="P194" s="60"/>
    </x:row>
    <x:row r="195" ht="30" customHeight="1">
      <x:c r="A195" s="60" t="n">
        <x:v>14</x:v>
      </x:c>
      <x:c r="B195" s="60">
        <x:f>IF(A195&lt;$E$32,ROUNDUP(ROUND($E$29*$E$30^A195,6),0),"")</x:f>
        <x:v>129</x:v>
      </x:c>
      <x:c r="C195" s="60">
        <x:f>IF(A195&lt;=$E$32,C194+B194,"")</x:f>
        <x:v>1135</x:v>
      </x:c>
      <x:c r="D195" s="78">
        <x:f>IF(A195&lt;=$E$32,$E$31^A195,"")</x:f>
        <x:v>1.4129738209737661</x:v>
      </x:c>
      <x:c r="E195" s="60">
        <x:f>IF(A195&lt;$E$36,ROUNDUP(ROUND($E$33*$E$34^A195,6),0),"")</x:f>
        <x:v>18</x:v>
      </x:c>
      <x:c r="F195" s="60">
        <x:f>IF(A195&lt;=$E$36,F194+E194,"")</x:f>
        <x:v>190</x:v>
      </x:c>
      <x:c r="G195" s="78">
        <x:f>IF(A195&lt;=$E$36,$E$35^A195,"")</x:f>
        <x:v>1.7316764476028046</x:v>
      </x:c>
      <x:c r="H195" s="60">
        <x:f>IF(A195&lt;$E$40,ROUNDUP(ROUND($E$37*$E$38^A195,6),0),"")</x:f>
        <x:v>59</x:v>
      </x:c>
      <x:c r="I195" s="60">
        <x:f>IF(A195&lt;=$E$40,I194+H194,"")</x:f>
        <x:v>492</x:v>
      </x:c>
      <x:c r="J195" s="80">
        <x:f>IF(A195&lt;=$E$40,1+$E$39*A195,"")</x:f>
        <x:v>1.28</x:v>
      </x:c>
      <x:c r="K195" s="60"/>
      <x:c r="L195" s="60"/>
      <x:c r="M195" s="60"/>
      <x:c r="N195" s="60"/>
      <x:c r="O195" s="60"/>
      <x:c r="P195" s="60"/>
    </x:row>
    <x:row r="196" ht="30" customHeight="1">
      <x:c r="A196" s="61" t="n">
        <x:v>15</x:v>
      </x:c>
      <x:c r="B196" s="61">
        <x:f>IF(A196&lt;$E$32,ROUNDUP(ROUND($E$29*$E$30^A196,6),0),"")</x:f>
        <x:v>138</x:v>
      </x:c>
      <x:c r="C196" s="61">
        <x:f>IF(A196&lt;=$E$32,C195+B195,"")</x:f>
        <x:v>1264</x:v>
      </x:c>
      <x:c r="D196" s="79">
        <x:f>IF(A196&lt;=$E$32,$E$31^A196,"")</x:f>
        <x:v>1.4482981664981105</x:v>
      </x:c>
      <x:c r="E196" s="61">
        <x:f>IF(A196&lt;$E$36,ROUNDUP(ROUND($E$33*$E$34^A196,6),0),"")</x:f>
        <x:v>19</x:v>
      </x:c>
      <x:c r="F196" s="61">
        <x:f>IF(A196&lt;=$E$36,F195+E195,"")</x:f>
        <x:v>208</x:v>
      </x:c>
      <x:c r="G196" s="79">
        <x:f>IF(A196&lt;=$E$36,$E$35^A196,"")</x:f>
        <x:v>1.8009435055069167</x:v>
      </x:c>
      <x:c r="H196" s="61">
        <x:f>IF(A196&lt;$E$40,ROUNDUP(ROUND($E$37*$E$38^A196,6),0),"")</x:f>
        <x:v>64</x:v>
      </x:c>
      <x:c r="I196" s="61">
        <x:f>IF(A196&lt;=$E$40,I195+H195,"")</x:f>
        <x:v>551</x:v>
      </x:c>
      <x:c r="J196" s="81">
        <x:f>IF(A196&lt;=$E$40,1+$E$39*A196,"")</x:f>
        <x:v>1.3</x:v>
      </x:c>
      <x:c r="K196" s="60"/>
      <x:c r="L196" s="60"/>
      <x:c r="M196" s="60"/>
      <x:c r="N196" s="60"/>
      <x:c r="O196" s="60"/>
      <x:c r="P196" s="60"/>
    </x:row>
    <x:row r="197" ht="30" customHeight="1">
      <x:c r="A197" s="60" t="n">
        <x:v>16</x:v>
      </x:c>
      <x:c r="B197" s="60">
        <x:f>IF(A197&lt;$E$32,ROUNDUP(ROUND($E$29*$E$30^A197,6),0),"")</x:f>
        <x:v>148</x:v>
      </x:c>
      <x:c r="C197" s="60">
        <x:f>IF(A197&lt;=$E$32,C196+B196,"")</x:f>
        <x:v>1402</x:v>
      </x:c>
      <x:c r="D197" s="78">
        <x:f>IF(A197&lt;=$E$32,$E$31^A197,"")</x:f>
        <x:v>1.4845056206605631</x:v>
      </x:c>
      <x:c r="E197" s="60">
        <x:f>IF(A197&lt;$E$36,ROUNDUP(ROUND($E$33*$E$34^A197,6),0),"")</x:f>
        <x:v>19</x:v>
      </x:c>
      <x:c r="F197" s="60">
        <x:f>IF(A197&lt;=$E$36,F196+E196,"")</x:f>
        <x:v>227</x:v>
      </x:c>
      <x:c r="G197" s="78">
        <x:f>IF(A197&lt;=$E$36,$E$35^A197,"")</x:f>
        <x:v>1.8729812457271937</x:v>
      </x:c>
      <x:c r="H197" s="60">
        <x:f>IF(A197&lt;$E$40,ROUNDUP(ROUND($E$37*$E$38^A197,6),0),"")</x:f>
        <x:v>69</x:v>
      </x:c>
      <x:c r="I197" s="60">
        <x:f>IF(A197&lt;=$E$40,I196+H196,"")</x:f>
        <x:v>615</x:v>
      </x:c>
      <x:c r="J197" s="80">
        <x:f>IF(A197&lt;=$E$40,1+$E$39*A197,"")</x:f>
        <x:v>1.32</x:v>
      </x:c>
      <x:c r="K197" s="60"/>
      <x:c r="L197" s="60"/>
      <x:c r="M197" s="60"/>
      <x:c r="N197" s="60"/>
      <x:c r="O197" s="60"/>
      <x:c r="P197" s="60"/>
    </x:row>
    <x:row r="198" ht="30" customHeight="1">
      <x:c r="A198" s="61" t="n">
        <x:v>17</x:v>
      </x:c>
      <x:c r="B198" s="61">
        <x:f>IF(A198&lt;$E$32,ROUNDUP(ROUND($E$29*$E$30^A198,6),0),"")</x:f>
        <x:v>158</x:v>
      </x:c>
      <x:c r="C198" s="61">
        <x:f>IF(A198&lt;=$E$32,C197+B197,"")</x:f>
        <x:v>1550</x:v>
      </x:c>
      <x:c r="D198" s="79">
        <x:f>IF(A198&lt;=$E$32,$E$31^A198,"")</x:f>
        <x:v>1.521618261177077</x:v>
      </x:c>
      <x:c r="E198" s="61">
        <x:f>IF(A198&lt;$E$36,ROUNDUP(ROUND($E$33*$E$34^A198,6),0),"")</x:f>
        <x:v>20</x:v>
      </x:c>
      <x:c r="F198" s="61">
        <x:f>IF(A198&lt;=$E$36,F197+E197,"")</x:f>
        <x:v>246</x:v>
      </x:c>
      <x:c r="G198" s="79">
        <x:f>IF(A198&lt;=$E$36,$E$35^A198,"")</x:f>
        <x:v>1.9479004955562815</x:v>
      </x:c>
      <x:c r="H198" s="61">
        <x:f>IF(A198&lt;$E$40,ROUNDUP(ROUND($E$37*$E$38^A198,6),0),"")</x:f>
        <x:v>75</x:v>
      </x:c>
      <x:c r="I198" s="61">
        <x:f>IF(A198&lt;=$E$40,I197+H197,"")</x:f>
        <x:v>684</x:v>
      </x:c>
      <x:c r="J198" s="81">
        <x:f>IF(A198&lt;=$E$40,1+$E$39*A198,"")</x:f>
        <x:v>1.34</x:v>
      </x:c>
      <x:c r="K198" s="60"/>
      <x:c r="L198" s="60"/>
      <x:c r="M198" s="60"/>
      <x:c r="N198" s="60"/>
      <x:c r="O198" s="60"/>
      <x:c r="P198" s="60"/>
    </x:row>
    <x:row r="199" ht="30" customHeight="1">
      <x:c r="A199" s="60" t="n">
        <x:v>18</x:v>
      </x:c>
      <x:c r="B199" s="60">
        <x:f>IF(A199&lt;$E$32,ROUNDUP(ROUND($E$29*$E$30^A199,6),0),"")</x:f>
        <x:v>169</x:v>
      </x:c>
      <x:c r="C199" s="60">
        <x:f>IF(A199&lt;=$E$32,C198+B198,"")</x:f>
        <x:v>1708</x:v>
      </x:c>
      <x:c r="D199" s="78">
        <x:f>IF(A199&lt;=$E$32,$E$31^A199,"")</x:f>
        <x:v>1.559658717706504</x:v>
      </x:c>
      <x:c r="E199" s="60">
        <x:f>IF(A199&lt;$E$36,ROUNDUP(ROUND($E$33*$E$34^A199,6),0),"")</x:f>
        <x:v>21</x:v>
      </x:c>
      <x:c r="F199" s="60">
        <x:f>IF(A199&lt;=$E$36,F198+E198,"")</x:f>
        <x:v>266</x:v>
      </x:c>
      <x:c r="G199" s="78">
        <x:f>IF(A199&lt;=$E$36,$E$35^A199,"")</x:f>
        <x:v>2.025816515378533</x:v>
      </x:c>
      <x:c r="H199" s="60">
        <x:f>IF(A199&lt;$E$40,ROUNDUP(ROUND($E$37*$E$38^A199,6),0),"")</x:f>
        <x:v>80</x:v>
      </x:c>
      <x:c r="I199" s="60">
        <x:f>IF(A199&lt;=$E$40,I198+H198,"")</x:f>
        <x:v>759</x:v>
      </x:c>
      <x:c r="J199" s="80">
        <x:f>IF(A199&lt;=$E$40,1+$E$39*A199,"")</x:f>
        <x:v>1.3599999999999999</x:v>
      </x:c>
      <x:c r="K199" s="60"/>
      <x:c r="L199" s="60"/>
      <x:c r="M199" s="60"/>
      <x:c r="N199" s="60"/>
      <x:c r="O199" s="60"/>
      <x:c r="P199" s="60"/>
    </x:row>
    <x:row r="200" ht="30" customHeight="1">
      <x:c r="A200" s="61" t="n">
        <x:v>19</x:v>
      </x:c>
      <x:c r="B200" s="61">
        <x:f>IF(A200&lt;$E$32,ROUNDUP(ROUND($E$29*$E$30^A200,6),0),"")</x:f>
        <x:v>181</x:v>
      </x:c>
      <x:c r="C200" s="61">
        <x:f>IF(A200&lt;=$E$32,C199+B199,"")</x:f>
        <x:v>1877</x:v>
      </x:c>
      <x:c r="D200" s="79">
        <x:f>IF(A200&lt;=$E$32,$E$31^A200,"")</x:f>
        <x:v>1.5986501856491666</x:v>
      </x:c>
      <x:c r="E200" s="61">
        <x:f>IF(A200&lt;$E$36,ROUNDUP(ROUND($E$33*$E$34^A200,6),0),"")</x:f>
        <x:v>22</x:v>
      </x:c>
      <x:c r="F200" s="61">
        <x:f>IF(A200&lt;=$E$36,F199+E199,"")</x:f>
        <x:v>287</x:v>
      </x:c>
      <x:c r="G200" s="79">
        <x:f>IF(A200&lt;=$E$36,$E$35^A200,"")</x:f>
        <x:v>2.1068491759936743</x:v>
      </x:c>
      <x:c r="H200" s="61">
        <x:f>IF(A200&lt;$E$40,ROUNDUP(ROUND($E$37*$E$38^A200,6),0),"")</x:f>
        <x:v>87</x:v>
      </x:c>
      <x:c r="I200" s="61">
        <x:f>IF(A200&lt;=$E$40,I199+H199,"")</x:f>
        <x:v>839</x:v>
      </x:c>
      <x:c r="J200" s="81">
        <x:f>IF(A200&lt;=$E$40,1+$E$39*A200,"")</x:f>
        <x:v>1.38</x:v>
      </x:c>
      <x:c r="K200" s="60"/>
      <x:c r="L200" s="60"/>
      <x:c r="M200" s="60"/>
      <x:c r="N200" s="60"/>
      <x:c r="O200" s="60"/>
      <x:c r="P200" s="60"/>
    </x:row>
    <x:row r="201" ht="30" customHeight="1">
      <x:c r="A201" s="60" t="n">
        <x:v>20</x:v>
      </x:c>
      <x:c r="B201" s="60">
        <x:f>IF(A201&lt;$E$32,ROUNDUP(ROUND($E$29*$E$30^A201,6),0),"")</x:f>
        <x:v>194</x:v>
      </x:c>
      <x:c r="C201" s="60">
        <x:f>IF(A201&lt;=$E$32,C200+B200,"")</x:f>
        <x:v>2058</x:v>
      </x:c>
      <x:c r="D201" s="78">
        <x:f>IF(A201&lt;=$E$32,$E$31^A201,"")</x:f>
        <x:v>1.6386164402903955</x:v>
      </x:c>
      <x:c r="E201" s="60">
        <x:f>IF(A201&lt;$E$36,ROUNDUP(ROUND($E$33*$E$34^A201,6),0),"")</x:f>
        <x:v>22</x:v>
      </x:c>
      <x:c r="F201" s="60">
        <x:f>IF(A201&lt;=$E$36,F200+E200,"")</x:f>
        <x:v>309</x:v>
      </x:c>
      <x:c r="G201" s="78">
        <x:f>IF(A201&lt;=$E$36,$E$35^A201,"")</x:f>
        <x:v>2.1911231430334213</x:v>
      </x:c>
      <x:c r="H201" s="60">
        <x:f>IF(A201&lt;$E$40,ROUNDUP(ROUND($E$37*$E$38^A201,6),0),"")</x:f>
        <x:v>94</x:v>
      </x:c>
      <x:c r="I201" s="60">
        <x:f>IF(A201&lt;=$E$40,I200+H200,"")</x:f>
        <x:v>926</x:v>
      </x:c>
      <x:c r="J201" s="80">
        <x:f>IF(A201&lt;=$E$40,1+$E$39*A201,"")</x:f>
        <x:v>1.4</x:v>
      </x:c>
      <x:c r="K201" s="60"/>
      <x:c r="L201" s="60"/>
      <x:c r="M201" s="60"/>
      <x:c r="N201" s="60"/>
      <x:c r="O201" s="60"/>
      <x:c r="P201" s="60"/>
    </x:row>
    <x:row r="202" ht="30" customHeight="1">
      <x:c r="A202" s="61" t="n">
        <x:v>21</x:v>
      </x:c>
      <x:c r="B202" s="61">
        <x:f>IF(A202&lt;$E$32,ROUNDUP(ROUND($E$29*$E$30^A202,6),0),"")</x:f>
        <x:v>208</x:v>
      </x:c>
      <x:c r="C202" s="61">
        <x:f>IF(A202&lt;=$E$32,C201+B201,"")</x:f>
        <x:v>2252</x:v>
      </x:c>
      <x:c r="D202" s="79">
        <x:f>IF(A202&lt;=$E$32,$E$31^A202,"")</x:f>
        <x:v>1.6795818512976552</x:v>
      </x:c>
      <x:c r="E202" s="61">
        <x:f>IF(A202&lt;$E$36,ROUNDUP(ROUND($E$33*$E$34^A202,6),0),"")</x:f>
        <x:v>23</x:v>
      </x:c>
      <x:c r="F202" s="61">
        <x:f>IF(A202&lt;=$E$36,F201+E201,"")</x:f>
        <x:v>331</x:v>
      </x:c>
      <x:c r="G202" s="79">
        <x:f>IF(A202&lt;=$E$36,$E$35^A202,"")</x:f>
        <x:v>2.2787680687547587</x:v>
      </x:c>
      <x:c r="H202" s="61">
        <x:f>IF(A202&lt;$E$40,ROUNDUP(ROUND($E$37*$E$38^A202,6),0),"")</x:f>
        <x:v>101</x:v>
      </x:c>
      <x:c r="I202" s="61">
        <x:f>IF(A202&lt;=$E$40,I201+H201,"")</x:f>
        <x:v>1020</x:v>
      </x:c>
      <x:c r="J202" s="81">
        <x:f>IF(A202&lt;=$E$40,1+$E$39*A202,"")</x:f>
        <x:v>1.42</x:v>
      </x:c>
      <x:c r="K202" s="60"/>
      <x:c r="L202" s="60"/>
      <x:c r="M202" s="60"/>
      <x:c r="N202" s="60"/>
      <x:c r="O202" s="60"/>
      <x:c r="P202" s="60"/>
    </x:row>
    <x:row r="203" ht="30" customHeight="1">
      <x:c r="A203" s="60" t="n">
        <x:v>22</x:v>
      </x:c>
      <x:c r="B203" s="60">
        <x:f>IF(A203&lt;$E$32,ROUNDUP(ROUND($E$29*$E$30^A203,6),0),"")</x:f>
        <x:v>222</x:v>
      </x:c>
      <x:c r="C203" s="60">
        <x:f>IF(A203&lt;=$E$32,C202+B202,"")</x:f>
        <x:v>2460</x:v>
      </x:c>
      <x:c r="D203" s="78">
        <x:f>IF(A203&lt;=$E$32,$E$31^A203,"")</x:f>
        <x:v>1.7215713975800966</x:v>
      </x:c>
      <x:c r="E203" s="60">
        <x:f>IF(A203&lt;$E$36,ROUNDUP(ROUND($E$33*$E$34^A203,6),0),"")</x:f>
        <x:v>24</x:v>
      </x:c>
      <x:c r="F203" s="60">
        <x:f>IF(A203&lt;=$E$36,F202+E202,"")</x:f>
        <x:v>354</x:v>
      </x:c>
      <x:c r="G203" s="78">
        <x:f>IF(A203&lt;=$E$36,$E$35^A203,"")</x:f>
        <x:v>2.3699187915049489</x:v>
      </x:c>
      <x:c r="H203" s="60">
        <x:f>IF(A203&lt;$E$40,ROUNDUP(ROUND($E$37*$E$38^A203,6),0),"")</x:f>
        <x:v>109</x:v>
      </x:c>
      <x:c r="I203" s="60">
        <x:f>IF(A203&lt;=$E$40,I202+H202,"")</x:f>
        <x:v>1121</x:v>
      </x:c>
      <x:c r="J203" s="80">
        <x:f>IF(A203&lt;=$E$40,1+$E$39*A203,"")</x:f>
        <x:v>1.44</x:v>
      </x:c>
      <x:c r="K203" s="60"/>
      <x:c r="L203" s="60"/>
      <x:c r="M203" s="60"/>
      <x:c r="N203" s="60"/>
      <x:c r="O203" s="60"/>
      <x:c r="P203" s="60"/>
    </x:row>
    <x:row r="204" ht="30" customHeight="1">
      <x:c r="A204" s="61" t="n">
        <x:v>23</x:v>
      </x:c>
      <x:c r="B204" s="61">
        <x:f>IF(A204&lt;$E$32,ROUNDUP(ROUND($E$29*$E$30^A204,6),0),"")</x:f>
        <x:v>238</x:v>
      </x:c>
      <x:c r="C204" s="61">
        <x:f>IF(A204&lt;=$E$32,C203+B203,"")</x:f>
        <x:v>2682</x:v>
      </x:c>
      <x:c r="D204" s="79">
        <x:f>IF(A204&lt;=$E$32,$E$31^A204,"")</x:f>
        <x:v>1.7646106825195991</x:v>
      </x:c>
      <x:c r="E204" s="61">
        <x:f>IF(A204&lt;$E$36,ROUNDUP(ROUND($E$33*$E$34^A204,6),0),"")</x:f>
        <x:v>25</x:v>
      </x:c>
      <x:c r="F204" s="61">
        <x:f>IF(A204&lt;=$E$36,F203+E203,"")</x:f>
        <x:v>378</x:v>
      </x:c>
      <x:c r="G204" s="79">
        <x:f>IF(A204&lt;=$E$36,$E$35^A204,"")</x:f>
        <x:v>2.4647155431651466</x:v>
      </x:c>
      <x:c r="H204" s="61">
        <x:f>IF(A204&lt;$E$40,ROUNDUP(ROUND($E$37*$E$38^A204,6),0),"")</x:f>
        <x:v>118</x:v>
      </x:c>
      <x:c r="I204" s="61">
        <x:f>IF(A204&lt;=$E$40,I203+H203,"")</x:f>
        <x:v>1230</x:v>
      </x:c>
      <x:c r="J204" s="81">
        <x:f>IF(A204&lt;=$E$40,1+$E$39*A204,"")</x:f>
        <x:v>1.46</x:v>
      </x:c>
      <x:c r="K204" s="60"/>
      <x:c r="L204" s="60"/>
      <x:c r="M204" s="60"/>
      <x:c r="N204" s="60"/>
      <x:c r="O204" s="60"/>
      <x:c r="P204" s="60"/>
    </x:row>
    <x:row r="205" ht="30" customHeight="1">
      <x:c r="A205" s="60" t="n">
        <x:v>24</x:v>
      </x:c>
      <x:c r="B205" s="60">
        <x:f>IF(A205&lt;$E$32,ROUNDUP(ROUND($E$29*$E$30^A205,6),0),"")</x:f>
        <x:v>254</x:v>
      </x:c>
      <x:c r="C205" s="60">
        <x:f>IF(A205&lt;=$E$32,C204+B204,"")</x:f>
        <x:v>2920</x:v>
      </x:c>
      <x:c r="D205" s="78">
        <x:f>IF(A205&lt;=$E$32,$E$31^A205,"")</x:f>
        <x:v>1.8087259495825889</x:v>
      </x:c>
      <x:c r="E205" s="60">
        <x:f>IF(A205&lt;$E$36,ROUNDUP(ROUND($E$33*$E$34^A205,6),0),"")</x:f>
        <x:v>26</x:v>
      </x:c>
      <x:c r="F205" s="60">
        <x:f>IF(A205&lt;=$E$36,F204+E204,"")</x:f>
        <x:v>403</x:v>
      </x:c>
      <x:c r="G205" s="78">
        <x:f>IF(A205&lt;=$E$36,$E$35^A205,"")</x:f>
        <x:v>2.5633041648917527</x:v>
      </x:c>
      <x:c r="H205" s="60">
        <x:f>IF(A205&lt;$E$40,ROUNDUP(ROUND($E$37*$E$38^A205,6),0),"")</x:f>
        <x:v>127</x:v>
      </x:c>
      <x:c r="I205" s="60">
        <x:f>IF(A205&lt;=$E$40,I204+H204,"")</x:f>
        <x:v>1348</x:v>
      </x:c>
      <x:c r="J205" s="80">
        <x:f>IF(A205&lt;=$E$40,1+$E$39*A205,"")</x:f>
        <x:v>1.48</x:v>
      </x:c>
      <x:c r="K205" s="60"/>
      <x:c r="L205" s="60"/>
      <x:c r="M205" s="60"/>
      <x:c r="N205" s="60"/>
      <x:c r="O205" s="60"/>
      <x:c r="P205" s="60"/>
    </x:row>
    <x:row r="206" ht="30" customHeight="1">
      <x:c r="A206" s="61" t="n">
        <x:v>25</x:v>
      </x:c>
      <x:c r="B206" s="61">
        <x:f>IF(A206&lt;$E$32,ROUNDUP(ROUND($E$29*$E$30^A206,6),0),"")</x:f>
        <x:v>272</x:v>
      </x:c>
      <x:c r="C206" s="61">
        <x:f>IF(A206&lt;=$E$32,C205+B205,"")</x:f>
        <x:v>3174</x:v>
      </x:c>
      <x:c r="D206" s="79">
        <x:f>IF(A206&lt;=$E$32,$E$31^A206,"")</x:f>
        <x:v>1.8539440983221533</x:v>
      </x:c>
      <x:c r="E206" s="61">
        <x:f>IF(A206&lt;$E$36,ROUNDUP(ROUND($E$33*$E$34^A206,6),0),"")</x:f>
        <x:v>27</x:v>
      </x:c>
      <x:c r="F206" s="61">
        <x:f>IF(A206&lt;=$E$36,F205+E205,"")</x:f>
        <x:v>429</x:v>
      </x:c>
      <x:c r="G206" s="79">
        <x:f>IF(A206&lt;=$E$36,$E$35^A206,"")</x:f>
        <x:v>2.6658363314874234</x:v>
      </x:c>
      <x:c r="H206" s="61">
        <x:f>IF(A206&lt;$E$40,ROUNDUP(ROUND($E$37*$E$38^A206,6),0),"")</x:f>
        <x:v>137</x:v>
      </x:c>
      <x:c r="I206" s="61">
        <x:f>IF(A206&lt;=$E$40,I205+H205,"")</x:f>
        <x:v>1475</x:v>
      </x:c>
      <x:c r="J206" s="81">
        <x:f>IF(A206&lt;=$E$40,1+$E$39*A206,"")</x:f>
        <x:v>1.5</x:v>
      </x:c>
      <x:c r="K206" s="60"/>
      <x:c r="L206" s="60"/>
      <x:c r="M206" s="60"/>
      <x:c r="N206" s="60"/>
      <x:c r="O206" s="60"/>
      <x:c r="P206" s="60"/>
    </x:row>
    <x:row r="207" ht="30" customHeight="1">
      <x:c r="A207" s="60" t="n">
        <x:v>26</x:v>
      </x:c>
      <x:c r="B207" s="60">
        <x:f>IF(A207&lt;$E$32,ROUNDUP(ROUND($E$29*$E$30^A207,6),0),"")</x:f>
        <x:v>291</x:v>
      </x:c>
      <x:c r="C207" s="60">
        <x:f>IF(A207&lt;=$E$32,C206+B206,"")</x:f>
        <x:v>3446</x:v>
      </x:c>
      <x:c r="D207" s="78">
        <x:f>IF(A207&lt;=$E$32,$E$31^A207,"")</x:f>
        <x:v>1.9002927007802071</x:v>
      </x:c>
      <x:c r="E207" s="60">
        <x:f>IF(A207&lt;$E$36,ROUNDUP(ROUND($E$33*$E$34^A207,6),0),"")</x:f>
        <x:v>28</x:v>
      </x:c>
      <x:c r="F207" s="60">
        <x:f>IF(A207&lt;=$E$36,F206+E206,"")</x:f>
        <x:v>456</x:v>
      </x:c>
      <x:c r="G207" s="78">
        <x:f>IF(A207&lt;=$E$36,$E$35^A207,"")</x:f>
        <x:v>2.77246978474692</x:v>
      </x:c>
      <x:c r="H207" s="60">
        <x:f>IF(A207&lt;$E$40,ROUNDUP(ROUND($E$37*$E$38^A207,6),0),"")</x:f>
        <x:v>148</x:v>
      </x:c>
      <x:c r="I207" s="60">
        <x:f>IF(A207&lt;=$E$40,I206+H206,"")</x:f>
        <x:v>1612</x:v>
      </x:c>
      <x:c r="J207" s="80">
        <x:f>IF(A207&lt;=$E$40,1+$E$39*A207,"")</x:f>
        <x:v>1.52</x:v>
      </x:c>
      <x:c r="K207" s="60"/>
      <x:c r="L207" s="60"/>
      <x:c r="M207" s="60"/>
      <x:c r="N207" s="60"/>
      <x:c r="O207" s="60"/>
      <x:c r="P207" s="60"/>
    </x:row>
    <x:row r="208" ht="30" customHeight="1">
      <x:c r="A208" s="61" t="n">
        <x:v>27</x:v>
      </x:c>
      <x:c r="B208" s="61">
        <x:f>IF(A208&lt;$E$32,ROUNDUP(ROUND($E$29*$E$30^A208,6),0),"")</x:f>
        <x:v>311</x:v>
      </x:c>
      <x:c r="C208" s="61">
        <x:f>IF(A208&lt;=$E$32,C207+B207,"")</x:f>
        <x:v>3737</x:v>
      </x:c>
      <x:c r="D208" s="79">
        <x:f>IF(A208&lt;=$E$32,$E$31^A208,"")</x:f>
        <x:v>1.9478000182997122</x:v>
      </x:c>
      <x:c r="E208" s="61">
        <x:f>IF(A208&lt;$E$36,ROUNDUP(ROUND($E$33*$E$34^A208,6),0),"")</x:f>
        <x:v>29</x:v>
      </x:c>
      <x:c r="F208" s="61">
        <x:f>IF(A208&lt;=$E$36,F207+E207,"")</x:f>
        <x:v>484</x:v>
      </x:c>
      <x:c r="G208" s="79">
        <x:f>IF(A208&lt;=$E$36,$E$35^A208,"")</x:f>
        <x:v>2.8833685761367969</x:v>
      </x:c>
      <x:c r="H208" s="61">
        <x:f>IF(A208&lt;$E$40,ROUNDUP(ROUND($E$37*$E$38^A208,6),0),"")</x:f>
        <x:v>160</x:v>
      </x:c>
      <x:c r="I208" s="61">
        <x:f>IF(A208&lt;=$E$40,I207+H207,"")</x:f>
        <x:v>1760</x:v>
      </x:c>
      <x:c r="J208" s="81">
        <x:f>IF(A208&lt;=$E$40,1+$E$39*A208,"")</x:f>
        <x:v>1.54</x:v>
      </x:c>
      <x:c r="K208" s="60"/>
      <x:c r="L208" s="60"/>
      <x:c r="M208" s="60"/>
      <x:c r="N208" s="60"/>
      <x:c r="O208" s="60"/>
      <x:c r="P208" s="60"/>
    </x:row>
    <x:row r="209" ht="30" customHeight="1">
      <x:c r="A209" s="60" t="n">
        <x:v>28</x:v>
      </x:c>
      <x:c r="B209" s="60">
        <x:f>IF(A209&lt;$E$32,ROUNDUP(ROUND($E$29*$E$30^A209,6),0),"")</x:f>
        <x:v>333</x:v>
      </x:c>
      <x:c r="C209" s="60">
        <x:f>IF(A209&lt;=$E$32,C208+B208,"")</x:f>
        <x:v>4048</x:v>
      </x:c>
      <x:c r="D209" s="78">
        <x:f>IF(A209&lt;=$E$32,$E$31^A209,"")</x:f>
        <x:v>1.9964950187572048</x:v>
      </x:c>
      <x:c r="E209" s="60">
        <x:f>IF(A209&lt;$E$36,ROUNDUP(ROUND($E$33*$E$34^A209,6),0),"")</x:f>
        <x:v>30</x:v>
      </x:c>
      <x:c r="F209" s="60">
        <x:f>IF(A209&lt;=$E$36,F208+E208,"")</x:f>
        <x:v>513</x:v>
      </x:c>
      <x:c r="G209" s="78">
        <x:f>IF(A209&lt;=$E$36,$E$35^A209,"")</x:f>
        <x:v>2.9987033191822694</x:v>
      </x:c>
      <x:c r="H209" s="60">
        <x:f>IF(A209&lt;$E$40,ROUNDUP(ROUND($E$37*$E$38^A209,6),0),"")</x:f>
        <x:v>173</x:v>
      </x:c>
      <x:c r="I209" s="60">
        <x:f>IF(A209&lt;=$E$40,I208+H208,"")</x:f>
        <x:v>1920</x:v>
      </x:c>
      <x:c r="J209" s="80">
        <x:f>IF(A209&lt;=$E$40,1+$E$39*A209,"")</x:f>
        <x:v>1.56</x:v>
      </x:c>
      <x:c r="K209" s="60"/>
      <x:c r="L209" s="60"/>
      <x:c r="M209" s="60"/>
      <x:c r="N209" s="60"/>
      <x:c r="O209" s="60"/>
      <x:c r="P209" s="60"/>
    </x:row>
    <x:row r="210" ht="30" customHeight="1">
      <x:c r="A210" s="61" t="n">
        <x:v>29</x:v>
      </x:c>
      <x:c r="B210" s="61">
        <x:f>IF(A210&lt;$E$32,ROUNDUP(ROUND($E$29*$E$30^A210,6),0),"")</x:f>
        <x:v>356</x:v>
      </x:c>
      <x:c r="C210" s="61">
        <x:f>IF(A210&lt;=$E$32,C209+B209,"")</x:f>
        <x:v>4381</x:v>
      </x:c>
      <x:c r="D210" s="79">
        <x:f>IF(A210&lt;=$E$32,$E$31^A210,"")</x:f>
        <x:v>2.0464073942261352</x:v>
      </x:c>
      <x:c r="E210" s="61">
        <x:f>IF(A210&lt;$E$36,ROUNDUP(ROUND($E$33*$E$34^A210,6),0),"")</x:f>
        <x:v>32</x:v>
      </x:c>
      <x:c r="F210" s="61">
        <x:f>IF(A210&lt;=$E$36,F209+E209,"")</x:f>
        <x:v>543</x:v>
      </x:c>
      <x:c r="G210" s="79">
        <x:f>IF(A210&lt;=$E$36,$E$35^A210,"")</x:f>
        <x:v>3.1186514519495603</x:v>
      </x:c>
      <x:c r="H210" s="61">
        <x:f>IF(A210&lt;$E$40,ROUNDUP(ROUND($E$37*$E$38^A210,6),0),"")</x:f>
        <x:v>187</x:v>
      </x:c>
      <x:c r="I210" s="61">
        <x:f>IF(A210&lt;=$E$40,I209+H209,"")</x:f>
        <x:v>2093</x:v>
      </x:c>
      <x:c r="J210" s="81">
        <x:f>IF(A210&lt;=$E$40,1+$E$39*A210,"")</x:f>
        <x:v>1.58</x:v>
      </x:c>
      <x:c r="K210" s="60"/>
      <x:c r="L210" s="60"/>
      <x:c r="M210" s="60"/>
      <x:c r="N210" s="60"/>
      <x:c r="O210" s="60"/>
      <x:c r="P210" s="60"/>
    </x:row>
    <x:row r="211" ht="30" customHeight="1">
      <x:c r="A211" s="60" t="n">
        <x:v>30</x:v>
      </x:c>
      <x:c r="B211" s="60">
        <x:f>IF(A211&lt;$E$32,ROUNDUP(ROUND($E$29*$E$30^A211,6),0),"")</x:f>
        <x:v>381</x:v>
      </x:c>
      <x:c r="C211" s="60">
        <x:f>IF(A211&lt;=$E$32,C210+B210,"")</x:f>
        <x:v>4737</x:v>
      </x:c>
      <x:c r="D211" s="78">
        <x:f>IF(A211&lt;=$E$32,$E$31^A211,"")</x:f>
        <x:v>2.097567579081788</x:v>
      </x:c>
      <x:c r="E211" s="60">
        <x:f>IF(A211&lt;$E$36,ROUNDUP(ROUND($E$33*$E$34^A211,6),0),"")</x:f>
        <x:v>33</x:v>
      </x:c>
      <x:c r="F211" s="60">
        <x:f>IF(A211&lt;=$E$36,F210+E210,"")</x:f>
        <x:v>575</x:v>
      </x:c>
      <x:c r="G211" s="78">
        <x:f>IF(A211&lt;=$E$36,$E$35^A211,"")</x:f>
        <x:v>3.2433975100275423</x:v>
      </x:c>
      <x:c r="H211" s="60">
        <x:f>IF(A211&lt;$E$40,ROUNDUP(ROUND($E$37*$E$38^A211,6),0),"")</x:f>
        <x:v>202</x:v>
      </x:c>
      <x:c r="I211" s="60">
        <x:f>IF(A211&lt;=$E$40,I210+H210,"")</x:f>
        <x:v>2280</x:v>
      </x:c>
      <x:c r="J211" s="80">
        <x:f>IF(A211&lt;=$E$40,1+$E$39*A211,"")</x:f>
        <x:v>1.6</x:v>
      </x:c>
      <x:c r="K211" s="60"/>
      <x:c r="L211" s="60"/>
      <x:c r="M211" s="60"/>
      <x:c r="N211" s="60"/>
      <x:c r="O211" s="60"/>
      <x:c r="P211" s="60"/>
    </x:row>
    <x:row r="212" ht="30" customHeight="1">
      <x:c r="A212" s="61" t="n">
        <x:v>31</x:v>
      </x:c>
      <x:c r="B212" s="61">
        <x:f>IF(A212&lt;$E$32,ROUNDUP(ROUND($E$29*$E$30^A212,6),0),"")</x:f>
        <x:v>408</x:v>
      </x:c>
      <x:c r="C212" s="61">
        <x:f>IF(A212&lt;=$E$32,C211+B211,"")</x:f>
        <x:v>5118</x:v>
      </x:c>
      <x:c r="D212" s="79">
        <x:f>IF(A212&lt;=$E$32,$E$31^A212,"")</x:f>
        <x:v>2.1500067685588333</x:v>
      </x:c>
      <x:c r="E212" s="61">
        <x:f>IF(A212&lt;$E$36,ROUNDUP(ROUND($E$33*$E$34^A212,6),0),"")</x:f>
        <x:v>34</x:v>
      </x:c>
      <x:c r="F212" s="61">
        <x:f>IF(A212&lt;=$E$36,F211+E211,"")</x:f>
        <x:v>608</x:v>
      </x:c>
      <x:c r="G212" s="79">
        <x:f>IF(A212&lt;=$E$36,$E$35^A212,"")</x:f>
        <x:v>3.3731334104286441</x:v>
      </x:c>
      <x:c r="H212" s="61">
        <x:f>IF(A212&lt;$E$40,ROUNDUP(ROUND($E$37*$E$38^A212,6),0),"")</x:f>
        <x:v>218</x:v>
      </x:c>
      <x:c r="I212" s="61">
        <x:f>IF(A212&lt;=$E$40,I211+H211,"")</x:f>
        <x:v>2482</x:v>
      </x:c>
      <x:c r="J212" s="81">
        <x:f>IF(A212&lt;=$E$40,1+$E$39*A212,"")</x:f>
        <x:v>1.62</x:v>
      </x:c>
      <x:c r="K212" s="60"/>
      <x:c r="L212" s="60"/>
      <x:c r="M212" s="60"/>
      <x:c r="N212" s="60"/>
      <x:c r="O212" s="60"/>
      <x:c r="P212" s="60"/>
    </x:row>
    <x:row r="213" ht="30" customHeight="1">
      <x:c r="A213" s="60" t="n">
        <x:v>32</x:v>
      </x:c>
      <x:c r="B213" s="60">
        <x:f>IF(A213&lt;$E$32,ROUNDUP(ROUND($E$29*$E$30^A213,6),0),"")</x:f>
        <x:v>436</x:v>
      </x:c>
      <x:c r="C213" s="60">
        <x:f>IF(A213&lt;=$E$32,C212+B212,"")</x:f>
        <x:v>5526</x:v>
      </x:c>
      <x:c r="D213" s="78">
        <x:f>IF(A213&lt;=$E$32,$E$31^A213,"")</x:f>
        <x:v>2.2037569377728037</x:v>
      </x:c>
      <x:c r="E213" s="60">
        <x:f>IF(A213&lt;$E$36,ROUNDUP(ROUND($E$33*$E$34^A213,6),0),"")</x:f>
        <x:v>36</x:v>
      </x:c>
      <x:c r="F213" s="60">
        <x:f>IF(A213&lt;=$E$36,F212+E212,"")</x:f>
        <x:v>642</x:v>
      </x:c>
      <x:c r="G213" s="78">
        <x:f>IF(A213&lt;=$E$36,$E$35^A213,"")</x:f>
        <x:v>3.5080587468457902</x:v>
      </x:c>
      <x:c r="H213" s="60">
        <x:f>IF(A213&lt;$E$40,ROUNDUP(ROUND($E$37*$E$38^A213,6),0),"")</x:f>
        <x:v>235</x:v>
      </x:c>
      <x:c r="I213" s="60">
        <x:f>IF(A213&lt;=$E$40,I212+H212,"")</x:f>
        <x:v>2700</x:v>
      </x:c>
      <x:c r="J213" s="80">
        <x:f>IF(A213&lt;=$E$40,1+$E$39*A213,"")</x:f>
        <x:v>1.6400000000000001</x:v>
      </x:c>
      <x:c r="K213" s="60"/>
      <x:c r="L213" s="60"/>
      <x:c r="M213" s="60"/>
      <x:c r="N213" s="60"/>
      <x:c r="O213" s="60"/>
      <x:c r="P213" s="60"/>
    </x:row>
    <x:row r="214" ht="30" customHeight="1">
      <x:c r="A214" s="61" t="n">
        <x:v>33</x:v>
      </x:c>
      <x:c r="B214" s="61">
        <x:f>IF(A214&lt;$E$32,ROUNDUP(ROUND($E$29*$E$30^A214,6),0),"")</x:f>
        <x:v>467</x:v>
      </x:c>
      <x:c r="C214" s="61">
        <x:f>IF(A214&lt;=$E$32,C213+B213,"")</x:f>
        <x:v>5962</x:v>
      </x:c>
      <x:c r="D214" s="79">
        <x:f>IF(A214&lt;=$E$32,$E$31^A214,"")</x:f>
        <x:v>2.2588508612171236</x:v>
      </x:c>
      <x:c r="E214" s="61">
        <x:f>IF(A214&lt;$E$36,ROUNDUP(ROUND($E$33*$E$34^A214,6),0),"")</x:f>
        <x:v>37</x:v>
      </x:c>
      <x:c r="F214" s="61">
        <x:f>IF(A214&lt;=$E$36,F213+E213,"")</x:f>
        <x:v>678</x:v>
      </x:c>
      <x:c r="G214" s="79">
        <x:f>IF(A214&lt;=$E$36,$E$35^A214,"")</x:f>
        <x:v>3.6483810967196217</x:v>
      </x:c>
      <x:c r="H214" s="61">
        <x:f>IF(A214&lt;$E$40,ROUNDUP(ROUND($E$37*$E$38^A214,6),0),"")</x:f>
        <x:v>254</x:v>
      </x:c>
      <x:c r="I214" s="61">
        <x:f>IF(A214&lt;=$E$40,I213+H213,"")</x:f>
        <x:v>2935</x:v>
      </x:c>
      <x:c r="J214" s="81">
        <x:f>IF(A214&lt;=$E$40,1+$E$39*A214,"")</x:f>
        <x:v>1.6600000000000001</x:v>
      </x:c>
      <x:c r="K214" s="60"/>
      <x:c r="L214" s="60"/>
      <x:c r="M214" s="60"/>
      <x:c r="N214" s="60"/>
      <x:c r="O214" s="60"/>
      <x:c r="P214" s="60"/>
    </x:row>
    <x:row r="215" ht="30" customHeight="1">
      <x:c r="A215" s="60" t="n">
        <x:v>34</x:v>
      </x:c>
      <x:c r="B215" s="60">
        <x:f>IF(A215&lt;$E$32,ROUNDUP(ROUND($E$29*$E$30^A215,6),0),"")</x:f>
        <x:v>499</x:v>
      </x:c>
      <x:c r="C215" s="60">
        <x:f>IF(A215&lt;=$E$32,C214+B214,"")</x:f>
        <x:v>6429</x:v>
      </x:c>
      <x:c r="D215" s="78">
        <x:f>IF(A215&lt;=$E$32,$E$31^A215,"")</x:f>
        <x:v>2.3153221327475517</x:v>
      </x:c>
      <x:c r="E215" s="60">
        <x:f>IF(A215&lt;$E$36,ROUNDUP(ROUND($E$33*$E$34^A215,6),0),"")</x:f>
        <x:v>38</x:v>
      </x:c>
      <x:c r="F215" s="60">
        <x:f>IF(A215&lt;=$E$36,F214+E214,"")</x:f>
        <x:v>715</x:v>
      </x:c>
      <x:c r="G215" s="78">
        <x:f>IF(A215&lt;=$E$36,$E$35^A215,"")</x:f>
        <x:v>3.7943163405884071</x:v>
      </x:c>
      <x:c r="H215" s="60">
        <x:f>IF(A215&lt;$E$40,ROUNDUP(ROUND($E$37*$E$38^A215,6),0),"")</x:f>
        <x:v>274</x:v>
      </x:c>
      <x:c r="I215" s="60">
        <x:f>IF(A215&lt;=$E$40,I214+H214,"")</x:f>
        <x:v>3189</x:v>
      </x:c>
      <x:c r="J215" s="80">
        <x:f>IF(A215&lt;=$E$40,1+$E$39*A215,"")</x:f>
        <x:v>1.6800000000000002</x:v>
      </x:c>
      <x:c r="K215" s="60"/>
      <x:c r="L215" s="60"/>
      <x:c r="M215" s="60"/>
      <x:c r="N215" s="60"/>
      <x:c r="O215" s="60"/>
      <x:c r="P215" s="60"/>
    </x:row>
    <x:row r="216" ht="30" customHeight="1">
      <x:c r="A216" s="61" t="n">
        <x:v>35</x:v>
      </x:c>
      <x:c r="B216" s="61">
        <x:f>IF(A216&lt;$E$32,ROUNDUP(ROUND($E$29*$E$30^A216,6),0),"")</x:f>
        <x:v>534</x:v>
      </x:c>
      <x:c r="C216" s="61">
        <x:f>IF(A216&lt;=$E$32,C215+B215,"")</x:f>
        <x:v>6928</x:v>
      </x:c>
      <x:c r="D216" s="79">
        <x:f>IF(A216&lt;=$E$32,$E$31^A216,"")</x:f>
        <x:v>2.3732051860662402</x:v>
      </x:c>
      <x:c r="E216" s="61">
        <x:f>IF(A216&lt;$E$36,ROUNDUP(ROUND($E$33*$E$34^A216,6),0),"")</x:f>
        <x:v>40</x:v>
      </x:c>
      <x:c r="F216" s="61">
        <x:f>IF(A216&lt;=$E$36,F215+E215,"")</x:f>
        <x:v>753</x:v>
      </x:c>
      <x:c r="G216" s="79">
        <x:f>IF(A216&lt;=$E$36,$E$35^A216,"")</x:f>
        <x:v>3.9460889942119435</x:v>
      </x:c>
      <x:c r="H216" s="61">
        <x:f>IF(A216&lt;$E$40,ROUNDUP(ROUND($E$37*$E$38^A216,6),0),"")</x:f>
        <x:v>296</x:v>
      </x:c>
      <x:c r="I216" s="61">
        <x:f>IF(A216&lt;=$E$40,I215+H215,"")</x:f>
        <x:v>3463</x:v>
      </x:c>
      <x:c r="J216" s="81">
        <x:f>IF(A216&lt;=$E$40,1+$E$39*A216,"")</x:f>
        <x:v>1.7000000000000002</x:v>
      </x:c>
      <x:c r="K216" s="60"/>
      <x:c r="L216" s="60"/>
      <x:c r="M216" s="60"/>
      <x:c r="N216" s="60"/>
      <x:c r="O216" s="60"/>
      <x:c r="P216" s="60"/>
    </x:row>
    <x:row r="217" ht="30" customHeight="1">
      <x:c r="A217" s="60" t="n">
        <x:v>36</x:v>
      </x:c>
      <x:c r="B217" s="60">
        <x:f>IF(A217&lt;$E$32,ROUNDUP(ROUND($E$29*$E$30^A217,6),0),"")</x:f>
        <x:v>572</x:v>
      </x:c>
      <x:c r="C217" s="60">
        <x:f>IF(A217&lt;=$E$32,C216+B216,"")</x:f>
        <x:v>7462</x:v>
      </x:c>
      <x:c r="D217" s="78">
        <x:f>IF(A217&lt;=$E$32,$E$31^A217,"")</x:f>
        <x:v>2.4325353157178964</x:v>
      </x:c>
      <x:c r="E217" s="60">
        <x:f>IF(A217&lt;$E$36,ROUNDUP(ROUND($E$33*$E$34^A217,6),0),"")</x:f>
        <x:v>42</x:v>
      </x:c>
      <x:c r="F217" s="60">
        <x:f>IF(A217&lt;=$E$36,F216+E216,"")</x:f>
        <x:v>793</x:v>
      </x:c>
      <x:c r="G217" s="78">
        <x:f>IF(A217&lt;=$E$36,$E$35^A217,"")</x:f>
        <x:v>4.103932553980421</x:v>
      </x:c>
      <x:c r="H217" s="60">
        <x:f>IF(A217&lt;$E$40,ROUNDUP(ROUND($E$37*$E$38^A217,6),0),"")</x:f>
        <x:v>320</x:v>
      </x:c>
      <x:c r="I217" s="60">
        <x:f>IF(A217&lt;=$E$40,I216+H216,"")</x:f>
        <x:v>3759</x:v>
      </x:c>
      <x:c r="J217" s="80">
        <x:f>IF(A217&lt;=$E$40,1+$E$39*A217,"")</x:f>
        <x:v>1.72</x:v>
      </x:c>
      <x:c r="K217" s="60"/>
      <x:c r="L217" s="60"/>
      <x:c r="M217" s="60"/>
      <x:c r="N217" s="60"/>
      <x:c r="O217" s="60"/>
      <x:c r="P217" s="60"/>
    </x:row>
    <x:row r="218" ht="30" customHeight="1">
      <x:c r="A218" s="61" t="n">
        <x:v>37</x:v>
      </x:c>
      <x:c r="B218" s="61">
        <x:f>IF(A218&lt;$E$32,ROUNDUP(ROUND($E$29*$E$30^A218,6),0),"")</x:f>
        <x:v>612</x:v>
      </x:c>
      <x:c r="C218" s="61">
        <x:f>IF(A218&lt;=$E$32,C217+B217,"")</x:f>
        <x:v>8034</x:v>
      </x:c>
      <x:c r="D218" s="79">
        <x:f>IF(A218&lt;=$E$32,$E$31^A218,"")</x:f>
        <x:v>2.4933486986108435</x:v>
      </x:c>
      <x:c r="E218" s="61">
        <x:f>IF(A218&lt;$E$36,ROUNDUP(ROUND($E$33*$E$34^A218,6),0),"")</x:f>
        <x:v>43</x:v>
      </x:c>
      <x:c r="F218" s="61">
        <x:f>IF(A218&lt;=$E$36,F217+E217,"")</x:f>
        <x:v>835</x:v>
      </x:c>
      <x:c r="G218" s="79">
        <x:f>IF(A218&lt;=$E$36,$E$35^A218,"")</x:f>
        <x:v>4.268089856139639</x:v>
      </x:c>
      <x:c r="H218" s="61">
        <x:f>IF(A218&lt;$E$40,ROUNDUP(ROUND($E$37*$E$38^A218,6),0),"")</x:f>
        <x:v>345</x:v>
      </x:c>
      <x:c r="I218" s="61">
        <x:f>IF(A218&lt;=$E$40,I217+H217,"")</x:f>
        <x:v>4079</x:v>
      </x:c>
      <x:c r="J218" s="81">
        <x:f>IF(A218&lt;=$E$40,1+$E$39*A218,"")</x:f>
        <x:v>1.74</x:v>
      </x:c>
      <x:c r="K218" s="60"/>
      <x:c r="L218" s="60"/>
      <x:c r="M218" s="60"/>
      <x:c r="N218" s="60"/>
      <x:c r="O218" s="60"/>
      <x:c r="P218" s="60"/>
    </x:row>
    <x:row r="219" ht="30" customHeight="1">
      <x:c r="A219" s="60" t="n">
        <x:v>38</x:v>
      </x:c>
      <x:c r="B219" s="60">
        <x:f>IF(A219&lt;$E$32,ROUNDUP(ROUND($E$29*$E$30^A219,6),0),"")</x:f>
        <x:v>654</x:v>
      </x:c>
      <x:c r="C219" s="60">
        <x:f>IF(A219&lt;=$E$32,C218+B218,"")</x:f>
        <x:v>8646</x:v>
      </x:c>
      <x:c r="D219" s="78">
        <x:f>IF(A219&lt;=$E$32,$E$31^A219,"")</x:f>
        <x:v>2.555682416076114</x:v>
      </x:c>
      <x:c r="E219" s="60">
        <x:f>IF(A219&lt;$E$36,ROUNDUP(ROUND($E$33*$E$34^A219,6),0),"")</x:f>
        <x:v>45</x:v>
      </x:c>
      <x:c r="F219" s="60">
        <x:f>IF(A219&lt;=$E$36,F218+E218,"")</x:f>
        <x:v>878</x:v>
      </x:c>
      <x:c r="G219" s="78">
        <x:f>IF(A219&lt;=$E$36,$E$35^A219,"")</x:f>
        <x:v>4.4388134503852239</x:v>
      </x:c>
      <x:c r="H219" s="60">
        <x:f>IF(A219&lt;$E$40,ROUNDUP(ROUND($E$37*$E$38^A219,6),0),"")</x:f>
        <x:v>373</x:v>
      </x:c>
      <x:c r="I219" s="60">
        <x:f>IF(A219&lt;=$E$40,I218+H218,"")</x:f>
        <x:v>4424</x:v>
      </x:c>
      <x:c r="J219" s="80">
        <x:f>IF(A219&lt;=$E$40,1+$E$39*A219,"")</x:f>
        <x:v>1.76</x:v>
      </x:c>
      <x:c r="K219" s="60"/>
      <x:c r="L219" s="60"/>
      <x:c r="M219" s="60"/>
      <x:c r="N219" s="60"/>
      <x:c r="O219" s="60"/>
      <x:c r="P219" s="60"/>
    </x:row>
    <x:row r="220" ht="30" customHeight="1">
      <x:c r="A220" s="61" t="n">
        <x:v>39</x:v>
      </x:c>
      <x:c r="B220" s="61">
        <x:f>IF(A220&lt;$E$32,ROUNDUP(ROUND($E$29*$E$30^A220,6),0),"")</x:f>
        <x:v>700</x:v>
      </x:c>
      <x:c r="C220" s="61">
        <x:f>IF(A220&lt;=$E$32,C219+B219,"")</x:f>
        <x:v>9300</x:v>
      </x:c>
      <x:c r="D220" s="79">
        <x:f>IF(A220&lt;=$E$32,$E$31^A220,"")</x:f>
        <x:v>2.6195744764780171</x:v>
      </x:c>
      <x:c r="E220" s="61">
        <x:f>IF(A220&lt;$E$36,ROUNDUP(ROUND($E$33*$E$34^A220,6),0),"")</x:f>
        <x:v>47</x:v>
      </x:c>
      <x:c r="F220" s="61">
        <x:f>IF(A220&lt;=$E$36,F219+E219,"")</x:f>
        <x:v>923</x:v>
      </x:c>
      <x:c r="G220" s="79">
        <x:f>IF(A220&lt;=$E$36,$E$35^A220,"")</x:f>
        <x:v>4.6163659884006325</x:v>
      </x:c>
      <x:c r="H220" s="61">
        <x:f>IF(A220&lt;$E$40,ROUNDUP(ROUND($E$37*$E$38^A220,6),0),"")</x:f>
        <x:v>403</x:v>
      </x:c>
      <x:c r="I220" s="61">
        <x:f>IF(A220&lt;=$E$40,I219+H219,"")</x:f>
        <x:v>4797</x:v>
      </x:c>
      <x:c r="J220" s="81">
        <x:f>IF(A220&lt;=$E$40,1+$E$39*A220,"")</x:f>
        <x:v>1.78</x:v>
      </x:c>
      <x:c r="K220" s="60"/>
      <x:c r="L220" s="60"/>
      <x:c r="M220" s="60"/>
      <x:c r="N220" s="60"/>
      <x:c r="O220" s="60"/>
      <x:c r="P220" s="60"/>
    </x:row>
    <x:row r="221" ht="30" customHeight="1">
      <x:c r="A221" s="60" t="n">
        <x:v>40</x:v>
      </x:c>
      <x:c r="B221" s="60">
        <x:f>IF(A221&lt;$E$32,ROUNDUP(ROUND($E$29*$E$30^A221,6),0),"")</x:f>
        <x:v>749</x:v>
      </x:c>
      <x:c r="C221" s="60">
        <x:f>IF(A221&lt;=$E$32,C220+B220,"")</x:f>
        <x:v>10000</x:v>
      </x:c>
      <x:c r="D221" s="78">
        <x:f>IF(A221&lt;=$E$32,$E$31^A221,"")</x:f>
        <x:v>2.6850638383899672</x:v>
      </x:c>
      <x:c r="E221" s="60">
        <x:f>IF(A221&lt;$E$36,ROUNDUP(ROUND($E$33*$E$34^A221,6),0),"")</x:f>
        <x:v>49</x:v>
      </x:c>
      <x:c r="F221" s="60">
        <x:f>IF(A221&lt;=$E$36,F220+E220,"")</x:f>
        <x:v>970</x:v>
      </x:c>
      <x:c r="G221" s="78">
        <x:f>IF(A221&lt;=$E$36,$E$35^A221,"")</x:f>
        <x:v>4.8010206279366594</x:v>
      </x:c>
      <x:c r="H221" s="60">
        <x:f>IF(A221&lt;$E$40,ROUNDUP(ROUND($E$37*$E$38^A221,6),0),"")</x:f>
        <x:v>435</x:v>
      </x:c>
      <x:c r="I221" s="60">
        <x:f>IF(A221&lt;=$E$40,I220+H220,"")</x:f>
        <x:v>5200</x:v>
      </x:c>
      <x:c r="J221" s="80">
        <x:f>IF(A221&lt;=$E$40,1+$E$39*A221,"")</x:f>
        <x:v>1.8</x:v>
      </x:c>
      <x:c r="K221" s="60"/>
      <x:c r="L221" s="60"/>
      <x:c r="M221" s="60"/>
      <x:c r="N221" s="60"/>
      <x:c r="O221" s="60"/>
      <x:c r="P221" s="60"/>
    </x:row>
    <x:row r="222" ht="30" customHeight="1">
      <x:c r="A222" s="61" t="n">
        <x:v>41</x:v>
      </x:c>
      <x:c r="B222" s="61">
        <x:f>IF(A222&lt;$E$32,ROUNDUP(ROUND($E$29*$E$30^A222,6),0),"")</x:f>
        <x:v>802</x:v>
      </x:c>
      <x:c r="C222" s="61">
        <x:f>IF(A222&lt;=$E$32,C221+B221,"")</x:f>
        <x:v>10749</x:v>
      </x:c>
      <x:c r="D222" s="79">
        <x:f>IF(A222&lt;=$E$32,$E$31^A222,"")</x:f>
        <x:v>2.7521904343497163</x:v>
      </x:c>
      <x:c r="E222" s="61">
        <x:f>IF(A222&lt;$E$36,ROUNDUP(ROUND($E$33*$E$34^A222,6),0),"")</x:f>
        <x:v>50</x:v>
      </x:c>
      <x:c r="F222" s="61">
        <x:f>IF(A222&lt;=$E$36,F221+E221,"")</x:f>
        <x:v>1019</x:v>
      </x:c>
      <x:c r="G222" s="79">
        <x:f>IF(A222&lt;=$E$36,$E$35^A222,"")</x:f>
        <x:v>4.9930614530541257</x:v>
      </x:c>
      <x:c r="H222" s="61">
        <x:f>IF(A222&lt;$E$40,ROUNDUP(ROUND($E$37*$E$38^A222,6),0),"")</x:f>
        <x:v>470</x:v>
      </x:c>
      <x:c r="I222" s="61">
        <x:f>IF(A222&lt;=$E$40,I221+H221,"")</x:f>
        <x:v>5635</x:v>
      </x:c>
      <x:c r="J222" s="81">
        <x:f>IF(A222&lt;=$E$40,1+$E$39*A222,"")</x:f>
        <x:v>1.82</x:v>
      </x:c>
      <x:c r="K222" s="60"/>
      <x:c r="L222" s="60"/>
      <x:c r="M222" s="60"/>
      <x:c r="N222" s="60"/>
      <x:c r="O222" s="60"/>
      <x:c r="P222" s="60"/>
    </x:row>
    <x:row r="223" ht="30" customHeight="1">
      <x:c r="A223" s="60" t="n">
        <x:v>42</x:v>
      </x:c>
      <x:c r="B223" s="60">
        <x:f>IF(A223&lt;$E$32,ROUNDUP(ROUND($E$29*$E$30^A223,6),0),"")</x:f>
        <x:v>858</x:v>
      </x:c>
      <x:c r="C223" s="60">
        <x:f>IF(A223&lt;=$E$32,C222+B222,"")</x:f>
        <x:v>11551</x:v>
      </x:c>
      <x:c r="D223" s="78">
        <x:f>IF(A223&lt;=$E$32,$E$31^A223,"")</x:f>
        <x:v>2.8209951952084591</x:v>
      </x:c>
      <x:c r="E223" s="60">
        <x:f>IF(A223&lt;$E$36,ROUNDUP(ROUND($E$33*$E$34^A223,6),0),"")</x:f>
        <x:v>52</x:v>
      </x:c>
      <x:c r="F223" s="60">
        <x:f>IF(A223&lt;=$E$36,F222+E222,"")</x:f>
        <x:v>1069</x:v>
      </x:c>
      <x:c r="G223" s="78">
        <x:f>IF(A223&lt;=$E$36,$E$35^A223,"")</x:f>
        <x:v>5.1927839111762903</x:v>
      </x:c>
      <x:c r="H223" s="60">
        <x:f>IF(A223&lt;$E$40,ROUNDUP(ROUND($E$37*$E$38^A223,6),0),"")</x:f>
        <x:v>507</x:v>
      </x:c>
      <x:c r="I223" s="60">
        <x:f>IF(A223&lt;=$E$40,I222+H222,"")</x:f>
        <x:v>6105</x:v>
      </x:c>
      <x:c r="J223" s="80">
        <x:f>IF(A223&lt;=$E$40,1+$E$39*A223,"")</x:f>
        <x:v>1.8399999999999999</x:v>
      </x:c>
      <x:c r="K223" s="60"/>
      <x:c r="L223" s="60"/>
      <x:c r="M223" s="60"/>
      <x:c r="N223" s="60"/>
      <x:c r="O223" s="60"/>
      <x:c r="P223" s="60"/>
    </x:row>
    <x:row r="224" ht="30" customHeight="1">
      <x:c r="A224" s="61" t="n">
        <x:v>43</x:v>
      </x:c>
      <x:c r="B224" s="61">
        <x:f>IF(A224&lt;$E$32,ROUNDUP(ROUND($E$29*$E$30^A224,6),0),"")</x:f>
        <x:v>918</x:v>
      </x:c>
      <x:c r="C224" s="61">
        <x:f>IF(A224&lt;=$E$32,C223+B223,"")</x:f>
        <x:v>12409</x:v>
      </x:c>
      <x:c r="D224" s="79">
        <x:f>IF(A224&lt;=$E$32,$E$31^A224,"")</x:f>
        <x:v>2.8915200750886707</x:v>
      </x:c>
      <x:c r="E224" s="61">
        <x:f>IF(A224&lt;$E$36,ROUNDUP(ROUND($E$33*$E$34^A224,6),0),"")</x:f>
        <x:v>55</x:v>
      </x:c>
      <x:c r="F224" s="61">
        <x:f>IF(A224&lt;=$E$36,F223+E223,"")</x:f>
        <x:v>1121</x:v>
      </x:c>
      <x:c r="G224" s="79">
        <x:f>IF(A224&lt;=$E$36,$E$35^A224,"")</x:f>
        <x:v>5.4004952676233424</x:v>
      </x:c>
      <x:c r="H224" s="61">
        <x:f>IF(A224&lt;$E$40,ROUNDUP(ROUND($E$37*$E$38^A224,6),0),"")</x:f>
        <x:v>548</x:v>
      </x:c>
      <x:c r="I224" s="61">
        <x:f>IF(A224&lt;=$E$40,I223+H223,"")</x:f>
        <x:v>6612</x:v>
      </x:c>
      <x:c r="J224" s="81">
        <x:f>IF(A224&lt;=$E$40,1+$E$39*A224,"")</x:f>
        <x:v>1.8599999999999999</x:v>
      </x:c>
      <x:c r="K224" s="60"/>
      <x:c r="L224" s="60"/>
      <x:c r="M224" s="60"/>
      <x:c r="N224" s="60"/>
      <x:c r="O224" s="60"/>
      <x:c r="P224" s="60"/>
    </x:row>
    <x:row r="225" ht="30" customHeight="1">
      <x:c r="A225" s="60" t="n">
        <x:v>44</x:v>
      </x:c>
      <x:c r="B225" s="60">
        <x:f>IF(A225&lt;$E$32,ROUNDUP(ROUND($E$29*$E$30^A225,6),0),"")</x:f>
        <x:v>982</x:v>
      </x:c>
      <x:c r="C225" s="60">
        <x:f>IF(A225&lt;=$E$32,C224+B224,"")</x:f>
        <x:v>13327</x:v>
      </x:c>
      <x:c r="D225" s="78">
        <x:f>IF(A225&lt;=$E$32,$E$31^A225,"")</x:f>
        <x:v>2.9638080769658868</x:v>
      </x:c>
      <x:c r="E225" s="60">
        <x:f>IF(A225&lt;$E$36,ROUNDUP(ROUND($E$33*$E$34^A225,6),0),"")</x:f>
        <x:v>57</x:v>
      </x:c>
      <x:c r="F225" s="60">
        <x:f>IF(A225&lt;=$E$36,F224+E224,"")</x:f>
        <x:v>1176</x:v>
      </x:c>
      <x:c r="G225" s="78">
        <x:f>IF(A225&lt;=$E$36,$E$35^A225,"")</x:f>
        <x:v>5.6165150783282769</x:v>
      </x:c>
      <x:c r="H225" s="60">
        <x:f>IF(A225&lt;$E$40,ROUNDUP(ROUND($E$37*$E$38^A225,6),0),"")</x:f>
        <x:v>592</x:v>
      </x:c>
      <x:c r="I225" s="60">
        <x:f>IF(A225&lt;=$E$40,I224+H224,"")</x:f>
        <x:v>7160</x:v>
      </x:c>
      <x:c r="J225" s="80">
        <x:f>IF(A225&lt;=$E$40,1+$E$39*A225,"")</x:f>
        <x:v>1.88</x:v>
      </x:c>
      <x:c r="K225" s="60"/>
      <x:c r="L225" s="60"/>
      <x:c r="M225" s="60"/>
      <x:c r="N225" s="60"/>
      <x:c r="O225" s="60"/>
      <x:c r="P225" s="60"/>
    </x:row>
    <x:row r="226" ht="30" customHeight="1">
      <x:c r="A226" s="61" t="n">
        <x:v>45</x:v>
      </x:c>
      <x:c r="B226" s="61">
        <x:f>IF(A226&lt;$E$32,ROUNDUP(ROUND($E$29*$E$30^A226,6),0),"")</x:f>
        <x:v>1051</x:v>
      </x:c>
      <x:c r="C226" s="61">
        <x:f>IF(A226&lt;=$E$32,C225+B225,"")</x:f>
        <x:v>14309</x:v>
      </x:c>
      <x:c r="D226" s="79">
        <x:f>IF(A226&lt;=$E$32,$E$31^A226,"")</x:f>
        <x:v>3.0379032788900342</x:v>
      </x:c>
      <x:c r="E226" s="61">
        <x:f>IF(A226&lt;$E$36,ROUNDUP(ROUND($E$33*$E$34^A226,6),0),"")</x:f>
        <x:v>59</x:v>
      </x:c>
      <x:c r="F226" s="61">
        <x:f>IF(A226&lt;=$E$36,F225+E225,"")</x:f>
        <x:v>1233</x:v>
      </x:c>
      <x:c r="G226" s="79">
        <x:f>IF(A226&lt;=$E$36,$E$35^A226,"")</x:f>
        <x:v>5.841175681461408</x:v>
      </x:c>
      <x:c r="H226" s="61">
        <x:f>IF(A226&lt;$E$40,ROUNDUP(ROUND($E$37*$E$38^A226,6),0),"")</x:f>
        <x:v>639</x:v>
      </x:c>
      <x:c r="I226" s="61">
        <x:f>IF(A226&lt;=$E$40,I225+H225,"")</x:f>
        <x:v>7752</x:v>
      </x:c>
      <x:c r="J226" s="81">
        <x:f>IF(A226&lt;=$E$40,1+$E$39*A226,"")</x:f>
        <x:v>1.9</x:v>
      </x:c>
      <x:c r="K226" s="60"/>
      <x:c r="L226" s="60"/>
      <x:c r="M226" s="60"/>
      <x:c r="N226" s="60"/>
      <x:c r="O226" s="60"/>
      <x:c r="P226" s="60"/>
    </x:row>
    <x:row r="227" ht="30" customHeight="1">
      <x:c r="A227" s="60" t="n">
        <x:v>46</x:v>
      </x:c>
      <x:c r="B227" s="60">
        <x:f>IF(A227&lt;$E$32,ROUNDUP(ROUND($E$29*$E$30^A227,6),0),"")</x:f>
        <x:v>1124</x:v>
      </x:c>
      <x:c r="C227" s="60">
        <x:f>IF(A227&lt;=$E$32,C226+B226,"")</x:f>
        <x:v>15360</x:v>
      </x:c>
      <x:c r="D227" s="78">
        <x:f>IF(A227&lt;=$E$32,$E$31^A227,"")</x:f>
        <x:v>3.1138508608622844</x:v>
      </x:c>
      <x:c r="E227" s="60">
        <x:f>IF(A227&lt;$E$36,ROUNDUP(ROUND($E$33*$E$34^A227,6),0),"")</x:f>
        <x:v>61</x:v>
      </x:c>
      <x:c r="F227" s="60">
        <x:f>IF(A227&lt;=$E$36,F226+E226,"")</x:f>
        <x:v>1292</x:v>
      </x:c>
      <x:c r="G227" s="78">
        <x:f>IF(A227&lt;=$E$36,$E$35^A227,"")</x:f>
        <x:v>6.0748227087198643</x:v>
      </x:c>
      <x:c r="H227" s="60">
        <x:f>IF(A227&lt;$E$40,ROUNDUP(ROUND($E$37*$E$38^A227,6),0),"")</x:f>
        <x:v>690</x:v>
      </x:c>
      <x:c r="I227" s="60">
        <x:f>IF(A227&lt;=$E$40,I226+H226,"")</x:f>
        <x:v>8391</x:v>
      </x:c>
      <x:c r="J227" s="80">
        <x:f>IF(A227&lt;=$E$40,1+$E$39*A227,"")</x:f>
        <x:v>1.92</x:v>
      </x:c>
      <x:c r="K227" s="60"/>
      <x:c r="L227" s="60"/>
      <x:c r="M227" s="60"/>
      <x:c r="N227" s="60"/>
      <x:c r="O227" s="60"/>
      <x:c r="P227" s="60"/>
    </x:row>
    <x:row r="228" ht="30" customHeight="1">
      <x:c r="A228" s="61" t="n">
        <x:v>47</x:v>
      </x:c>
      <x:c r="B228" s="61">
        <x:f>IF(A228&lt;$E$32,ROUNDUP(ROUND($E$29*$E$30^A228,6),0),"")</x:f>
        <x:v>1203</x:v>
      </x:c>
      <x:c r="C228" s="61">
        <x:f>IF(A228&lt;=$E$32,C227+B227,"")</x:f>
        <x:v>16484</x:v>
      </x:c>
      <x:c r="D228" s="79">
        <x:f>IF(A228&lt;=$E$32,$E$31^A228,"")</x:f>
        <x:v>3.1916971323838421</x:v>
      </x:c>
      <x:c r="E228" s="61">
        <x:f>IF(A228&lt;$E$36,ROUNDUP(ROUND($E$33*$E$34^A228,6),0),"")</x:f>
        <x:v>64</x:v>
      </x:c>
      <x:c r="F228" s="61">
        <x:f>IF(A228&lt;=$E$36,F227+E227,"")</x:f>
        <x:v>1353</x:v>
      </x:c>
      <x:c r="G228" s="79">
        <x:f>IF(A228&lt;=$E$36,$E$35^A228,"")</x:f>
        <x:v>6.3178156170686588</x:v>
      </x:c>
      <x:c r="H228" s="61">
        <x:f>IF(A228&lt;$E$40,ROUNDUP(ROUND($E$37*$E$38^A228,6),0),"")</x:f>
        <x:v>745</x:v>
      </x:c>
      <x:c r="I228" s="61">
        <x:f>IF(A228&lt;=$E$40,I227+H227,"")</x:f>
        <x:v>9081</x:v>
      </x:c>
      <x:c r="J228" s="81">
        <x:f>IF(A228&lt;=$E$40,1+$E$39*A228,"")</x:f>
        <x:v>1.94</x:v>
      </x:c>
      <x:c r="K228" s="60"/>
      <x:c r="L228" s="60"/>
      <x:c r="M228" s="60"/>
      <x:c r="N228" s="60"/>
      <x:c r="O228" s="60"/>
      <x:c r="P228" s="60"/>
    </x:row>
    <x:row r="229" ht="30" customHeight="1">
      <x:c r="A229" s="60" t="n">
        <x:v>48</x:v>
      </x:c>
      <x:c r="B229" s="60">
        <x:f>IF(A229&lt;$E$32,ROUNDUP(ROUND($E$29*$E$30^A229,6),0),"")</x:f>
        <x:v>1287</x:v>
      </x:c>
      <x:c r="C229" s="60">
        <x:f>IF(A229&lt;=$E$32,C228+B228,"")</x:f>
        <x:v>17687</x:v>
      </x:c>
      <x:c r="D229" s="78">
        <x:f>IF(A229&lt;=$E$32,$E$31^A229,"")</x:f>
        <x:v>3.2714895606934378</x:v>
      </x:c>
      <x:c r="E229" s="60">
        <x:f>IF(A229&lt;$E$36,ROUNDUP(ROUND($E$33*$E$34^A229,6),0),"")</x:f>
        <x:v>66</x:v>
      </x:c>
      <x:c r="F229" s="60">
        <x:f>IF(A229&lt;=$E$36,F228+E228,"")</x:f>
        <x:v>1417</x:v>
      </x:c>
      <x:c r="G229" s="78">
        <x:f>IF(A229&lt;=$E$36,$E$35^A229,"")</x:f>
        <x:v>6.5705282417514059</x:v>
      </x:c>
      <x:c r="H229" s="60">
        <x:f>IF(A229&lt;$E$40,ROUNDUP(ROUND($E$37*$E$38^A229,6),0),"")</x:f>
        <x:v>805</x:v>
      </x:c>
      <x:c r="I229" s="60">
        <x:f>IF(A229&lt;=$E$40,I228+H228,"")</x:f>
        <x:v>9826</x:v>
      </x:c>
      <x:c r="J229" s="80">
        <x:f>IF(A229&lt;=$E$40,1+$E$39*A229,"")</x:f>
        <x:v>1.96</x:v>
      </x:c>
      <x:c r="K229" s="60"/>
      <x:c r="L229" s="60"/>
      <x:c r="M229" s="60"/>
      <x:c r="N229" s="60"/>
      <x:c r="O229" s="60"/>
      <x:c r="P229" s="60"/>
    </x:row>
    <x:row r="230" ht="30" customHeight="1">
      <x:c r="A230" s="61" t="n">
        <x:v>49</x:v>
      </x:c>
      <x:c r="B230" s="61">
        <x:f>IF(A230&lt;$E$32,ROUNDUP(ROUND($E$29*$E$30^A230,6),0),"")</x:f>
        <x:v>1377</x:v>
      </x:c>
      <x:c r="C230" s="61">
        <x:f>IF(A230&lt;=$E$32,C229+B229,"")</x:f>
        <x:v>18974</x:v>
      </x:c>
      <x:c r="D230" s="79">
        <x:f>IF(A230&lt;=$E$32,$E$31^A230,"")</x:f>
        <x:v>3.3532767997107733</x:v>
      </x:c>
      <x:c r="E230" s="61">
        <x:f>IF(A230&lt;$E$36,ROUNDUP(ROUND($E$33*$E$34^A230,6),0),"")</x:f>
        <x:v>69</x:v>
      </x:c>
      <x:c r="F230" s="61">
        <x:f>IF(A230&lt;=$E$36,F229+E229,"")</x:f>
        <x:v>1483</x:v>
      </x:c>
      <x:c r="G230" s="79">
        <x:f>IF(A230&lt;=$E$36,$E$35^A230,"")</x:f>
        <x:v>6.8333493714214626</x:v>
      </x:c>
      <x:c r="H230" s="61">
        <x:f>IF(A230&lt;$E$40,ROUNDUP(ROUND($E$37*$E$38^A230,6),0),"")</x:f>
        <x:v>869</x:v>
      </x:c>
      <x:c r="I230" s="61">
        <x:f>IF(A230&lt;=$E$40,I229+H229,"")</x:f>
        <x:v>10631</x:v>
      </x:c>
      <x:c r="J230" s="81">
        <x:f>IF(A230&lt;=$E$40,1+$E$39*A230,"")</x:f>
        <x:v>1.98</x:v>
      </x:c>
      <x:c r="K230" s="60"/>
      <x:c r="L230" s="60"/>
      <x:c r="M230" s="60"/>
      <x:c r="N230" s="60"/>
      <x:c r="O230" s="60"/>
      <x:c r="P230" s="60"/>
    </x:row>
    <x:row r="231" ht="30" customHeight="1">
      <x:c r="A231" s="60" t="n">
        <x:v>50</x:v>
      </x:c>
      <x:c r="B231" s="60">
        <x:f>IF(A231&lt;$E$32,ROUNDUP(ROUND($E$29*$E$30^A231,6),0),"")</x:f>
        <x:v>1473</x:v>
      </x:c>
      <x:c r="C231" s="60">
        <x:f>IF(A231&lt;=$E$32,C230+B230,"")</x:f>
        <x:v>20351</x:v>
      </x:c>
      <x:c r="D231" s="78">
        <x:f>IF(A231&lt;=$E$32,$E$31^A231,"")</x:f>
        <x:v>3.4371087197035428</x:v>
      </x:c>
      <x:c r="E231" s="60">
        <x:f>IF(A231&lt;$E$36,ROUNDUP(ROUND($E$33*$E$34^A231,6),0),"")</x:f>
        <x:v>72</x:v>
      </x:c>
      <x:c r="F231" s="60">
        <x:f>IF(A231&lt;=$E$36,F230+E230,"")</x:f>
        <x:v>1552</x:v>
      </x:c>
      <x:c r="G231" s="78">
        <x:f>IF(A231&lt;=$E$36,$E$35^A231,"")</x:f>
        <x:v>7.1066833462783219</x:v>
      </x:c>
      <x:c r="H231" s="60" t="str">
        <x:f>IF(A231&lt;$E$40,ROUNDUP(ROUND($E$37*$E$38^A231,6),0),"")</x:f>
        <x:v/>
      </x:c>
      <x:c r="I231" s="60">
        <x:f>IF(A231&lt;=$E$40,I230+H230,"")</x:f>
        <x:v>11500</x:v>
      </x:c>
      <x:c r="J231" s="80">
        <x:f>IF(A231&lt;=$E$40,1+$E$39*A231,"")</x:f>
        <x:v>2</x:v>
      </x:c>
      <x:c r="K231" s="60"/>
      <x:c r="L231" s="60"/>
      <x:c r="M231" s="60"/>
      <x:c r="N231" s="60"/>
      <x:c r="O231" s="60"/>
      <x:c r="P231" s="60"/>
    </x:row>
    <x:row r="232" ht="30" customHeight="1">
      <x:c r="A232" s="61" t="n">
        <x:v>51</x:v>
      </x:c>
      <x:c r="B232" s="61">
        <x:f>IF(A232&lt;$E$32,ROUNDUP(ROUND($E$29*$E$30^A232,6),0),"")</x:f>
        <x:v>1576</x:v>
      </x:c>
      <x:c r="C232" s="61">
        <x:f>IF(A232&lt;=$E$32,C231+B231,"")</x:f>
        <x:v>21824</x:v>
      </x:c>
      <x:c r="D232" s="79">
        <x:f>IF(A232&lt;=$E$32,$E$31^A232,"")</x:f>
        <x:v>3.5230364376961316</x:v>
      </x:c>
      <x:c r="E232" s="61">
        <x:f>IF(A232&lt;$E$36,ROUNDUP(ROUND($E$33*$E$34^A232,6),0),"")</x:f>
        <x:v>74</x:v>
      </x:c>
      <x:c r="F232" s="61">
        <x:f>IF(A232&lt;=$E$36,F231+E231,"")</x:f>
        <x:v>1624</x:v>
      </x:c>
      <x:c r="G232" s="79">
        <x:f>IF(A232&lt;=$E$36,$E$35^A232,"")</x:f>
        <x:v>7.3909506801294551</x:v>
      </x:c>
      <x:c r="H232" s="61" t="str">
        <x:f>IF(A232&lt;$E$40,ROUNDUP(ROUND($E$37*$E$38^A232,6),0),"")</x:f>
        <x:v/>
      </x:c>
      <x:c r="I232" s="61" t="str">
        <x:f>IF(A232&lt;=$E$40,I231+H231,"")</x:f>
        <x:v/>
      </x:c>
      <x:c r="J232" s="81" t="str">
        <x:f>IF(A232&lt;=$E$40,1+$E$39*A232,"")</x:f>
        <x:v/>
      </x:c>
      <x:c r="K232" s="60"/>
      <x:c r="L232" s="60"/>
      <x:c r="M232" s="60"/>
      <x:c r="N232" s="60"/>
      <x:c r="O232" s="60"/>
      <x:c r="P232" s="60"/>
    </x:row>
    <x:row r="233" ht="30" customHeight="1">
      <x:c r="A233" s="60" t="n">
        <x:v>52</x:v>
      </x:c>
      <x:c r="B233" s="60">
        <x:f>IF(A233&lt;$E$32,ROUNDUP(ROUND($E$29*$E$30^A233,6),0),"")</x:f>
        <x:v>1687</x:v>
      </x:c>
      <x:c r="C233" s="60">
        <x:f>IF(A233&lt;=$E$32,C232+B232,"")</x:f>
        <x:v>23400</x:v>
      </x:c>
      <x:c r="D233" s="78">
        <x:f>IF(A233&lt;=$E$32,$E$31^A233,"")</x:f>
        <x:v>3.6111123486385344</x:v>
      </x:c>
      <x:c r="E233" s="60">
        <x:f>IF(A233&lt;$E$36,ROUNDUP(ROUND($E$33*$E$34^A233,6),0),"")</x:f>
        <x:v>77</x:v>
      </x:c>
      <x:c r="F233" s="60">
        <x:f>IF(A233&lt;=$E$36,F232+E232,"")</x:f>
        <x:v>1698</x:v>
      </x:c>
      <x:c r="G233" s="78">
        <x:f>IF(A233&lt;=$E$36,$E$35^A233,"")</x:f>
        <x:v>7.6865887073346331</x:v>
      </x:c>
      <x:c r="H233" s="60" t="str">
        <x:f>IF(A233&lt;$E$40,ROUNDUP(ROUND($E$37*$E$38^A233,6),0),"")</x:f>
        <x:v/>
      </x:c>
      <x:c r="I233" s="60" t="str">
        <x:f>IF(A233&lt;=$E$40,I232+H232,"")</x:f>
        <x:v/>
      </x:c>
      <x:c r="J233" s="80" t="str">
        <x:f>IF(A233&lt;=$E$40,1+$E$39*A233,"")</x:f>
        <x:v/>
      </x:c>
      <x:c r="K233" s="60"/>
      <x:c r="L233" s="60"/>
      <x:c r="M233" s="60"/>
      <x:c r="N233" s="60"/>
      <x:c r="O233" s="60"/>
      <x:c r="P233" s="60"/>
    </x:row>
    <x:row r="234" ht="30" customHeight="1">
      <x:c r="A234" s="61" t="n">
        <x:v>53</x:v>
      </x:c>
      <x:c r="B234" s="61">
        <x:f>IF(A234&lt;$E$32,ROUNDUP(ROUND($E$29*$E$30^A234,6),0),"")</x:f>
        <x:v>1805</x:v>
      </x:c>
      <x:c r="C234" s="61">
        <x:f>IF(A234&lt;=$E$32,C233+B233,"")</x:f>
        <x:v>25087</x:v>
      </x:c>
      <x:c r="D234" s="79">
        <x:f>IF(A234&lt;=$E$32,$E$31^A234,"")</x:f>
        <x:v>3.7013901573544974</x:v>
      </x:c>
      <x:c r="E234" s="61">
        <x:f>IF(A234&lt;$E$36,ROUNDUP(ROUND($E$33*$E$34^A234,6),0),"")</x:f>
        <x:v>80</x:v>
      </x:c>
      <x:c r="F234" s="61">
        <x:f>IF(A234&lt;=$E$36,F233+E233,"")</x:f>
        <x:v>1775</x:v>
      </x:c>
      <x:c r="G234" s="79">
        <x:f>IF(A234&lt;=$E$36,$E$35^A234,"")</x:f>
        <x:v>7.99405225562802</x:v>
      </x:c>
      <x:c r="H234" s="61" t="str">
        <x:f>IF(A234&lt;$E$40,ROUNDUP(ROUND($E$37*$E$38^A234,6),0),"")</x:f>
        <x:v/>
      </x:c>
      <x:c r="I234" s="61" t="str">
        <x:f>IF(A234&lt;=$E$40,I233+H233,"")</x:f>
        <x:v/>
      </x:c>
      <x:c r="J234" s="81" t="str">
        <x:f>IF(A234&lt;=$E$40,1+$E$39*A234,"")</x:f>
        <x:v/>
      </x:c>
      <x:c r="K234" s="60"/>
      <x:c r="L234" s="60"/>
      <x:c r="M234" s="60"/>
      <x:c r="N234" s="60"/>
      <x:c r="O234" s="60"/>
      <x:c r="P234" s="60"/>
    </x:row>
    <x:row r="235" ht="30" customHeight="1">
      <x:c r="A235" s="60" t="n">
        <x:v>54</x:v>
      </x:c>
      <x:c r="B235" s="60">
        <x:f>IF(A235&lt;$E$32,ROUNDUP(ROUND($E$29*$E$30^A235,6),0),"")</x:f>
        <x:v>1931</x:v>
      </x:c>
      <x:c r="C235" s="60">
        <x:f>IF(A235&lt;=$E$32,C234+B234,"")</x:f>
        <x:v>26892</x:v>
      </x:c>
      <x:c r="D235" s="78">
        <x:f>IF(A235&lt;=$E$32,$E$31^A235,"")</x:f>
        <x:v>3.7939249112883595</x:v>
      </x:c>
      <x:c r="E235" s="60">
        <x:f>IF(A235&lt;$E$36,ROUNDUP(ROUND($E$33*$E$34^A235,6),0),"")</x:f>
        <x:v>84</x:v>
      </x:c>
      <x:c r="F235" s="60">
        <x:f>IF(A235&lt;=$E$36,F234+E234,"")</x:f>
        <x:v>1855</x:v>
      </x:c>
      <x:c r="G235" s="78">
        <x:f>IF(A235&lt;=$E$36,$E$35^A235,"")</x:f>
        <x:v>8.3138143458531406</x:v>
      </x:c>
      <x:c r="H235" s="60" t="str">
        <x:f>IF(A235&lt;$E$40,ROUNDUP(ROUND($E$37*$E$38^A235,6),0),"")</x:f>
        <x:v/>
      </x:c>
      <x:c r="I235" s="60" t="str">
        <x:f>IF(A235&lt;=$E$40,I234+H234,"")</x:f>
        <x:v/>
      </x:c>
      <x:c r="J235" s="80" t="str">
        <x:f>IF(A235&lt;=$E$40,1+$E$39*A235,"")</x:f>
        <x:v/>
      </x:c>
      <x:c r="K235" s="60"/>
      <x:c r="L235" s="60"/>
      <x:c r="M235" s="60"/>
      <x:c r="N235" s="60"/>
      <x:c r="O235" s="60"/>
      <x:c r="P235" s="60"/>
    </x:row>
    <x:row r="236" ht="30" customHeight="1">
      <x:c r="A236" s="61" t="n">
        <x:v>55</x:v>
      </x:c>
      <x:c r="B236" s="61">
        <x:f>IF(A236&lt;$E$32,ROUNDUP(ROUND($E$29*$E$30^A236,6),0),"")</x:f>
        <x:v>2066</x:v>
      </x:c>
      <x:c r="C236" s="61">
        <x:f>IF(A236&lt;=$E$32,C235+B235,"")</x:f>
        <x:v>28823</x:v>
      </x:c>
      <x:c r="D236" s="79">
        <x:f>IF(A236&lt;=$E$32,$E$31^A236,"")</x:f>
        <x:v>3.8887730340705686</x:v>
      </x:c>
      <x:c r="E236" s="61">
        <x:f>IF(A236&lt;$E$36,ROUNDUP(ROUND($E$33*$E$34^A236,6),0),"")</x:f>
        <x:v>87</x:v>
      </x:c>
      <x:c r="F236" s="61">
        <x:f>IF(A236&lt;=$E$36,F235+E235,"")</x:f>
        <x:v>1939</x:v>
      </x:c>
      <x:c r="G236" s="79">
        <x:f>IF(A236&lt;=$E$36,$E$35^A236,"")</x:f>
        <x:v>8.6463669196872655</x:v>
      </x:c>
      <x:c r="H236" s="61" t="str">
        <x:f>IF(A236&lt;$E$40,ROUNDUP(ROUND($E$37*$E$38^A236,6),0),"")</x:f>
        <x:v/>
      </x:c>
      <x:c r="I236" s="61" t="str">
        <x:f>IF(A236&lt;=$E$40,I235+H235,"")</x:f>
        <x:v/>
      </x:c>
      <x:c r="J236" s="81" t="str">
        <x:f>IF(A236&lt;=$E$40,1+$E$39*A236,"")</x:f>
        <x:v/>
      </x:c>
      <x:c r="K236" s="60"/>
      <x:c r="L236" s="60"/>
      <x:c r="M236" s="60"/>
      <x:c r="N236" s="60"/>
      <x:c r="O236" s="60"/>
      <x:c r="P236" s="60"/>
    </x:row>
    <x:row r="237" ht="30" customHeight="1">
      <x:c r="A237" s="60" t="n">
        <x:v>56</x:v>
      </x:c>
      <x:c r="B237" s="60">
        <x:f>IF(A237&lt;$E$32,ROUNDUP(ROUND($E$29*$E$30^A237,6),0),"")</x:f>
        <x:v>2211</x:v>
      </x:c>
      <x:c r="C237" s="60">
        <x:f>IF(A237&lt;=$E$32,C236+B236,"")</x:f>
        <x:v>30889</x:v>
      </x:c>
      <x:c r="D237" s="78">
        <x:f>IF(A237&lt;=$E$32,$E$31^A237,"")</x:f>
        <x:v>3.9859923599223328</x:v>
      </x:c>
      <x:c r="E237" s="60">
        <x:f>IF(A237&lt;$E$36,ROUNDUP(ROUND($E$33*$E$34^A237,6),0),"")</x:f>
        <x:v>90</x:v>
      </x:c>
      <x:c r="F237" s="60">
        <x:f>IF(A237&lt;=$E$36,F236+E236,"")</x:f>
        <x:v>2026</x:v>
      </x:c>
      <x:c r="G237" s="78">
        <x:f>IF(A237&lt;=$E$36,$E$35^A237,"")</x:f>
        <x:v>8.9922215964747565</x:v>
      </x:c>
      <x:c r="H237" s="60" t="str">
        <x:f>IF(A237&lt;$E$40,ROUNDUP(ROUND($E$37*$E$38^A237,6),0),"")</x:f>
        <x:v/>
      </x:c>
      <x:c r="I237" s="60" t="str">
        <x:f>IF(A237&lt;=$E$40,I236+H236,"")</x:f>
        <x:v/>
      </x:c>
      <x:c r="J237" s="80" t="str">
        <x:f>IF(A237&lt;=$E$40,1+$E$39*A237,"")</x:f>
        <x:v/>
      </x:c>
      <x:c r="K237" s="60"/>
      <x:c r="L237" s="60"/>
      <x:c r="M237" s="60"/>
      <x:c r="N237" s="60"/>
      <x:c r="O237" s="60"/>
      <x:c r="P237" s="60"/>
    </x:row>
    <x:row r="238" ht="30" customHeight="1">
      <x:c r="A238" s="61" t="n">
        <x:v>57</x:v>
      </x:c>
      <x:c r="B238" s="61">
        <x:f>IF(A238&lt;$E$32,ROUNDUP(ROUND($E$29*$E$30^A238,6),0),"")</x:f>
        <x:v>2366</x:v>
      </x:c>
      <x:c r="C238" s="61">
        <x:f>IF(A238&lt;=$E$32,C237+B237,"")</x:f>
        <x:v>33100</x:v>
      </x:c>
      <x:c r="D238" s="79">
        <x:f>IF(A238&lt;=$E$32,$E$31^A238,"")</x:f>
        <x:v>4.0856421689203906</x:v>
      </x:c>
      <x:c r="E238" s="61">
        <x:f>IF(A238&lt;$E$36,ROUNDUP(ROUND($E$33*$E$34^A238,6),0),"")</x:f>
        <x:v>94</x:v>
      </x:c>
      <x:c r="F238" s="61">
        <x:f>IF(A238&lt;=$E$36,F237+E237,"")</x:f>
        <x:v>2116</x:v>
      </x:c>
      <x:c r="G238" s="79">
        <x:f>IF(A238&lt;=$E$36,$E$35^A238,"")</x:f>
        <x:v>9.35191046033375</x:v>
      </x:c>
      <x:c r="H238" s="61" t="str">
        <x:f>IF(A238&lt;$E$40,ROUNDUP(ROUND($E$37*$E$38^A238,6),0),"")</x:f>
        <x:v/>
      </x:c>
      <x:c r="I238" s="61" t="str">
        <x:f>IF(A238&lt;=$E$40,I237+H237,"")</x:f>
        <x:v/>
      </x:c>
      <x:c r="J238" s="81" t="str">
        <x:f>IF(A238&lt;=$E$40,1+$E$39*A238,"")</x:f>
        <x:v/>
      </x:c>
      <x:c r="K238" s="60"/>
      <x:c r="L238" s="60"/>
      <x:c r="M238" s="60"/>
      <x:c r="N238" s="60"/>
      <x:c r="O238" s="60"/>
      <x:c r="P238" s="60"/>
    </x:row>
    <x:row r="239" ht="30" customHeight="1">
      <x:c r="A239" s="60" t="n">
        <x:v>58</x:v>
      </x:c>
      <x:c r="B239" s="60">
        <x:f>IF(A239&lt;$E$32,ROUNDUP(ROUND($E$29*$E$30^A239,6),0),"")</x:f>
        <x:v>2531</x:v>
      </x:c>
      <x:c r="C239" s="60">
        <x:f>IF(A239&lt;=$E$32,C238+B238,"")</x:f>
        <x:v>35466</x:v>
      </x:c>
      <x:c r="D239" s="78">
        <x:f>IF(A239&lt;=$E$32,$E$31^A239,"")</x:f>
        <x:v>4.1877832231434002</x:v>
      </x:c>
      <x:c r="E239" s="60">
        <x:f>IF(A239&lt;$E$36,ROUNDUP(ROUND($E$33*$E$34^A239,6),0),"")</x:f>
        <x:v>98</x:v>
      </x:c>
      <x:c r="F239" s="60">
        <x:f>IF(A239&lt;=$E$36,F238+E238,"")</x:f>
        <x:v>2210</x:v>
      </x:c>
      <x:c r="G239" s="78">
        <x:f>IF(A239&lt;=$E$36,$E$35^A239,"")</x:f>
        <x:v>9.7259868787470971</x:v>
      </x:c>
      <x:c r="H239" s="60" t="str">
        <x:f>IF(A239&lt;$E$40,ROUNDUP(ROUND($E$37*$E$38^A239,6),0),"")</x:f>
        <x:v/>
      </x:c>
      <x:c r="I239" s="60" t="str">
        <x:f>IF(A239&lt;=$E$40,I238+H238,"")</x:f>
        <x:v/>
      </x:c>
      <x:c r="J239" s="80" t="str">
        <x:f>IF(A239&lt;=$E$40,1+$E$39*A239,"")</x:f>
        <x:v/>
      </x:c>
      <x:c r="K239" s="60"/>
      <x:c r="L239" s="60"/>
      <x:c r="M239" s="60"/>
      <x:c r="N239" s="60"/>
      <x:c r="O239" s="60"/>
      <x:c r="P239" s="60"/>
    </x:row>
    <x:row r="240" ht="30" customHeight="1">
      <x:c r="A240" s="61" t="n">
        <x:v>59</x:v>
      </x:c>
      <x:c r="B240" s="61">
        <x:f>IF(A240&lt;$E$32,ROUNDUP(ROUND($E$29*$E$30^A240,6),0),"")</x:f>
        <x:v>2708</x:v>
      </x:c>
      <x:c r="C240" s="61">
        <x:f>IF(A240&lt;=$E$32,C239+B239,"")</x:f>
        <x:v>37997</x:v>
      </x:c>
      <x:c r="D240" s="79">
        <x:f>IF(A240&lt;=$E$32,$E$31^A240,"")</x:f>
        <x:v>4.2924778037219848</x:v>
      </x:c>
      <x:c r="E240" s="61">
        <x:f>IF(A240&lt;$E$36,ROUNDUP(ROUND($E$33*$E$34^A240,6),0),"")</x:f>
        <x:v>102</x:v>
      </x:c>
      <x:c r="F240" s="61">
        <x:f>IF(A240&lt;=$E$36,F239+E239,"")</x:f>
        <x:v>2308</x:v>
      </x:c>
      <x:c r="G240" s="79">
        <x:f>IF(A240&lt;=$E$36,$E$35^A240,"")</x:f>
        <x:v>10.115026353896981</x:v>
      </x:c>
      <x:c r="H240" s="61" t="str">
        <x:f>IF(A240&lt;$E$40,ROUNDUP(ROUND($E$37*$E$38^A240,6),0),"")</x:f>
        <x:v/>
      </x:c>
      <x:c r="I240" s="61" t="str">
        <x:f>IF(A240&lt;=$E$40,I239+H239,"")</x:f>
        <x:v/>
      </x:c>
      <x:c r="J240" s="81" t="str">
        <x:f>IF(A240&lt;=$E$40,1+$E$39*A240,"")</x:f>
        <x:v/>
      </x:c>
      <x:c r="K240" s="60"/>
      <x:c r="L240" s="60"/>
      <x:c r="M240" s="60"/>
      <x:c r="N240" s="60"/>
      <x:c r="O240" s="60"/>
      <x:c r="P240" s="60"/>
    </x:row>
    <x:row r="241" ht="30" customHeight="1">
      <x:c r="A241" s="60" t="n">
        <x:v>60</x:v>
      </x:c>
      <x:c r="B241" s="60">
        <x:f>IF(A241&lt;$E$32,ROUNDUP(ROUND($E$29*$E$30^A241,6),0),"")</x:f>
        <x:v>2898</x:v>
      </x:c>
      <x:c r="C241" s="60">
        <x:f>IF(A241&lt;=$E$32,C240+B240,"")</x:f>
        <x:v>40705</x:v>
      </x:c>
      <x:c r="D241" s="78">
        <x:f>IF(A241&lt;=$E$32,$E$31^A241,"")</x:f>
        <x:v>4.3997897488150342</x:v>
      </x:c>
      <x:c r="E241" s="60">
        <x:f>IF(A241&lt;$E$36,ROUNDUP(ROUND($E$33*$E$34^A241,6),0),"")</x:f>
        <x:v>106</x:v>
      </x:c>
      <x:c r="F241" s="60">
        <x:f>IF(A241&lt;=$E$36,F240+E240,"")</x:f>
        <x:v>2410</x:v>
      </x:c>
      <x:c r="G241" s="78">
        <x:f>IF(A241&lt;=$E$36,$E$35^A241,"")</x:f>
        <x:v>10.519627408052864</x:v>
      </x:c>
      <x:c r="H241" s="60" t="str">
        <x:f>IF(A241&lt;$E$40,ROUNDUP(ROUND($E$37*$E$38^A241,6),0),"")</x:f>
        <x:v/>
      </x:c>
      <x:c r="I241" s="60" t="str">
        <x:f>IF(A241&lt;=$E$40,I240+H240,"")</x:f>
        <x:v/>
      </x:c>
      <x:c r="J241" s="80" t="str">
        <x:f>IF(A241&lt;=$E$40,1+$E$39*A241,"")</x:f>
        <x:v/>
      </x:c>
      <x:c r="K241" s="60"/>
      <x:c r="L241" s="60"/>
      <x:c r="M241" s="60"/>
      <x:c r="N241" s="60"/>
      <x:c r="O241" s="60"/>
      <x:c r="P241" s="60"/>
    </x:row>
    <x:row r="242" ht="30" customHeight="1">
      <x:c r="A242" s="61" t="n">
        <x:v>61</x:v>
      </x:c>
      <x:c r="B242" s="61">
        <x:f>IF(A242&lt;$E$32,ROUNDUP(ROUND($E$29*$E$30^A242,6),0),"")</x:f>
        <x:v>3101</x:v>
      </x:c>
      <x:c r="C242" s="61">
        <x:f>IF(A242&lt;=$E$32,C241+B241,"")</x:f>
        <x:v>43603</x:v>
      </x:c>
      <x:c r="D242" s="79">
        <x:f>IF(A242&lt;=$E$32,$E$31^A242,"")</x:f>
        <x:v>4.5097844925354105</x:v>
      </x:c>
      <x:c r="E242" s="61">
        <x:f>IF(A242&lt;$E$36,ROUNDUP(ROUND($E$33*$E$34^A242,6),0),"")</x:f>
        <x:v>110</x:v>
      </x:c>
      <x:c r="F242" s="61">
        <x:f>IF(A242&lt;=$E$36,F241+E241,"")</x:f>
        <x:v>2516</x:v>
      </x:c>
      <x:c r="G242" s="79">
        <x:f>IF(A242&lt;=$E$36,$E$35^A242,"")</x:f>
        <x:v>10.940412504374979</x:v>
      </x:c>
      <x:c r="H242" s="61" t="str">
        <x:f>IF(A242&lt;$E$40,ROUNDUP(ROUND($E$37*$E$38^A242,6),0),"")</x:f>
        <x:v/>
      </x:c>
      <x:c r="I242" s="61" t="str">
        <x:f>IF(A242&lt;=$E$40,I241+H241,"")</x:f>
        <x:v/>
      </x:c>
      <x:c r="J242" s="81" t="str">
        <x:f>IF(A242&lt;=$E$40,1+$E$39*A242,"")</x:f>
        <x:v/>
      </x:c>
      <x:c r="K242" s="60"/>
      <x:c r="L242" s="60"/>
      <x:c r="M242" s="60"/>
      <x:c r="N242" s="60"/>
      <x:c r="O242" s="60"/>
      <x:c r="P242" s="60"/>
    </x:row>
    <x:row r="243" ht="30" customHeight="1">
      <x:c r="A243" s="60" t="n">
        <x:v>62</x:v>
      </x:c>
      <x:c r="B243" s="60">
        <x:f>IF(A243&lt;$E$32,ROUNDUP(ROUND($E$29*$E$30^A243,6),0),"")</x:f>
        <x:v>3318</x:v>
      </x:c>
      <x:c r="C243" s="60">
        <x:f>IF(A243&lt;=$E$32,C242+B242,"")</x:f>
        <x:v>46704</x:v>
      </x:c>
      <x:c r="D243" s="78">
        <x:f>IF(A243&lt;=$E$32,$E$31^A243,"")</x:f>
        <x:v>4.6225291048487946</x:v>
      </x:c>
      <x:c r="E243" s="60">
        <x:f>IF(A243&lt;$E$36,ROUNDUP(ROUND($E$33*$E$34^A243,6),0),"")</x:f>
        <x:v>114</x:v>
      </x:c>
      <x:c r="F243" s="60">
        <x:f>IF(A243&lt;=$E$36,F242+E242,"")</x:f>
        <x:v>2626</x:v>
      </x:c>
      <x:c r="G243" s="78">
        <x:f>IF(A243&lt;=$E$36,$E$35^A243,"")</x:f>
        <x:v>11.378029004549976</x:v>
      </x:c>
      <x:c r="H243" s="60" t="str">
        <x:f>IF(A243&lt;$E$40,ROUNDUP(ROUND($E$37*$E$38^A243,6),0),"")</x:f>
        <x:v/>
      </x:c>
      <x:c r="I243" s="60" t="str">
        <x:f>IF(A243&lt;=$E$40,I242+H242,"")</x:f>
        <x:v/>
      </x:c>
      <x:c r="J243" s="80" t="str">
        <x:f>IF(A243&lt;=$E$40,1+$E$39*A243,"")</x:f>
        <x:v/>
      </x:c>
      <x:c r="K243" s="60"/>
      <x:c r="L243" s="60"/>
      <x:c r="M243" s="60"/>
      <x:c r="N243" s="60"/>
      <x:c r="O243" s="60"/>
      <x:c r="P243" s="60"/>
    </x:row>
    <x:row r="244" ht="30" customHeight="1">
      <x:c r="A244" s="61" t="n">
        <x:v>63</x:v>
      </x:c>
      <x:c r="B244" s="61">
        <x:f>IF(A244&lt;$E$32,ROUNDUP(ROUND($E$29*$E$30^A244,6),0),"")</x:f>
        <x:v>3550</x:v>
      </x:c>
      <x:c r="C244" s="61">
        <x:f>IF(A244&lt;=$E$32,C243+B243,"")</x:f>
        <x:v>50022</x:v>
      </x:c>
      <x:c r="D244" s="79">
        <x:f>IF(A244&lt;=$E$32,$E$31^A244,"")</x:f>
        <x:v>4.7380923324700159</x:v>
      </x:c>
      <x:c r="E244" s="61">
        <x:f>IF(A244&lt;$E$36,ROUNDUP(ROUND($E$33*$E$34^A244,6),0),"")</x:f>
        <x:v>119</x:v>
      </x:c>
      <x:c r="F244" s="61">
        <x:f>IF(A244&lt;=$E$36,F243+E243,"")</x:f>
        <x:v>2740</x:v>
      </x:c>
      <x:c r="G244" s="79">
        <x:f>IF(A244&lt;=$E$36,$E$35^A244,"")</x:f>
        <x:v>11.833150164731975</x:v>
      </x:c>
      <x:c r="H244" s="61" t="str">
        <x:f>IF(A244&lt;$E$40,ROUNDUP(ROUND($E$37*$E$38^A244,6),0),"")</x:f>
        <x:v/>
      </x:c>
      <x:c r="I244" s="61" t="str">
        <x:f>IF(A244&lt;=$E$40,I243+H243,"")</x:f>
        <x:v/>
      </x:c>
      <x:c r="J244" s="81" t="str">
        <x:f>IF(A244&lt;=$E$40,1+$E$39*A244,"")</x:f>
        <x:v/>
      </x:c>
      <x:c r="K244" s="60"/>
      <x:c r="L244" s="60"/>
      <x:c r="M244" s="60"/>
      <x:c r="N244" s="60"/>
      <x:c r="O244" s="60"/>
      <x:c r="P244" s="60"/>
    </x:row>
    <x:row r="245" ht="30" customHeight="1">
      <x:c r="A245" s="60" t="n">
        <x:v>64</x:v>
      </x:c>
      <x:c r="B245" s="60">
        <x:f>IF(A245&lt;$E$32,ROUNDUP(ROUND($E$29*$E$30^A245,6),0),"")</x:f>
        <x:v>3798</x:v>
      </x:c>
      <x:c r="C245" s="60">
        <x:f>IF(A245&lt;=$E$32,C244+B244,"")</x:f>
        <x:v>53572</x:v>
      </x:c>
      <x:c r="D245" s="78">
        <x:f>IF(A245&lt;=$E$32,$E$31^A245,"")</x:f>
        <x:v>4.856544640781765</x:v>
      </x:c>
      <x:c r="E245" s="60">
        <x:f>IF(A245&lt;$E$36,ROUNDUP(ROUND($E$33*$E$34^A245,6),0),"")</x:f>
        <x:v>124</x:v>
      </x:c>
      <x:c r="F245" s="60">
        <x:f>IF(A245&lt;=$E$36,F244+E244,"")</x:f>
        <x:v>2859</x:v>
      </x:c>
      <x:c r="G245" s="78">
        <x:f>IF(A245&lt;=$E$36,$E$35^A245,"")</x:f>
        <x:v>12.306476171321256</x:v>
      </x:c>
      <x:c r="H245" s="60" t="str">
        <x:f>IF(A245&lt;$E$40,ROUNDUP(ROUND($E$37*$E$38^A245,6),0),"")</x:f>
        <x:v/>
      </x:c>
      <x:c r="I245" s="60" t="str">
        <x:f>IF(A245&lt;=$E$40,I244+H244,"")</x:f>
        <x:v/>
      </x:c>
      <x:c r="J245" s="80" t="str">
        <x:f>IF(A245&lt;=$E$40,1+$E$39*A245,"")</x:f>
        <x:v/>
      </x:c>
      <x:c r="K245" s="60"/>
      <x:c r="L245" s="60"/>
      <x:c r="M245" s="60"/>
      <x:c r="N245" s="60"/>
      <x:c r="O245" s="60"/>
      <x:c r="P245" s="60"/>
    </x:row>
    <x:row r="246" ht="30" customHeight="1">
      <x:c r="A246" s="61" t="n">
        <x:v>65</x:v>
      </x:c>
      <x:c r="B246" s="61">
        <x:f>IF(A246&lt;$E$32,ROUNDUP(ROUND($E$29*$E$30^A246,6),0),"")</x:f>
        <x:v>4064</x:v>
      </x:c>
      <x:c r="C246" s="61">
        <x:f>IF(A246&lt;=$E$32,C245+B245,"")</x:f>
        <x:v>57370</x:v>
      </x:c>
      <x:c r="D246" s="79">
        <x:f>IF(A246&lt;=$E$32,$E$31^A246,"")</x:f>
        <x:v>4.9779582568013083</x:v>
      </x:c>
      <x:c r="E246" s="61">
        <x:f>IF(A246&lt;$E$36,ROUNDUP(ROUND($E$33*$E$34^A246,6),0),"")</x:f>
        <x:v>128</x:v>
      </x:c>
      <x:c r="F246" s="61">
        <x:f>IF(A246&lt;=$E$36,F245+E245,"")</x:f>
        <x:v>2983</x:v>
      </x:c>
      <x:c r="G246" s="79">
        <x:f>IF(A246&lt;=$E$36,$E$35^A246,"")</x:f>
        <x:v>12.798735218174107</x:v>
      </x:c>
      <x:c r="H246" s="61" t="str">
        <x:f>IF(A246&lt;$E$40,ROUNDUP(ROUND($E$37*$E$38^A246,6),0),"")</x:f>
        <x:v/>
      </x:c>
      <x:c r="I246" s="61" t="str">
        <x:f>IF(A246&lt;=$E$40,I245+H245,"")</x:f>
        <x:v/>
      </x:c>
      <x:c r="J246" s="81" t="str">
        <x:f>IF(A246&lt;=$E$40,1+$E$39*A246,"")</x:f>
        <x:v/>
      </x:c>
      <x:c r="K246" s="60"/>
      <x:c r="L246" s="60"/>
      <x:c r="M246" s="60"/>
      <x:c r="N246" s="60"/>
      <x:c r="O246" s="60"/>
      <x:c r="P246" s="60"/>
    </x:row>
    <x:row r="247" ht="30" customHeight="1">
      <x:c r="A247" s="60" t="n">
        <x:v>66</x:v>
      </x:c>
      <x:c r="B247" s="60">
        <x:f>IF(A247&lt;$E$32,ROUNDUP(ROUND($E$29*$E$30^A247,6),0),"")</x:f>
        <x:v>4349</x:v>
      </x:c>
      <x:c r="C247" s="60">
        <x:f>IF(A247&lt;=$E$32,C246+B246,"")</x:f>
        <x:v>61434</x:v>
      </x:c>
      <x:c r="D247" s="78">
        <x:f>IF(A247&lt;=$E$32,$E$31^A247,"")</x:f>
        <x:v>5.1024072132213414</x:v>
      </x:c>
      <x:c r="E247" s="60">
        <x:f>IF(A247&lt;$E$36,ROUNDUP(ROUND($E$33*$E$34^A247,6),0),"")</x:f>
        <x:v>134</x:v>
      </x:c>
      <x:c r="F247" s="60">
        <x:f>IF(A247&lt;=$E$36,F246+E246,"")</x:f>
        <x:v>3111</x:v>
      </x:c>
      <x:c r="G247" s="78">
        <x:f>IF(A247&lt;=$E$36,$E$35^A247,"")</x:f>
        <x:v>13.310684626901072</x:v>
      </x:c>
      <x:c r="H247" s="60" t="str">
        <x:f>IF(A247&lt;$E$40,ROUNDUP(ROUND($E$37*$E$38^A247,6),0),"")</x:f>
        <x:v/>
      </x:c>
      <x:c r="I247" s="60" t="str">
        <x:f>IF(A247&lt;=$E$40,I246+H246,"")</x:f>
        <x:v/>
      </x:c>
      <x:c r="J247" s="80" t="str">
        <x:f>IF(A247&lt;=$E$40,1+$E$39*A247,"")</x:f>
        <x:v/>
      </x:c>
      <x:c r="K247" s="60"/>
      <x:c r="L247" s="60"/>
      <x:c r="M247" s="60"/>
      <x:c r="N247" s="60"/>
      <x:c r="O247" s="60"/>
      <x:c r="P247" s="60"/>
    </x:row>
    <x:row r="248" ht="30" customHeight="1">
      <x:c r="A248" s="61" t="n">
        <x:v>67</x:v>
      </x:c>
      <x:c r="B248" s="61">
        <x:f>IF(A248&lt;$E$32,ROUNDUP(ROUND($E$29*$E$30^A248,6),0),"")</x:f>
        <x:v>4653</x:v>
      </x:c>
      <x:c r="C248" s="61">
        <x:f>IF(A248&lt;=$E$32,C247+B247,"")</x:f>
        <x:v>65783</x:v>
      </x:c>
      <x:c r="D248" s="79">
        <x:f>IF(A248&lt;=$E$32,$E$31^A248,"")</x:f>
        <x:v>5.2299673935518749</x:v>
      </x:c>
      <x:c r="E248" s="61">
        <x:f>IF(A248&lt;$E$36,ROUNDUP(ROUND($E$33*$E$34^A248,6),0),"")</x:f>
        <x:v>139</x:v>
      </x:c>
      <x:c r="F248" s="61">
        <x:f>IF(A248&lt;=$E$36,F247+E247,"")</x:f>
        <x:v>3245</x:v>
      </x:c>
      <x:c r="G248" s="79">
        <x:f>IF(A248&lt;=$E$36,$E$35^A248,"")</x:f>
        <x:v>13.843112011977114</x:v>
      </x:c>
      <x:c r="H248" s="61" t="str">
        <x:f>IF(A248&lt;$E$40,ROUNDUP(ROUND($E$37*$E$38^A248,6),0),"")</x:f>
        <x:v/>
      </x:c>
      <x:c r="I248" s="61" t="str">
        <x:f>IF(A248&lt;=$E$40,I247+H247,"")</x:f>
        <x:v/>
      </x:c>
      <x:c r="J248" s="81" t="str">
        <x:f>IF(A248&lt;=$E$40,1+$E$39*A248,"")</x:f>
        <x:v/>
      </x:c>
      <x:c r="K248" s="60"/>
      <x:c r="L248" s="60"/>
      <x:c r="M248" s="60"/>
      <x:c r="N248" s="60"/>
      <x:c r="O248" s="60"/>
      <x:c r="P248" s="60"/>
    </x:row>
    <x:row r="249" ht="30" customHeight="1">
      <x:c r="A249" s="60" t="n">
        <x:v>68</x:v>
      </x:c>
      <x:c r="B249" s="60">
        <x:f>IF(A249&lt;$E$32,ROUNDUP(ROUND($E$29*$E$30^A249,6),0),"")</x:f>
        <x:v>4979</x:v>
      </x:c>
      <x:c r="C249" s="60">
        <x:f>IF(A249&lt;=$E$32,C248+B248,"")</x:f>
        <x:v>70436</x:v>
      </x:c>
      <x:c r="D249" s="78">
        <x:f>IF(A249&lt;=$E$32,$E$31^A249,"")</x:f>
        <x:v>5.3607165783906714</x:v>
      </x:c>
      <x:c r="E249" s="60">
        <x:f>IF(A249&lt;$E$36,ROUNDUP(ROUND($E$33*$E$34^A249,6),0),"")</x:f>
        <x:v>144</x:v>
      </x:c>
      <x:c r="F249" s="60">
        <x:f>IF(A249&lt;=$E$36,F248+E248,"")</x:f>
        <x:v>3384</x:v>
      </x:c>
      <x:c r="G249" s="78">
        <x:f>IF(A249&lt;=$E$36,$E$35^A249,"")</x:f>
        <x:v>14.396836492456201</x:v>
      </x:c>
      <x:c r="H249" s="60" t="str">
        <x:f>IF(A249&lt;$E$40,ROUNDUP(ROUND($E$37*$E$38^A249,6),0),"")</x:f>
        <x:v/>
      </x:c>
      <x:c r="I249" s="60" t="str">
        <x:f>IF(A249&lt;=$E$40,I248+H248,"")</x:f>
        <x:v/>
      </x:c>
      <x:c r="J249" s="80" t="str">
        <x:f>IF(A249&lt;=$E$40,1+$E$39*A249,"")</x:f>
        <x:v/>
      </x:c>
      <x:c r="K249" s="60"/>
      <x:c r="L249" s="60"/>
      <x:c r="M249" s="60"/>
      <x:c r="N249" s="60"/>
      <x:c r="O249" s="60"/>
      <x:c r="P249" s="60"/>
    </x:row>
    <x:row r="250" ht="30" customHeight="1">
      <x:c r="A250" s="61" t="n">
        <x:v>69</x:v>
      </x:c>
      <x:c r="B250" s="61">
        <x:f>IF(A250&lt;$E$32,ROUNDUP(ROUND($E$29*$E$30^A250,6),0),"")</x:f>
        <x:v>5327</x:v>
      </x:c>
      <x:c r="C250" s="61">
        <x:f>IF(A250&lt;=$E$32,C249+B249,"")</x:f>
        <x:v>75415</x:v>
      </x:c>
      <x:c r="D250" s="79">
        <x:f>IF(A250&lt;=$E$32,$E$31^A250,"")</x:f>
        <x:v>5.4947344928504371</x:v>
      </x:c>
      <x:c r="E250" s="61">
        <x:f>IF(A250&lt;$E$36,ROUNDUP(ROUND($E$33*$E$34^A250,6),0),"")</x:f>
        <x:v>150</x:v>
      </x:c>
      <x:c r="F250" s="61">
        <x:f>IF(A250&lt;=$E$36,F249+E249,"")</x:f>
        <x:v>3528</x:v>
      </x:c>
      <x:c r="G250" s="79">
        <x:f>IF(A250&lt;=$E$36,$E$35^A250,"")</x:f>
        <x:v>14.97270995215445</x:v>
      </x:c>
      <x:c r="H250" s="61" t="str">
        <x:f>IF(A250&lt;$E$40,ROUNDUP(ROUND($E$37*$E$38^A250,6),0),"")</x:f>
        <x:v/>
      </x:c>
      <x:c r="I250" s="61" t="str">
        <x:f>IF(A250&lt;=$E$40,I249+H249,"")</x:f>
        <x:v/>
      </x:c>
      <x:c r="J250" s="81" t="str">
        <x:f>IF(A250&lt;=$E$40,1+$E$39*A250,"")</x:f>
        <x:v/>
      </x:c>
      <x:c r="K250" s="60"/>
      <x:c r="L250" s="60"/>
      <x:c r="M250" s="60"/>
      <x:c r="N250" s="60"/>
      <x:c r="O250" s="60"/>
      <x:c r="P250" s="60"/>
    </x:row>
    <x:row r="251" ht="30" customHeight="1">
      <x:c r="A251" s="60" t="n">
        <x:v>70</x:v>
      </x:c>
      <x:c r="B251" s="60">
        <x:f>IF(A251&lt;$E$32,ROUNDUP(ROUND($E$29*$E$30^A251,6),0),"")</x:f>
        <x:v>5700</x:v>
      </x:c>
      <x:c r="C251" s="60">
        <x:f>IF(A251&lt;=$E$32,C250+B250,"")</x:f>
        <x:v>80742</x:v>
      </x:c>
      <x:c r="D251" s="78">
        <x:f>IF(A251&lt;=$E$32,$E$31^A251,"")</x:f>
        <x:v>5.6321028551716976</x:v>
      </x:c>
      <x:c r="E251" s="60">
        <x:f>IF(A251&lt;$E$36,ROUNDUP(ROUND($E$33*$E$34^A251,6),0),"")</x:f>
        <x:v>156</x:v>
      </x:c>
      <x:c r="F251" s="60">
        <x:f>IF(A251&lt;=$E$36,F250+E250,"")</x:f>
        <x:v>3678</x:v>
      </x:c>
      <x:c r="G251" s="78">
        <x:f>IF(A251&lt;=$E$36,$E$35^A251,"")</x:f>
        <x:v>15.571618350240628</x:v>
      </x:c>
      <x:c r="H251" s="60" t="str">
        <x:f>IF(A251&lt;$E$40,ROUNDUP(ROUND($E$37*$E$38^A251,6),0),"")</x:f>
        <x:v/>
      </x:c>
      <x:c r="I251" s="60" t="str">
        <x:f>IF(A251&lt;=$E$40,I250+H250,"")</x:f>
        <x:v/>
      </x:c>
      <x:c r="J251" s="80" t="str">
        <x:f>IF(A251&lt;=$E$40,1+$E$39*A251,"")</x:f>
        <x:v/>
      </x:c>
      <x:c r="K251" s="60"/>
      <x:c r="L251" s="60"/>
      <x:c r="M251" s="60"/>
      <x:c r="N251" s="60"/>
      <x:c r="O251" s="60"/>
      <x:c r="P251" s="60"/>
    </x:row>
    <x:row r="252" ht="30" customHeight="1">
      <x:c r="A252" s="61" t="n">
        <x:v>71</x:v>
      </x:c>
      <x:c r="B252" s="61">
        <x:f>IF(A252&lt;$E$32,ROUNDUP(ROUND($E$29*$E$30^A252,6),0),"")</x:f>
        <x:v>6099</x:v>
      </x:c>
      <x:c r="C252" s="61">
        <x:f>IF(A252&lt;=$E$32,C251+B251,"")</x:f>
        <x:v>86442</x:v>
      </x:c>
      <x:c r="D252" s="79">
        <x:f>IF(A252&lt;=$E$32,$E$31^A252,"")</x:f>
        <x:v>5.7729054265509907</x:v>
      </x:c>
      <x:c r="E252" s="61">
        <x:f>IF(A252&lt;$E$36,ROUNDUP(ROUND($E$33*$E$34^A252,6),0),"")</x:f>
        <x:v>162</x:v>
      </x:c>
      <x:c r="F252" s="61">
        <x:f>IF(A252&lt;=$E$36,F251+E251,"")</x:f>
        <x:v>3834</x:v>
      </x:c>
      <x:c r="G252" s="79">
        <x:f>IF(A252&lt;=$E$36,$E$35^A252,"")</x:f>
        <x:v>16.194483084250251</x:v>
      </x:c>
      <x:c r="H252" s="61" t="str">
        <x:f>IF(A252&lt;$E$40,ROUNDUP(ROUND($E$37*$E$38^A252,6),0),"")</x:f>
        <x:v/>
      </x:c>
      <x:c r="I252" s="61" t="str">
        <x:f>IF(A252&lt;=$E$40,I251+H251,"")</x:f>
        <x:v/>
      </x:c>
      <x:c r="J252" s="81" t="str">
        <x:f>IF(A252&lt;=$E$40,1+$E$39*A252,"")</x:f>
        <x:v/>
      </x:c>
      <x:c r="K252" s="60"/>
      <x:c r="L252" s="60"/>
      <x:c r="M252" s="60"/>
      <x:c r="N252" s="60"/>
      <x:c r="O252" s="60"/>
      <x:c r="P252" s="60"/>
    </x:row>
    <x:row r="253" ht="30" customHeight="1">
      <x:c r="A253" s="60" t="n">
        <x:v>72</x:v>
      </x:c>
      <x:c r="B253" s="60">
        <x:f>IF(A253&lt;$E$32,ROUNDUP(ROUND($E$29*$E$30^A253,6),0),"")</x:f>
        <x:v>6526</x:v>
      </x:c>
      <x:c r="C253" s="60">
        <x:f>IF(A253&lt;=$E$32,C252+B252,"")</x:f>
        <x:v>92541</x:v>
      </x:c>
      <x:c r="D253" s="78">
        <x:f>IF(A253&lt;=$E$32,$E$31^A253,"")</x:f>
        <x:v>5.9172280622147646</x:v>
      </x:c>
      <x:c r="E253" s="60">
        <x:f>IF(A253&lt;$E$36,ROUNDUP(ROUND($E$33*$E$34^A253,6),0),"")</x:f>
        <x:v>169</x:v>
      </x:c>
      <x:c r="F253" s="60">
        <x:f>IF(A253&lt;=$E$36,F252+E252,"")</x:f>
        <x:v>3996</x:v>
      </x:c>
      <x:c r="G253" s="78">
        <x:f>IF(A253&lt;=$E$36,$E$35^A253,"")</x:f>
        <x:v>16.842262407620264</x:v>
      </x:c>
      <x:c r="H253" s="60" t="str">
        <x:f>IF(A253&lt;$E$40,ROUNDUP(ROUND($E$37*$E$38^A253,6),0),"")</x:f>
        <x:v/>
      </x:c>
      <x:c r="I253" s="60" t="str">
        <x:f>IF(A253&lt;=$E$40,I252+H252,"")</x:f>
        <x:v/>
      </x:c>
      <x:c r="J253" s="80" t="str">
        <x:f>IF(A253&lt;=$E$40,1+$E$39*A253,"")</x:f>
        <x:v/>
      </x:c>
      <x:c r="K253" s="60"/>
      <x:c r="L253" s="60"/>
      <x:c r="M253" s="60"/>
      <x:c r="N253" s="60"/>
      <x:c r="O253" s="60"/>
      <x:c r="P253" s="60"/>
    </x:row>
    <x:row r="254" ht="30" customHeight="1">
      <x:c r="A254" s="61" t="n">
        <x:v>73</x:v>
      </x:c>
      <x:c r="B254" s="61">
        <x:f>IF(A254&lt;$E$32,ROUNDUP(ROUND($E$29*$E$30^A254,6),0),"")</x:f>
        <x:v>6983</x:v>
      </x:c>
      <x:c r="C254" s="61">
        <x:f>IF(A254&lt;=$E$32,C253+B253,"")</x:f>
        <x:v>99067</x:v>
      </x:c>
      <x:c r="D254" s="79">
        <x:f>IF(A254&lt;=$E$32,$E$31^A254,"")</x:f>
        <x:v>6.0651587637701327</x:v>
      </x:c>
      <x:c r="E254" s="61">
        <x:f>IF(A254&lt;$E$36,ROUNDUP(ROUND($E$33*$E$34^A254,6),0),"")</x:f>
        <x:v>176</x:v>
      </x:c>
      <x:c r="F254" s="61">
        <x:f>IF(A254&lt;=$E$36,F253+E253,"")</x:f>
        <x:v>4165</x:v>
      </x:c>
      <x:c r="G254" s="79">
        <x:f>IF(A254&lt;=$E$36,$E$35^A254,"")</x:f>
        <x:v>17.515952903925076</x:v>
      </x:c>
      <x:c r="H254" s="61" t="str">
        <x:f>IF(A254&lt;$E$40,ROUNDUP(ROUND($E$37*$E$38^A254,6),0),"")</x:f>
        <x:v/>
      </x:c>
      <x:c r="I254" s="61" t="str">
        <x:f>IF(A254&lt;=$E$40,I253+H253,"")</x:f>
        <x:v/>
      </x:c>
      <x:c r="J254" s="81" t="str">
        <x:f>IF(A254&lt;=$E$40,1+$E$39*A254,"")</x:f>
        <x:v/>
      </x:c>
      <x:c r="K254" s="60"/>
      <x:c r="L254" s="60"/>
      <x:c r="M254" s="60"/>
      <x:c r="N254" s="60"/>
      <x:c r="O254" s="60"/>
      <x:c r="P254" s="60"/>
    </x:row>
    <x:row r="255" ht="30" customHeight="1">
      <x:c r="A255" s="60" t="n">
        <x:v>74</x:v>
      </x:c>
      <x:c r="B255" s="60">
        <x:f>IF(A255&lt;$E$32,ROUNDUP(ROUND($E$29*$E$30^A255,6),0),"")</x:f>
        <x:v>7471</x:v>
      </x:c>
      <x:c r="C255" s="60">
        <x:f>IF(A255&lt;=$E$32,C254+B254,"")</x:f>
        <x:v>106050</x:v>
      </x:c>
      <x:c r="D255" s="78">
        <x:f>IF(A255&lt;=$E$32,$E$31^A255,"")</x:f>
        <x:v>6.2167877328643861</x:v>
      </x:c>
      <x:c r="E255" s="60">
        <x:f>IF(A255&lt;$E$36,ROUNDUP(ROUND($E$33*$E$34^A255,6),0),"")</x:f>
        <x:v>183</x:v>
      </x:c>
      <x:c r="F255" s="60">
        <x:f>IF(A255&lt;=$E$36,F254+E254,"")</x:f>
        <x:v>4341</x:v>
      </x:c>
      <x:c r="G255" s="78">
        <x:f>IF(A255&lt;=$E$36,$E$35^A255,"")</x:f>
        <x:v>18.216591020082081</x:v>
      </x:c>
      <x:c r="H255" s="60" t="str">
        <x:f>IF(A255&lt;$E$40,ROUNDUP(ROUND($E$37*$E$38^A255,6),0),"")</x:f>
        <x:v/>
      </x:c>
      <x:c r="I255" s="60" t="str">
        <x:f>IF(A255&lt;=$E$40,I254+H254,"")</x:f>
        <x:v/>
      </x:c>
      <x:c r="J255" s="80" t="str">
        <x:f>IF(A255&lt;=$E$40,1+$E$39*A255,"")</x:f>
        <x:v/>
      </x:c>
      <x:c r="K255" s="60"/>
      <x:c r="L255" s="60"/>
      <x:c r="M255" s="60"/>
      <x:c r="N255" s="60"/>
      <x:c r="O255" s="60"/>
      <x:c r="P255" s="60"/>
    </x:row>
    <x:row r="256" ht="30" customHeight="1">
      <x:c r="A256" s="61" t="n">
        <x:v>75</x:v>
      </x:c>
      <x:c r="B256" s="61">
        <x:f>IF(A256&lt;$E$32,ROUNDUP(ROUND($E$29*$E$30^A256,6),0),"")</x:f>
        <x:v>7994</x:v>
      </x:c>
      <x:c r="C256" s="61">
        <x:f>IF(A256&lt;=$E$32,C255+B255,"")</x:f>
        <x:v>113521</x:v>
      </x:c>
      <x:c r="D256" s="79">
        <x:f>IF(A256&lt;=$E$32,$E$31^A256,"")</x:f>
        <x:v>6.3722074261859962</x:v>
      </x:c>
      <x:c r="E256" s="61">
        <x:f>IF(A256&lt;$E$36,ROUNDUP(ROUND($E$33*$E$34^A256,6),0),"")</x:f>
        <x:v>190</x:v>
      </x:c>
      <x:c r="F256" s="61">
        <x:f>IF(A256&lt;=$E$36,F255+E255,"")</x:f>
        <x:v>4524</x:v>
      </x:c>
      <x:c r="G256" s="79">
        <x:f>IF(A256&lt;=$E$36,$E$35^A256,"")</x:f>
        <x:v>18.945254660885361</x:v>
      </x:c>
      <x:c r="H256" s="61" t="str">
        <x:f>IF(A256&lt;$E$40,ROUNDUP(ROUND($E$37*$E$38^A256,6),0),"")</x:f>
        <x:v/>
      </x:c>
      <x:c r="I256" s="61" t="str">
        <x:f>IF(A256&lt;=$E$40,I255+H255,"")</x:f>
        <x:v/>
      </x:c>
      <x:c r="J256" s="81" t="str">
        <x:f>IF(A256&lt;=$E$40,1+$E$39*A256,"")</x:f>
        <x:v/>
      </x:c>
      <x:c r="K256" s="60"/>
      <x:c r="L256" s="60"/>
      <x:c r="M256" s="60"/>
      <x:c r="N256" s="60"/>
      <x:c r="O256" s="60"/>
      <x:c r="P256" s="60"/>
    </x:row>
    <x:row r="257" ht="30" customHeight="1">
      <x:c r="A257" s="60" t="n">
        <x:v>76</x:v>
      </x:c>
      <x:c r="B257" s="60">
        <x:f>IF(A257&lt;$E$32,ROUNDUP(ROUND($E$29*$E$30^A257,6),0),"")</x:f>
        <x:v>8554</x:v>
      </x:c>
      <x:c r="C257" s="60">
        <x:f>IF(A257&lt;=$E$32,C256+B256,"")</x:f>
        <x:v>121515</x:v>
      </x:c>
      <x:c r="D257" s="78">
        <x:f>IF(A257&lt;=$E$32,$E$31^A257,"")</x:f>
        <x:v>6.531512611840645</x:v>
      </x:c>
      <x:c r="E257" s="60">
        <x:f>IF(A257&lt;$E$36,ROUNDUP(ROUND($E$33*$E$34^A257,6),0),"")</x:f>
        <x:v>198</x:v>
      </x:c>
      <x:c r="F257" s="60">
        <x:f>IF(A257&lt;=$E$36,F256+E256,"")</x:f>
        <x:v>4714</x:v>
      </x:c>
      <x:c r="G257" s="78">
        <x:f>IF(A257&lt;=$E$36,$E$35^A257,"")</x:f>
        <x:v>19.703064847320778</x:v>
      </x:c>
      <x:c r="H257" s="60" t="str">
        <x:f>IF(A257&lt;$E$40,ROUNDUP(ROUND($E$37*$E$38^A257,6),0),"")</x:f>
        <x:v/>
      </x:c>
      <x:c r="I257" s="60" t="str">
        <x:f>IF(A257&lt;=$E$40,I256+H256,"")</x:f>
        <x:v/>
      </x:c>
      <x:c r="J257" s="80" t="str">
        <x:f>IF(A257&lt;=$E$40,1+$E$39*A257,"")</x:f>
        <x:v/>
      </x:c>
      <x:c r="K257" s="60"/>
      <x:c r="L257" s="60"/>
      <x:c r="M257" s="60"/>
      <x:c r="N257" s="60"/>
      <x:c r="O257" s="60"/>
      <x:c r="P257" s="60"/>
    </x:row>
    <x:row r="258" ht="30" customHeight="1">
      <x:c r="A258" s="61" t="n">
        <x:v>77</x:v>
      </x:c>
      <x:c r="B258" s="61">
        <x:f>IF(A258&lt;$E$32,ROUNDUP(ROUND($E$29*$E$30^A258,6),0),"")</x:f>
        <x:v>9153</x:v>
      </x:c>
      <x:c r="C258" s="61">
        <x:f>IF(A258&lt;=$E$32,C257+B257,"")</x:f>
        <x:v>130069</x:v>
      </x:c>
      <x:c r="D258" s="79">
        <x:f>IF(A258&lt;=$E$32,$E$31^A258,"")</x:f>
        <x:v>6.694800427136661</x:v>
      </x:c>
      <x:c r="E258" s="61">
        <x:f>IF(A258&lt;$E$36,ROUNDUP(ROUND($E$33*$E$34^A258,6),0),"")</x:f>
        <x:v>205</x:v>
      </x:c>
      <x:c r="F258" s="61">
        <x:f>IF(A258&lt;=$E$36,F257+E257,"")</x:f>
        <x:v>4912</x:v>
      </x:c>
      <x:c r="G258" s="79">
        <x:f>IF(A258&lt;=$E$36,$E$35^A258,"")</x:f>
        <x:v>20.491187441213611</x:v>
      </x:c>
      <x:c r="H258" s="61" t="str">
        <x:f>IF(A258&lt;$E$40,ROUNDUP(ROUND($E$37*$E$38^A258,6),0),"")</x:f>
        <x:v/>
      </x:c>
      <x:c r="I258" s="61" t="str">
        <x:f>IF(A258&lt;=$E$40,I257+H257,"")</x:f>
        <x:v/>
      </x:c>
      <x:c r="J258" s="81" t="str">
        <x:f>IF(A258&lt;=$E$40,1+$E$39*A258,"")</x:f>
        <x:v/>
      </x:c>
      <x:c r="K258" s="60"/>
      <x:c r="L258" s="60"/>
      <x:c r="M258" s="60"/>
      <x:c r="N258" s="60"/>
      <x:c r="O258" s="60"/>
      <x:c r="P258" s="60"/>
    </x:row>
    <x:row r="259" ht="30" customHeight="1">
      <x:c r="A259" s="60" t="n">
        <x:v>78</x:v>
      </x:c>
      <x:c r="B259" s="60">
        <x:f>IF(A259&lt;$E$32,ROUNDUP(ROUND($E$29*$E$30^A259,6),0),"")</x:f>
        <x:v>9793</x:v>
      </x:c>
      <x:c r="C259" s="60">
        <x:f>IF(A259&lt;=$E$32,C258+B258,"")</x:f>
        <x:v>139222</x:v>
      </x:c>
      <x:c r="D259" s="78">
        <x:f>IF(A259&lt;=$E$32,$E$31^A259,"")</x:f>
        <x:v>6.8621704378150765</x:v>
      </x:c>
      <x:c r="E259" s="60">
        <x:f>IF(A259&lt;$E$36,ROUNDUP(ROUND($E$33*$E$34^A259,6),0),"")</x:f>
        <x:v>214</x:v>
      </x:c>
      <x:c r="F259" s="60">
        <x:f>IF(A259&lt;=$E$36,F258+E258,"")</x:f>
        <x:v>5117</x:v>
      </x:c>
      <x:c r="G259" s="78">
        <x:f>IF(A259&lt;=$E$36,$E$35^A259,"")</x:f>
        <x:v>21.310834938862158</x:v>
      </x:c>
      <x:c r="H259" s="60" t="str">
        <x:f>IF(A259&lt;$E$40,ROUNDUP(ROUND($E$37*$E$38^A259,6),0),"")</x:f>
        <x:v/>
      </x:c>
      <x:c r="I259" s="60" t="str">
        <x:f>IF(A259&lt;=$E$40,I258+H258,"")</x:f>
        <x:v/>
      </x:c>
      <x:c r="J259" s="80" t="str">
        <x:f>IF(A259&lt;=$E$40,1+$E$39*A259,"")</x:f>
        <x:v/>
      </x:c>
      <x:c r="K259" s="60"/>
      <x:c r="L259" s="60"/>
      <x:c r="M259" s="60"/>
      <x:c r="N259" s="60"/>
      <x:c r="O259" s="60"/>
      <x:c r="P259" s="60"/>
    </x:row>
    <x:row r="260" ht="30" customHeight="1">
      <x:c r="A260" s="61" t="n">
        <x:v>79</x:v>
      </x:c>
      <x:c r="B260" s="61">
        <x:f>IF(A260&lt;$E$32,ROUNDUP(ROUND($E$29*$E$30^A260,6),0),"")</x:f>
        <x:v>10479</x:v>
      </x:c>
      <x:c r="C260" s="61">
        <x:f>IF(A260&lt;=$E$32,C259+B259,"")</x:f>
        <x:v>149015</x:v>
      </x:c>
      <x:c r="D260" s="79">
        <x:f>IF(A260&lt;=$E$32,$E$31^A260,"")</x:f>
        <x:v>7.0337246987604551</x:v>
      </x:c>
      <x:c r="E260" s="61">
        <x:f>IF(A260&lt;$E$36,ROUNDUP(ROUND($E$33*$E$34^A260,6),0),"")</x:f>
        <x:v>222</x:v>
      </x:c>
      <x:c r="F260" s="61">
        <x:f>IF(A260&lt;=$E$36,F259+E259,"")</x:f>
        <x:v>5331</x:v>
      </x:c>
      <x:c r="G260" s="79">
        <x:f>IF(A260&lt;=$E$36,$E$35^A260,"")</x:f>
        <x:v>22.163268336416643</x:v>
      </x:c>
      <x:c r="H260" s="61" t="str">
        <x:f>IF(A260&lt;$E$40,ROUNDUP(ROUND($E$37*$E$38^A260,6),0),"")</x:f>
        <x:v/>
      </x:c>
      <x:c r="I260" s="61" t="str">
        <x:f>IF(A260&lt;=$E$40,I259+H259,"")</x:f>
        <x:v/>
      </x:c>
      <x:c r="J260" s="81" t="str">
        <x:f>IF(A260&lt;=$E$40,1+$E$39*A260,"")</x:f>
        <x:v/>
      </x:c>
      <x:c r="K260" s="60"/>
      <x:c r="L260" s="60"/>
      <x:c r="M260" s="60"/>
      <x:c r="N260" s="60"/>
      <x:c r="O260" s="60"/>
      <x:c r="P260" s="60"/>
    </x:row>
    <x:row r="261" ht="30" customHeight="1">
      <x:c r="A261" s="60" t="n">
        <x:v>80</x:v>
      </x:c>
      <x:c r="B261" s="60">
        <x:f>IF(A261&lt;$E$32,ROUNDUP(ROUND($E$29*$E$30^A261,6),0),"")</x:f>
        <x:v>11212</x:v>
      </x:c>
      <x:c r="C261" s="60">
        <x:f>IF(A261&lt;=$E$32,C260+B260,"")</x:f>
        <x:v>159494</x:v>
      </x:c>
      <x:c r="D261" s="78">
        <x:f>IF(A261&lt;=$E$32,$E$31^A261,"")</x:f>
        <x:v>7.2095678162294652</x:v>
      </x:c>
      <x:c r="E261" s="60">
        <x:f>IF(A261&lt;$E$36,ROUNDUP(ROUND($E$33*$E$34^A261,6),0),"")</x:f>
        <x:v>231</x:v>
      </x:c>
      <x:c r="F261" s="60">
        <x:f>IF(A261&lt;=$E$36,F260+E260,"")</x:f>
        <x:v>5553</x:v>
      </x:c>
      <x:c r="G261" s="78">
        <x:f>IF(A261&lt;=$E$36,$E$35^A261,"")</x:f>
        <x:v>23.049799069873313</x:v>
      </x:c>
      <x:c r="H261" s="60" t="str">
        <x:f>IF(A261&lt;$E$40,ROUNDUP(ROUND($E$37*$E$38^A261,6),0),"")</x:f>
        <x:v/>
      </x:c>
      <x:c r="I261" s="60" t="str">
        <x:f>IF(A261&lt;=$E$40,I260+H260,"")</x:f>
        <x:v/>
      </x:c>
      <x:c r="J261" s="80" t="str">
        <x:f>IF(A261&lt;=$E$40,1+$E$39*A261,"")</x:f>
        <x:v/>
      </x:c>
      <x:c r="K261" s="60"/>
      <x:c r="L261" s="60"/>
      <x:c r="M261" s="60"/>
      <x:c r="N261" s="60"/>
      <x:c r="O261" s="60"/>
      <x:c r="P261" s="60"/>
    </x:row>
    <x:row r="262" ht="30" customHeight="1">
      <x:c r="A262" s="61" t="n">
        <x:v>81</x:v>
      </x:c>
      <x:c r="B262" s="61">
        <x:f>IF(A262&lt;$E$32,ROUNDUP(ROUND($E$29*$E$30^A262,6),0),"")</x:f>
        <x:v>11997</x:v>
      </x:c>
      <x:c r="C262" s="61">
        <x:f>IF(A262&lt;=$E$32,C261+B261,"")</x:f>
        <x:v>170706</x:v>
      </x:c>
      <x:c r="D262" s="79">
        <x:f>IF(A262&lt;=$E$32,$E$31^A262,"")</x:f>
        <x:v>7.3898070116352015</x:v>
      </x:c>
      <x:c r="E262" s="61">
        <x:f>IF(A262&lt;$E$36,ROUNDUP(ROUND($E$33*$E$34^A262,6),0),"")</x:f>
        <x:v>240</x:v>
      </x:c>
      <x:c r="F262" s="61">
        <x:f>IF(A262&lt;=$E$36,F261+E261,"")</x:f>
        <x:v>5784</x:v>
      </x:c>
      <x:c r="G262" s="79">
        <x:f>IF(A262&lt;=$E$36,$E$35^A262,"")</x:f>
        <x:v>23.971791032668243</x:v>
      </x:c>
      <x:c r="H262" s="61" t="str">
        <x:f>IF(A262&lt;$E$40,ROUNDUP(ROUND($E$37*$E$38^A262,6),0),"")</x:f>
        <x:v/>
      </x:c>
      <x:c r="I262" s="61" t="str">
        <x:f>IF(A262&lt;=$E$40,I261+H261,"")</x:f>
        <x:v/>
      </x:c>
      <x:c r="J262" s="81" t="str">
        <x:f>IF(A262&lt;=$E$40,1+$E$39*A262,"")</x:f>
        <x:v/>
      </x:c>
      <x:c r="K262" s="60"/>
      <x:c r="L262" s="60"/>
      <x:c r="M262" s="60"/>
      <x:c r="N262" s="60"/>
      <x:c r="O262" s="60"/>
      <x:c r="P262" s="60"/>
    </x:row>
    <x:row r="263" ht="30" customHeight="1">
      <x:c r="A263" s="60" t="n">
        <x:v>82</x:v>
      </x:c>
      <x:c r="B263" s="60">
        <x:f>IF(A263&lt;$E$32,ROUNDUP(ROUND($E$29*$E$30^A263,6),0),"")</x:f>
        <x:v>12837</x:v>
      </x:c>
      <x:c r="C263" s="60">
        <x:f>IF(A263&lt;=$E$32,C262+B262,"")</x:f>
        <x:v>182703</x:v>
      </x:c>
      <x:c r="D263" s="78">
        <x:f>IF(A263&lt;=$E$32,$E$31^A263,"")</x:f>
        <x:v>7.5745521869260815</x:v>
      </x:c>
      <x:c r="E263" s="60">
        <x:f>IF(A263&lt;$E$36,ROUNDUP(ROUND($E$33*$E$34^A263,6),0),"")</x:f>
        <x:v>250</x:v>
      </x:c>
      <x:c r="F263" s="60">
        <x:f>IF(A263&lt;=$E$36,F262+E262,"")</x:f>
        <x:v>6024</x:v>
      </x:c>
      <x:c r="G263" s="78">
        <x:f>IF(A263&lt;=$E$36,$E$35^A263,"")</x:f>
        <x:v>24.930662673974975</x:v>
      </x:c>
      <x:c r="H263" s="60" t="str">
        <x:f>IF(A263&lt;$E$40,ROUNDUP(ROUND($E$37*$E$38^A263,6),0),"")</x:f>
        <x:v/>
      </x:c>
      <x:c r="I263" s="60" t="str">
        <x:f>IF(A263&lt;=$E$40,I262+H262,"")</x:f>
        <x:v/>
      </x:c>
      <x:c r="J263" s="80" t="str">
        <x:f>IF(A263&lt;=$E$40,1+$E$39*A263,"")</x:f>
        <x:v/>
      </x:c>
      <x:c r="K263" s="60"/>
      <x:c r="L263" s="60"/>
      <x:c r="M263" s="60"/>
      <x:c r="N263" s="60"/>
      <x:c r="O263" s="60"/>
      <x:c r="P263" s="60"/>
    </x:row>
    <x:row r="264" ht="30" customHeight="1">
      <x:c r="A264" s="61" t="n">
        <x:v>83</x:v>
      </x:c>
      <x:c r="B264" s="61">
        <x:f>IF(A264&lt;$E$32,ROUNDUP(ROUND($E$29*$E$30^A264,6),0),"")</x:f>
        <x:v>13735</x:v>
      </x:c>
      <x:c r="C264" s="61">
        <x:f>IF(A264&lt;=$E$32,C263+B263,"")</x:f>
        <x:v>195540</x:v>
      </x:c>
      <x:c r="D264" s="79">
        <x:f>IF(A264&lt;=$E$32,$E$31^A264,"")</x:f>
        <x:v>7.7639159915992337</x:v>
      </x:c>
      <x:c r="E264" s="61">
        <x:f>IF(A264&lt;$E$36,ROUNDUP(ROUND($E$33*$E$34^A264,6),0),"")</x:f>
        <x:v>260</x:v>
      </x:c>
      <x:c r="F264" s="61">
        <x:f>IF(A264&lt;=$E$36,F263+E263,"")</x:f>
        <x:v>6274</x:v>
      </x:c>
      <x:c r="G264" s="79">
        <x:f>IF(A264&lt;=$E$36,$E$35^A264,"")</x:f>
        <x:v>25.927889180933974</x:v>
      </x:c>
      <x:c r="H264" s="61" t="str">
        <x:f>IF(A264&lt;$E$40,ROUNDUP(ROUND($E$37*$E$38^A264,6),0),"")</x:f>
        <x:v/>
      </x:c>
      <x:c r="I264" s="61" t="str">
        <x:f>IF(A264&lt;=$E$40,I263+H263,"")</x:f>
        <x:v/>
      </x:c>
      <x:c r="J264" s="81" t="str">
        <x:f>IF(A264&lt;=$E$40,1+$E$39*A264,"")</x:f>
        <x:v/>
      </x:c>
      <x:c r="K264" s="60"/>
      <x:c r="L264" s="60"/>
      <x:c r="M264" s="60"/>
      <x:c r="N264" s="60"/>
      <x:c r="O264" s="60"/>
      <x:c r="P264" s="60"/>
    </x:row>
    <x:row r="265" ht="30" customHeight="1">
      <x:c r="A265" s="60" t="n">
        <x:v>84</x:v>
      </x:c>
      <x:c r="B265" s="60">
        <x:f>IF(A265&lt;$E$32,ROUNDUP(ROUND($E$29*$E$30^A265,6),0),"")</x:f>
        <x:v>14697</x:v>
      </x:c>
      <x:c r="C265" s="60">
        <x:f>IF(A265&lt;=$E$32,C264+B264,"")</x:f>
        <x:v>209275</x:v>
      </x:c>
      <x:c r="D265" s="78">
        <x:f>IF(A265&lt;=$E$32,$E$31^A265,"")</x:f>
        <x:v>7.9580138913892133</x:v>
      </x:c>
      <x:c r="E265" s="60">
        <x:f>IF(A265&lt;$E$36,ROUNDUP(ROUND($E$33*$E$34^A265,6),0),"")</x:f>
        <x:v>270</x:v>
      </x:c>
      <x:c r="F265" s="60">
        <x:f>IF(A265&lt;=$E$36,F264+E264,"")</x:f>
        <x:v>6534</x:v>
      </x:c>
      <x:c r="G265" s="78">
        <x:f>IF(A265&lt;=$E$36,$E$35^A265,"")</x:f>
        <x:v>26.965004748171335</x:v>
      </x:c>
      <x:c r="H265" s="60" t="str">
        <x:f>IF(A265&lt;$E$40,ROUNDUP(ROUND($E$37*$E$38^A265,6),0),"")</x:f>
        <x:v/>
      </x:c>
      <x:c r="I265" s="60" t="str">
        <x:f>IF(A265&lt;=$E$40,I264+H264,"")</x:f>
        <x:v/>
      </x:c>
      <x:c r="J265" s="80" t="str">
        <x:f>IF(A265&lt;=$E$40,1+$E$39*A265,"")</x:f>
        <x:v/>
      </x:c>
      <x:c r="K265" s="60"/>
      <x:c r="L265" s="60"/>
      <x:c r="M265" s="60"/>
      <x:c r="N265" s="60"/>
      <x:c r="O265" s="60"/>
      <x:c r="P265" s="60"/>
    </x:row>
    <x:row r="266" ht="30" customHeight="1">
      <x:c r="A266" s="61" t="n">
        <x:v>85</x:v>
      </x:c>
      <x:c r="B266" s="61">
        <x:f>IF(A266&lt;$E$32,ROUNDUP(ROUND($E$29*$E$30^A266,6),0),"")</x:f>
        <x:v>15726</x:v>
      </x:c>
      <x:c r="C266" s="61">
        <x:f>IF(A266&lt;=$E$32,C265+B265,"")</x:f>
        <x:v>223972</x:v>
      </x:c>
      <x:c r="D266" s="79">
        <x:f>IF(A266&lt;=$E$32,$E$31^A266,"")</x:f>
        <x:v>8.1569642386739432</x:v>
      </x:c>
      <x:c r="E266" s="61">
        <x:f>IF(A266&lt;$E$36,ROUNDUP(ROUND($E$33*$E$34^A266,6),0),"")</x:f>
        <x:v>281</x:v>
      </x:c>
      <x:c r="F266" s="61">
        <x:f>IF(A266&lt;=$E$36,F265+E265,"")</x:f>
        <x:v>6804</x:v>
      </x:c>
      <x:c r="G266" s="79">
        <x:f>IF(A266&lt;=$E$36,$E$35^A266,"")</x:f>
        <x:v>28.043604938098195</x:v>
      </x:c>
      <x:c r="H266" s="61" t="str">
        <x:f>IF(A266&lt;$E$40,ROUNDUP(ROUND($E$37*$E$38^A266,6),0),"")</x:f>
        <x:v/>
      </x:c>
      <x:c r="I266" s="61" t="str">
        <x:f>IF(A266&lt;=$E$40,I265+H265,"")</x:f>
        <x:v/>
      </x:c>
      <x:c r="J266" s="81" t="str">
        <x:f>IF(A266&lt;=$E$40,1+$E$39*A266,"")</x:f>
        <x:v/>
      </x:c>
      <x:c r="K266" s="60"/>
      <x:c r="L266" s="60"/>
      <x:c r="M266" s="60"/>
      <x:c r="N266" s="60"/>
      <x:c r="O266" s="60"/>
      <x:c r="P266" s="60"/>
    </x:row>
    <x:row r="267" ht="30" customHeight="1">
      <x:c r="A267" s="60" t="n">
        <x:v>86</x:v>
      </x:c>
      <x:c r="B267" s="60">
        <x:f>IF(A267&lt;$E$32,ROUNDUP(ROUND($E$29*$E$30^A267,6),0),"")</x:f>
        <x:v>16826</x:v>
      </x:c>
      <x:c r="C267" s="60">
        <x:f>IF(A267&lt;=$E$32,C266+B266,"")</x:f>
        <x:v>239698</x:v>
      </x:c>
      <x:c r="D267" s="78">
        <x:f>IF(A267&lt;=$E$32,$E$31^A267,"")</x:f>
        <x:v>8.3608883446407916</x:v>
      </x:c>
      <x:c r="E267" s="60">
        <x:f>IF(A267&lt;$E$36,ROUNDUP(ROUND($E$33*$E$34^A267,6),0),"")</x:f>
        <x:v>292</x:v>
      </x:c>
      <x:c r="F267" s="60">
        <x:f>IF(A267&lt;=$E$36,F266+E266,"")</x:f>
        <x:v>7085</x:v>
      </x:c>
      <x:c r="G267" s="78">
        <x:f>IF(A267&lt;=$E$36,$E$35^A267,"")</x:f>
        <x:v>29.165349135622122</x:v>
      </x:c>
      <x:c r="H267" s="60" t="str">
        <x:f>IF(A267&lt;$E$40,ROUNDUP(ROUND($E$37*$E$38^A267,6),0),"")</x:f>
        <x:v/>
      </x:c>
      <x:c r="I267" s="60" t="str">
        <x:f>IF(A267&lt;=$E$40,I266+H266,"")</x:f>
        <x:v/>
      </x:c>
      <x:c r="J267" s="80" t="str">
        <x:f>IF(A267&lt;=$E$40,1+$E$39*A267,"")</x:f>
        <x:v/>
      </x:c>
      <x:c r="K267" s="60"/>
      <x:c r="L267" s="60"/>
      <x:c r="M267" s="60"/>
      <x:c r="N267" s="60"/>
      <x:c r="O267" s="60"/>
      <x:c r="P267" s="60"/>
    </x:row>
    <x:row r="268" ht="30" customHeight="1">
      <x:c r="A268" s="61" t="n">
        <x:v>87</x:v>
      </x:c>
      <x:c r="B268" s="61">
        <x:f>IF(A268&lt;$E$32,ROUNDUP(ROUND($E$29*$E$30^A268,6),0),"")</x:f>
        <x:v>18004</x:v>
      </x:c>
      <x:c r="C268" s="61">
        <x:f>IF(A268&lt;=$E$32,C267+B267,"")</x:f>
        <x:v>256524</x:v>
      </x:c>
      <x:c r="D268" s="79">
        <x:f>IF(A268&lt;=$E$32,$E$31^A268,"")</x:f>
        <x:v>8.5699105532568112</x:v>
      </x:c>
      <x:c r="E268" s="61">
        <x:f>IF(A268&lt;$E$36,ROUNDUP(ROUND($E$33*$E$34^A268,6),0),"")</x:f>
        <x:v>304</x:v>
      </x:c>
      <x:c r="F268" s="61">
        <x:f>IF(A268&lt;=$E$36,F267+E267,"")</x:f>
        <x:v>7377</x:v>
      </x:c>
      <x:c r="G268" s="79">
        <x:f>IF(A268&lt;=$E$36,$E$35^A268,"")</x:f>
        <x:v>30.331963101047002</x:v>
      </x:c>
      <x:c r="H268" s="61" t="str">
        <x:f>IF(A268&lt;$E$40,ROUNDUP(ROUND($E$37*$E$38^A268,6),0),"")</x:f>
        <x:v/>
      </x:c>
      <x:c r="I268" s="61" t="str">
        <x:f>IF(A268&lt;=$E$40,I267+H267,"")</x:f>
        <x:v/>
      </x:c>
      <x:c r="J268" s="81" t="str">
        <x:f>IF(A268&lt;=$E$40,1+$E$39*A268,"")</x:f>
        <x:v/>
      </x:c>
      <x:c r="K268" s="60"/>
      <x:c r="L268" s="60"/>
      <x:c r="M268" s="60"/>
      <x:c r="N268" s="60"/>
      <x:c r="O268" s="60"/>
      <x:c r="P268" s="60"/>
    </x:row>
    <x:row r="269" ht="30" customHeight="1">
      <x:c r="A269" s="60" t="n">
        <x:v>88</x:v>
      </x:c>
      <x:c r="B269" s="60">
        <x:f>IF(A269&lt;$E$32,ROUNDUP(ROUND($E$29*$E$30^A269,6),0),"")</x:f>
        <x:v>19264</x:v>
      </x:c>
      <x:c r="C269" s="60">
        <x:f>IF(A269&lt;=$E$32,C268+B268,"")</x:f>
        <x:v>274528</x:v>
      </x:c>
      <x:c r="D269" s="78">
        <x:f>IF(A269&lt;=$E$32,$E$31^A269,"")</x:f>
        <x:v>8.7841583170882309</x:v>
      </x:c>
      <x:c r="E269" s="60">
        <x:f>IF(A269&lt;$E$36,ROUNDUP(ROUND($E$33*$E$34^A269,6),0),"")</x:f>
        <x:v>316</x:v>
      </x:c>
      <x:c r="F269" s="60">
        <x:f>IF(A269&lt;=$E$36,F268+E268,"")</x:f>
        <x:v>7681</x:v>
      </x:c>
      <x:c r="G269" s="78">
        <x:f>IF(A269&lt;=$E$36,$E$35^A269,"")</x:f>
        <x:v>31.545241625088885</x:v>
      </x:c>
      <x:c r="H269" s="60" t="str">
        <x:f>IF(A269&lt;$E$40,ROUNDUP(ROUND($E$37*$E$38^A269,6),0),"")</x:f>
        <x:v/>
      </x:c>
      <x:c r="I269" s="60" t="str">
        <x:f>IF(A269&lt;=$E$40,I268+H268,"")</x:f>
        <x:v/>
      </x:c>
      <x:c r="J269" s="80" t="str">
        <x:f>IF(A269&lt;=$E$40,1+$E$39*A269,"")</x:f>
        <x:v/>
      </x:c>
      <x:c r="K269" s="60"/>
      <x:c r="L269" s="60"/>
      <x:c r="M269" s="60"/>
      <x:c r="N269" s="60"/>
      <x:c r="O269" s="60"/>
      <x:c r="P269" s="60"/>
    </x:row>
    <x:row r="270" ht="30" customHeight="1">
      <x:c r="A270" s="61" t="n">
        <x:v>89</x:v>
      </x:c>
      <x:c r="B270" s="61">
        <x:f>IF(A270&lt;$E$32,ROUNDUP(ROUND($E$29*$E$30^A270,6),0),"")</x:f>
        <x:v>20613</x:v>
      </x:c>
      <x:c r="C270" s="61">
        <x:f>IF(A270&lt;=$E$32,C269+B269,"")</x:f>
        <x:v>293792</x:v>
      </x:c>
      <x:c r="D270" s="79">
        <x:f>IF(A270&lt;=$E$32,$E$31^A270,"")</x:f>
        <x:v>9.0037622750154345</x:v>
      </x:c>
      <x:c r="E270" s="61">
        <x:f>IF(A270&lt;$E$36,ROUNDUP(ROUND($E$33*$E$34^A270,6),0),"")</x:f>
        <x:v>329</x:v>
      </x:c>
      <x:c r="F270" s="61">
        <x:f>IF(A270&lt;=$E$36,F269+E269,"")</x:f>
        <x:v>7997</x:v>
      </x:c>
      <x:c r="G270" s="79">
        <x:f>IF(A270&lt;=$E$36,$E$35^A270,"")</x:f>
        <x:v>32.807051290092446</x:v>
      </x:c>
      <x:c r="H270" s="61" t="str">
        <x:f>IF(A270&lt;$E$40,ROUNDUP(ROUND($E$37*$E$38^A270,6),0),"")</x:f>
        <x:v/>
      </x:c>
      <x:c r="I270" s="61" t="str">
        <x:f>IF(A270&lt;=$E$40,I269+H269,"")</x:f>
        <x:v/>
      </x:c>
      <x:c r="J270" s="81" t="str">
        <x:f>IF(A270&lt;=$E$40,1+$E$39*A270,"")</x:f>
        <x:v/>
      </x:c>
      <x:c r="K270" s="60"/>
      <x:c r="L270" s="60"/>
      <x:c r="M270" s="60"/>
      <x:c r="N270" s="60"/>
      <x:c r="O270" s="60"/>
      <x:c r="P270" s="60"/>
    </x:row>
    <x:row r="271" ht="30" customHeight="1">
      <x:c r="A271" s="60" t="n">
        <x:v>90</x:v>
      </x:c>
      <x:c r="B271" s="60">
        <x:f>IF(A271&lt;$E$32,ROUNDUP(ROUND($E$29*$E$30^A271,6),0),"")</x:f>
        <x:v>22056</x:v>
      </x:c>
      <x:c r="C271" s="60">
        <x:f>IF(A271&lt;=$E$32,C270+B270,"")</x:f>
        <x:v>314405</x:v>
      </x:c>
      <x:c r="D271" s="78">
        <x:f>IF(A271&lt;=$E$32,$E$31^A271,"")</x:f>
        <x:v>9.228856331890821</x:v>
      </x:c>
      <x:c r="E271" s="60">
        <x:f>IF(A271&lt;$E$36,ROUNDUP(ROUND($E$33*$E$34^A271,6),0),"")</x:f>
        <x:v>342</x:v>
      </x:c>
      <x:c r="F271" s="60">
        <x:f>IF(A271&lt;=$E$36,F270+E270,"")</x:f>
        <x:v>8326</x:v>
      </x:c>
      <x:c r="G271" s="78">
        <x:f>IF(A271&lt;=$E$36,$E$35^A271,"")</x:f>
        <x:v>34.119333341696141</x:v>
      </x:c>
      <x:c r="H271" s="60" t="str">
        <x:f>IF(A271&lt;$E$40,ROUNDUP(ROUND($E$37*$E$38^A271,6),0),"")</x:f>
        <x:v/>
      </x:c>
      <x:c r="I271" s="60" t="str">
        <x:f>IF(A271&lt;=$E$40,I270+H270,"")</x:f>
        <x:v/>
      </x:c>
      <x:c r="J271" s="80" t="str">
        <x:f>IF(A271&lt;=$E$40,1+$E$39*A271,"")</x:f>
        <x:v/>
      </x:c>
      <x:c r="K271" s="60"/>
      <x:c r="L271" s="60"/>
      <x:c r="M271" s="60"/>
      <x:c r="N271" s="60"/>
      <x:c r="O271" s="60"/>
      <x:c r="P271" s="60"/>
    </x:row>
    <x:row r="272" ht="30" customHeight="1">
      <x:c r="A272" s="61" t="n">
        <x:v>91</x:v>
      </x:c>
      <x:c r="B272" s="61">
        <x:f>IF(A272&lt;$E$32,ROUNDUP(ROUND($E$29*$E$30^A272,6),0),"")</x:f>
        <x:v>23600</x:v>
      </x:c>
      <x:c r="C272" s="61">
        <x:f>IF(A272&lt;=$E$32,C271+B271,"")</x:f>
        <x:v>336461</x:v>
      </x:c>
      <x:c r="D272" s="79">
        <x:f>IF(A272&lt;=$E$32,$E$31^A272,"")</x:f>
        <x:v>9.4595777401880916</x:v>
      </x:c>
      <x:c r="E272" s="61">
        <x:f>IF(A272&lt;$E$36,ROUNDUP(ROUND($E$33*$E$34^A272,6),0),"")</x:f>
        <x:v>355</x:v>
      </x:c>
      <x:c r="F272" s="61">
        <x:f>IF(A272&lt;=$E$36,F271+E271,"")</x:f>
        <x:v>8668</x:v>
      </x:c>
      <x:c r="G272" s="79">
        <x:f>IF(A272&lt;=$E$36,$E$35^A272,"")</x:f>
        <x:v>35.484106675363989</x:v>
      </x:c>
      <x:c r="H272" s="61" t="str">
        <x:f>IF(A272&lt;$E$40,ROUNDUP(ROUND($E$37*$E$38^A272,6),0),"")</x:f>
        <x:v/>
      </x:c>
      <x:c r="I272" s="61" t="str">
        <x:f>IF(A272&lt;=$E$40,I271+H271,"")</x:f>
        <x:v/>
      </x:c>
      <x:c r="J272" s="81" t="str">
        <x:f>IF(A272&lt;=$E$40,1+$E$39*A272,"")</x:f>
        <x:v/>
      </x:c>
      <x:c r="K272" s="60"/>
      <x:c r="L272" s="60"/>
      <x:c r="M272" s="60"/>
      <x:c r="N272" s="60"/>
      <x:c r="O272" s="60"/>
      <x:c r="P272" s="60"/>
    </x:row>
    <x:row r="273" ht="30" customHeight="1">
      <x:c r="A273" s="60" t="n">
        <x:v>92</x:v>
      </x:c>
      <x:c r="B273" s="60">
        <x:f>IF(A273&lt;$E$32,ROUNDUP(ROUND($E$29*$E$30^A273,6),0),"")</x:f>
        <x:v>25251</x:v>
      </x:c>
      <x:c r="C273" s="60">
        <x:f>IF(A273&lt;=$E$32,C272+B272,"")</x:f>
        <x:v>360061</x:v>
      </x:c>
      <x:c r="D273" s="78">
        <x:f>IF(A273&lt;=$E$32,$E$31^A273,"")</x:f>
        <x:v>9.6960671836927919</x:v>
      </x:c>
      <x:c r="E273" s="60">
        <x:f>IF(A273&lt;$E$36,ROUNDUP(ROUND($E$33*$E$34^A273,6),0),"")</x:f>
        <x:v>370</x:v>
      </x:c>
      <x:c r="F273" s="60">
        <x:f>IF(A273&lt;=$E$36,F272+E272,"")</x:f>
        <x:v>9023</x:v>
      </x:c>
      <x:c r="G273" s="78">
        <x:f>IF(A273&lt;=$E$36,$E$35^A273,"")</x:f>
        <x:v>36.903470942378554</x:v>
      </x:c>
      <x:c r="H273" s="60" t="str">
        <x:f>IF(A273&lt;$E$40,ROUNDUP(ROUND($E$37*$E$38^A273,6),0),"")</x:f>
        <x:v/>
      </x:c>
      <x:c r="I273" s="60" t="str">
        <x:f>IF(A273&lt;=$E$40,I272+H272,"")</x:f>
        <x:v/>
      </x:c>
      <x:c r="J273" s="80" t="str">
        <x:f>IF(A273&lt;=$E$40,1+$E$39*A273,"")</x:f>
        <x:v/>
      </x:c>
      <x:c r="K273" s="60"/>
      <x:c r="L273" s="60"/>
      <x:c r="M273" s="60"/>
      <x:c r="N273" s="60"/>
      <x:c r="O273" s="60"/>
      <x:c r="P273" s="60"/>
    </x:row>
    <x:row r="274" ht="30" customHeight="1">
      <x:c r="A274" s="61" t="n">
        <x:v>93</x:v>
      </x:c>
      <x:c r="B274" s="61">
        <x:f>IF(A274&lt;$E$32,ROUNDUP(ROUND($E$29*$E$30^A274,6),0),"")</x:f>
        <x:v>27019</x:v>
      </x:c>
      <x:c r="C274" s="61">
        <x:f>IF(A274&lt;=$E$32,C273+B273,"")</x:f>
        <x:v>385312</x:v>
      </x:c>
      <x:c r="D274" s="79">
        <x:f>IF(A274&lt;=$E$32,$E$31^A274,"")</x:f>
        <x:v>9.938468863285113</x:v>
      </x:c>
      <x:c r="E274" s="61">
        <x:f>IF(A274&lt;$E$36,ROUNDUP(ROUND($E$33*$E$34^A274,6),0),"")</x:f>
        <x:v>384</x:v>
      </x:c>
      <x:c r="F274" s="61">
        <x:f>IF(A274&lt;=$E$36,F273+E273,"")</x:f>
        <x:v>9393</x:v>
      </x:c>
      <x:c r="G274" s="79">
        <x:f>IF(A274&lt;=$E$36,$E$35^A274,"")</x:f>
        <x:v>38.3796097800737</x:v>
      </x:c>
      <x:c r="H274" s="61" t="str">
        <x:f>IF(A274&lt;$E$40,ROUNDUP(ROUND($E$37*$E$38^A274,6),0),"")</x:f>
        <x:v/>
      </x:c>
      <x:c r="I274" s="61" t="str">
        <x:f>IF(A274&lt;=$E$40,I273+H273,"")</x:f>
        <x:v/>
      </x:c>
      <x:c r="J274" s="81" t="str">
        <x:f>IF(A274&lt;=$E$40,1+$E$39*A274,"")</x:f>
        <x:v/>
      </x:c>
      <x:c r="K274" s="60"/>
      <x:c r="L274" s="60"/>
      <x:c r="M274" s="60"/>
      <x:c r="N274" s="60"/>
      <x:c r="O274" s="60"/>
      <x:c r="P274" s="60"/>
    </x:row>
    <x:row r="275" ht="30" customHeight="1">
      <x:c r="A275" s="60" t="n">
        <x:v>94</x:v>
      </x:c>
      <x:c r="B275" s="60">
        <x:f>IF(A275&lt;$E$32,ROUNDUP(ROUND($E$29*$E$30^A275,6),0),"")</x:f>
        <x:v>28910</x:v>
      </x:c>
      <x:c r="C275" s="60">
        <x:f>IF(A275&lt;=$E$32,C274+B274,"")</x:f>
        <x:v>412331</x:v>
      </x:c>
      <x:c r="D275" s="78">
        <x:f>IF(A275&lt;=$E$32,$E$31^A275,"")</x:f>
        <x:v>10.186930584867239</x:v>
      </x:c>
      <x:c r="E275" s="60">
        <x:f>IF(A275&lt;$E$36,ROUNDUP(ROUND($E$33*$E$34^A275,6),0),"")</x:f>
        <x:v>400</x:v>
      </x:c>
      <x:c r="F275" s="60">
        <x:f>IF(A275&lt;=$E$36,F274+E274,"")</x:f>
        <x:v>9777</x:v>
      </x:c>
      <x:c r="G275" s="78">
        <x:f>IF(A275&lt;=$E$36,$E$35^A275,"")</x:f>
        <x:v>39.91479417127664</x:v>
      </x:c>
      <x:c r="H275" s="60" t="str">
        <x:f>IF(A275&lt;$E$40,ROUNDUP(ROUND($E$37*$E$38^A275,6),0),"")</x:f>
        <x:v/>
      </x:c>
      <x:c r="I275" s="60" t="str">
        <x:f>IF(A275&lt;=$E$40,I274+H274,"")</x:f>
        <x:v/>
      </x:c>
      <x:c r="J275" s="80" t="str">
        <x:f>IF(A275&lt;=$E$40,1+$E$39*A275,"")</x:f>
        <x:v/>
      </x:c>
      <x:c r="K275" s="60"/>
      <x:c r="L275" s="60"/>
      <x:c r="M275" s="60"/>
      <x:c r="N275" s="60"/>
      <x:c r="O275" s="60"/>
      <x:c r="P275" s="60"/>
    </x:row>
    <x:row r="276" ht="30" customHeight="1">
      <x:c r="A276" s="61" t="n">
        <x:v>95</x:v>
      </x:c>
      <x:c r="B276" s="61">
        <x:f>IF(A276&lt;$E$32,ROUNDUP(ROUND($E$29*$E$30^A276,6),0),"")</x:f>
        <x:v>30934</x:v>
      </x:c>
      <x:c r="C276" s="61">
        <x:f>IF(A276&lt;=$E$32,C275+B275,"")</x:f>
        <x:v>441241</x:v>
      </x:c>
      <x:c r="D276" s="79">
        <x:f>IF(A276&lt;=$E$32,$E$31^A276,"")</x:f>
        <x:v>10.441603849488923</x:v>
      </x:c>
      <x:c r="E276" s="61">
        <x:f>IF(A276&lt;$E$36,ROUNDUP(ROUND($E$33*$E$34^A276,6),0),"")</x:f>
        <x:v>416</x:v>
      </x:c>
      <x:c r="F276" s="61">
        <x:f>IF(A276&lt;=$E$36,F275+E275,"")</x:f>
        <x:v>10177</x:v>
      </x:c>
      <x:c r="G276" s="79">
        <x:f>IF(A276&lt;=$E$36,$E$35^A276,"")</x:f>
        <x:v>41.511385938127709</x:v>
      </x:c>
      <x:c r="H276" s="61" t="str">
        <x:f>IF(A276&lt;$E$40,ROUNDUP(ROUND($E$37*$E$38^A276,6),0),"")</x:f>
        <x:v/>
      </x:c>
      <x:c r="I276" s="61" t="str">
        <x:f>IF(A276&lt;=$E$40,I275+H275,"")</x:f>
        <x:v/>
      </x:c>
      <x:c r="J276" s="81" t="str">
        <x:f>IF(A276&lt;=$E$40,1+$E$39*A276,"")</x:f>
        <x:v/>
      </x:c>
      <x:c r="K276" s="60"/>
      <x:c r="L276" s="60"/>
      <x:c r="M276" s="60"/>
      <x:c r="N276" s="60"/>
      <x:c r="O276" s="60"/>
      <x:c r="P276" s="60"/>
    </x:row>
    <x:row r="277" ht="30" customHeight="1">
      <x:c r="A277" s="60" t="n">
        <x:v>96</x:v>
      </x:c>
      <x:c r="B277" s="60">
        <x:f>IF(A277&lt;$E$32,ROUNDUP(ROUND($E$29*$E$30^A277,6),0),"")</x:f>
        <x:v>33099</x:v>
      </x:c>
      <x:c r="C277" s="60">
        <x:f>IF(A277&lt;=$E$32,C276+B276,"")</x:f>
        <x:v>472175</x:v>
      </x:c>
      <x:c r="D277" s="78">
        <x:f>IF(A277&lt;=$E$32,$E$31^A277,"")</x:f>
        <x:v>10.702643945726143</x:v>
      </x:c>
      <x:c r="E277" s="60">
        <x:f>IF(A277&lt;$E$36,ROUNDUP(ROUND($E$33*$E$34^A277,6),0),"")</x:f>
        <x:v>432</x:v>
      </x:c>
      <x:c r="F277" s="60">
        <x:f>IF(A277&lt;=$E$36,F276+E276,"")</x:f>
        <x:v>10593</x:v>
      </x:c>
      <x:c r="G277" s="78">
        <x:f>IF(A277&lt;=$E$36,$E$35^A277,"")</x:f>
        <x:v>43.171841375652825</x:v>
      </x:c>
      <x:c r="H277" s="60" t="str">
        <x:f>IF(A277&lt;$E$40,ROUNDUP(ROUND($E$37*$E$38^A277,6),0),"")</x:f>
        <x:v/>
      </x:c>
      <x:c r="I277" s="60" t="str">
        <x:f>IF(A277&lt;=$E$40,I276+H276,"")</x:f>
        <x:v/>
      </x:c>
      <x:c r="J277" s="80" t="str">
        <x:f>IF(A277&lt;=$E$40,1+$E$39*A277,"")</x:f>
        <x:v/>
      </x:c>
      <x:c r="K277" s="60"/>
      <x:c r="L277" s="60"/>
      <x:c r="M277" s="60"/>
      <x:c r="N277" s="60"/>
      <x:c r="O277" s="60"/>
      <x:c r="P277" s="60"/>
    </x:row>
    <x:row r="278" ht="30" customHeight="1">
      <x:c r="A278" s="61" t="n">
        <x:v>97</x:v>
      </x:c>
      <x:c r="B278" s="61">
        <x:f>IF(A278&lt;$E$32,ROUNDUP(ROUND($E$29*$E$30^A278,6),0),"")</x:f>
        <x:v>35416</x:v>
      </x:c>
      <x:c r="C278" s="61">
        <x:f>IF(A278&lt;=$E$32,C277+B277,"")</x:f>
        <x:v>505274</x:v>
      </x:c>
      <x:c r="D278" s="79">
        <x:f>IF(A278&lt;=$E$32,$E$31^A278,"")</x:f>
        <x:v>10.970210044369296</x:v>
      </x:c>
      <x:c r="E278" s="61">
        <x:f>IF(A278&lt;$E$36,ROUNDUP(ROUND($E$33*$E$34^A278,6),0),"")</x:f>
        <x:v>449</x:v>
      </x:c>
      <x:c r="F278" s="61">
        <x:f>IF(A278&lt;=$E$36,F277+E277,"")</x:f>
        <x:v>11025</x:v>
      </x:c>
      <x:c r="G278" s="79">
        <x:f>IF(A278&lt;=$E$36,$E$35^A278,"")</x:f>
        <x:v>44.898715030678936</x:v>
      </x:c>
      <x:c r="H278" s="61" t="str">
        <x:f>IF(A278&lt;$E$40,ROUNDUP(ROUND($E$37*$E$38^A278,6),0),"")</x:f>
        <x:v/>
      </x:c>
      <x:c r="I278" s="61" t="str">
        <x:f>IF(A278&lt;=$E$40,I277+H277,"")</x:f>
        <x:v/>
      </x:c>
      <x:c r="J278" s="81" t="str">
        <x:f>IF(A278&lt;=$E$40,1+$E$39*A278,"")</x:f>
        <x:v/>
      </x:c>
      <x:c r="K278" s="60"/>
      <x:c r="L278" s="60"/>
      <x:c r="M278" s="60"/>
      <x:c r="N278" s="60"/>
      <x:c r="O278" s="60"/>
      <x:c r="P278" s="60"/>
    </x:row>
    <x:row r="279" ht="30" customHeight="1">
      <x:c r="A279" s="60" t="n">
        <x:v>98</x:v>
      </x:c>
      <x:c r="B279" s="60">
        <x:f>IF(A279&lt;$E$32,ROUNDUP(ROUND($E$29*$E$30^A279,6),0),"")</x:f>
        <x:v>37895</x:v>
      </x:c>
      <x:c r="C279" s="60">
        <x:f>IF(A279&lt;=$E$32,C278+B278,"")</x:f>
        <x:v>540690</x:v>
      </x:c>
      <x:c r="D279" s="78">
        <x:f>IF(A279&lt;=$E$32,$E$31^A279,"")</x:f>
        <x:v>11.244465295478529</x:v>
      </x:c>
      <x:c r="E279" s="60">
        <x:f>IF(A279&lt;$E$36,ROUNDUP(ROUND($E$33*$E$34^A279,6),0),"")</x:f>
        <x:v>467</x:v>
      </x:c>
      <x:c r="F279" s="60">
        <x:f>IF(A279&lt;=$E$36,F278+E278,"")</x:f>
        <x:v>11474</x:v>
      </x:c>
      <x:c r="G279" s="78">
        <x:f>IF(A279&lt;=$E$36,$E$35^A279,"")</x:f>
        <x:v>46.694663631906096</x:v>
      </x:c>
      <x:c r="H279" s="60" t="str">
        <x:f>IF(A279&lt;$E$40,ROUNDUP(ROUND($E$37*$E$38^A279,6),0),"")</x:f>
        <x:v/>
      </x:c>
      <x:c r="I279" s="60" t="str">
        <x:f>IF(A279&lt;=$E$40,I278+H278,"")</x:f>
        <x:v/>
      </x:c>
      <x:c r="J279" s="80" t="str">
        <x:f>IF(A279&lt;=$E$40,1+$E$39*A279,"")</x:f>
        <x:v/>
      </x:c>
      <x:c r="K279" s="60"/>
      <x:c r="L279" s="60"/>
      <x:c r="M279" s="60"/>
      <x:c r="N279" s="60"/>
      <x:c r="O279" s="60"/>
      <x:c r="P279" s="60"/>
    </x:row>
    <x:row r="280" ht="30" customHeight="1">
      <x:c r="A280" s="61" t="n">
        <x:v>99</x:v>
      </x:c>
      <x:c r="B280" s="61">
        <x:f>IF(A280&lt;$E$32,ROUNDUP(ROUND($E$29*$E$30^A280,6),0),"")</x:f>
        <x:v>40548</x:v>
      </x:c>
      <x:c r="C280" s="61">
        <x:f>IF(A280&lt;=$E$32,C279+B279,"")</x:f>
        <x:v>578585</x:v>
      </x:c>
      <x:c r="D280" s="79">
        <x:f>IF(A280&lt;=$E$32,$E$31^A280,"")</x:f>
        <x:v>11.52557692786549</x:v>
      </x:c>
      <x:c r="E280" s="61">
        <x:f>IF(A280&lt;$E$36,ROUNDUP(ROUND($E$33*$E$34^A280,6),0),"")</x:f>
        <x:v>486</x:v>
      </x:c>
      <x:c r="F280" s="61">
        <x:f>IF(A280&lt;=$E$36,F279+E279,"")</x:f>
        <x:v>11941</x:v>
      </x:c>
      <x:c r="G280" s="79">
        <x:f>IF(A280&lt;=$E$36,$E$35^A280,"")</x:f>
        <x:v>48.562450177182342</x:v>
      </x:c>
      <x:c r="H280" s="61" t="str">
        <x:f>IF(A280&lt;$E$40,ROUNDUP(ROUND($E$37*$E$38^A280,6),0),"")</x:f>
        <x:v/>
      </x:c>
      <x:c r="I280" s="61" t="str">
        <x:f>IF(A280&lt;=$E$40,I279+H279,"")</x:f>
        <x:v/>
      </x:c>
      <x:c r="J280" s="81" t="str">
        <x:f>IF(A280&lt;=$E$40,1+$E$39*A280,"")</x:f>
        <x:v/>
      </x:c>
      <x:c r="K280" s="60"/>
      <x:c r="L280" s="60"/>
      <x:c r="M280" s="60"/>
      <x:c r="N280" s="60"/>
      <x:c r="O280" s="60"/>
      <x:c r="P280" s="60"/>
    </x:row>
    <x:row r="281" ht="30" customHeight="1">
      <x:c r="A281" s="60" t="n">
        <x:v>100</x:v>
      </x:c>
      <x:c r="B281" s="60">
        <x:f>IF(A281&lt;$E$32,ROUNDUP(ROUND($E$29*$E$30^A281,6),0),"")</x:f>
        <x:v>43386</x:v>
      </x:c>
      <x:c r="C281" s="60">
        <x:f>IF(A281&lt;=$E$32,C280+B280,"")</x:f>
        <x:v>619133</x:v>
      </x:c>
      <x:c r="D281" s="78">
        <x:f>IF(A281&lt;=$E$32,$E$31^A281,"")</x:f>
        <x:v>11.813716351062128</x:v>
      </x:c>
      <x:c r="E281" s="60" t="str">
        <x:f>IF(A281&lt;$E$36,ROUNDUP(ROUND($E$33*$E$34^A281,6),0),"")</x:f>
        <x:v/>
      </x:c>
      <x:c r="F281" s="60">
        <x:f>IF(A281&lt;=$E$36,F280+E280,"")</x:f>
        <x:v>12427</x:v>
      </x:c>
      <x:c r="G281" s="78">
        <x:f>IF(A281&lt;=$E$36,$E$35^A281,"")</x:f>
        <x:v>50.504948184269637</x:v>
      </x:c>
      <x:c r="H281" s="60" t="str">
        <x:f>IF(A281&lt;$E$40,ROUNDUP(ROUND($E$37*$E$38^A281,6),0),"")</x:f>
        <x:v/>
      </x:c>
      <x:c r="I281" s="60" t="str">
        <x:f>IF(A281&lt;=$E$40,I280+H280,"")</x:f>
        <x:v/>
      </x:c>
      <x:c r="J281" s="80" t="str">
        <x:f>IF(A281&lt;=$E$40,1+$E$39*A281,"")</x:f>
        <x:v/>
      </x:c>
      <x:c r="K281" s="60"/>
      <x:c r="L281" s="60"/>
      <x:c r="M281" s="60"/>
      <x:c r="N281" s="60"/>
      <x:c r="O281" s="60"/>
      <x:c r="P281" s="60"/>
    </x:row>
    <x:row r="282" ht="30" customHeight="1">
      <x:c r="A282" s="61" t="n">
        <x:v>101</x:v>
      </x:c>
      <x:c r="B282" s="61">
        <x:f>IF(A282&lt;$E$32,ROUNDUP(ROUND($E$29*$E$30^A282,6),0),"")</x:f>
        <x:v>46423</x:v>
      </x:c>
      <x:c r="C282" s="61">
        <x:f>IF(A282&lt;=$E$32,C281+B281,"")</x:f>
        <x:v>662519</x:v>
      </x:c>
      <x:c r="D282" s="79">
        <x:f>IF(A282&lt;=$E$32,$E$31^A282,"")</x:f>
        <x:v>12.109059259838681</x:v>
      </x:c>
      <x:c r="E282" s="61" t="str">
        <x:f>IF(A282&lt;$E$36,ROUNDUP(ROUND($E$33*$E$34^A282,6),0),"")</x:f>
        <x:v/>
      </x:c>
      <x:c r="F282" s="61" t="str">
        <x:f>IF(A282&lt;=$E$36,F281+E281,"")</x:f>
        <x:v/>
      </x:c>
      <x:c r="G282" s="79" t="str">
        <x:f>IF(A282&lt;=$E$36,$E$35^A282,"")</x:f>
        <x:v/>
      </x:c>
      <x:c r="H282" s="61" t="str">
        <x:f>IF(A282&lt;$E$40,ROUNDUP(ROUND($E$37*$E$38^A282,6),0),"")</x:f>
        <x:v/>
      </x:c>
      <x:c r="I282" s="61" t="str">
        <x:f>IF(A282&lt;=$E$40,I281+H281,"")</x:f>
        <x:v/>
      </x:c>
      <x:c r="J282" s="81" t="str">
        <x:f>IF(A282&lt;=$E$40,1+$E$39*A282,"")</x:f>
        <x:v/>
      </x:c>
      <x:c r="K282" s="60"/>
      <x:c r="L282" s="60"/>
      <x:c r="M282" s="60"/>
      <x:c r="N282" s="60"/>
      <x:c r="O282" s="60"/>
      <x:c r="P282" s="60"/>
    </x:row>
    <x:row r="283" ht="30" customHeight="1">
      <x:c r="A283" s="60" t="n">
        <x:v>102</x:v>
      </x:c>
      <x:c r="B283" s="60">
        <x:f>IF(A283&lt;$E$32,ROUNDUP(ROUND($E$29*$E$30^A283,6),0),"")</x:f>
        <x:v>49673</x:v>
      </x:c>
      <x:c r="C283" s="60">
        <x:f>IF(A283&lt;=$E$32,C282+B282,"")</x:f>
        <x:v>708942</x:v>
      </x:c>
      <x:c r="D283" s="78">
        <x:f>IF(A283&lt;=$E$32,$E$31^A283,"")</x:f>
        <x:v>12.411785741334644</x:v>
      </x:c>
      <x:c r="E283" s="60" t="str">
        <x:f>IF(A283&lt;$E$36,ROUNDUP(ROUND($E$33*$E$34^A283,6),0),"")</x:f>
        <x:v/>
      </x:c>
      <x:c r="F283" s="60" t="str">
        <x:f>IF(A283&lt;=$E$36,F282+E282,"")</x:f>
        <x:v/>
      </x:c>
      <x:c r="G283" s="78" t="str">
        <x:f>IF(A283&lt;=$E$36,$E$35^A283,"")</x:f>
        <x:v/>
      </x:c>
      <x:c r="H283" s="60" t="str">
        <x:f>IF(A283&lt;$E$40,ROUNDUP(ROUND($E$37*$E$38^A283,6),0),"")</x:f>
        <x:v/>
      </x:c>
      <x:c r="I283" s="60" t="str">
        <x:f>IF(A283&lt;=$E$40,I282+H282,"")</x:f>
        <x:v/>
      </x:c>
      <x:c r="J283" s="80" t="str">
        <x:f>IF(A283&lt;=$E$40,1+$E$39*A283,"")</x:f>
        <x:v/>
      </x:c>
      <x:c r="K283" s="60"/>
      <x:c r="L283" s="60"/>
      <x:c r="M283" s="60"/>
      <x:c r="N283" s="60"/>
      <x:c r="O283" s="60"/>
      <x:c r="P283" s="60"/>
    </x:row>
    <x:row r="284" ht="30" customHeight="1">
      <x:c r="A284" s="61" t="n">
        <x:v>103</x:v>
      </x:c>
      <x:c r="B284" s="61">
        <x:f>IF(A284&lt;$E$32,ROUNDUP(ROUND($E$29*$E$30^A284,6),0),"")</x:f>
        <x:v>53150</x:v>
      </x:c>
      <x:c r="C284" s="61">
        <x:f>IF(A284&lt;=$E$32,C283+B283,"")</x:f>
        <x:v>758615</x:v>
      </x:c>
      <x:c r="D284" s="79">
        <x:f>IF(A284&lt;=$E$32,$E$31^A284,"")</x:f>
        <x:v>12.722080384868011</x:v>
      </x:c>
      <x:c r="E284" s="61" t="str">
        <x:f>IF(A284&lt;$E$36,ROUNDUP(ROUND($E$33*$E$34^A284,6),0),"")</x:f>
        <x:v/>
      </x:c>
      <x:c r="F284" s="61" t="str">
        <x:f>IF(A284&lt;=$E$36,F283+E283,"")</x:f>
        <x:v/>
      </x:c>
      <x:c r="G284" s="79" t="str">
        <x:f>IF(A284&lt;=$E$36,$E$35^A284,"")</x:f>
        <x:v/>
      </x:c>
      <x:c r="H284" s="61" t="str">
        <x:f>IF(A284&lt;$E$40,ROUNDUP(ROUND($E$37*$E$38^A284,6),0),"")</x:f>
        <x:v/>
      </x:c>
      <x:c r="I284" s="61" t="str">
        <x:f>IF(A284&lt;=$E$40,I283+H283,"")</x:f>
        <x:v/>
      </x:c>
      <x:c r="J284" s="81" t="str">
        <x:f>IF(A284&lt;=$E$40,1+$E$39*A284,"")</x:f>
        <x:v/>
      </x:c>
      <x:c r="K284" s="60"/>
      <x:c r="L284" s="60"/>
      <x:c r="M284" s="60"/>
      <x:c r="N284" s="60"/>
      <x:c r="O284" s="60"/>
      <x:c r="P284" s="60"/>
    </x:row>
    <x:row r="285" ht="30" customHeight="1">
      <x:c r="A285" s="60" t="n">
        <x:v>104</x:v>
      </x:c>
      <x:c r="B285" s="60">
        <x:f>IF(A285&lt;$E$32,ROUNDUP(ROUND($E$29*$E$30^A285,6),0),"")</x:f>
        <x:v>56870</x:v>
      </x:c>
      <x:c r="C285" s="60">
        <x:f>IF(A285&lt;=$E$32,C284+B284,"")</x:f>
        <x:v>811765</x:v>
      </x:c>
      <x:c r="D285" s="78">
        <x:f>IF(A285&lt;=$E$32,$E$31^A285,"")</x:f>
        <x:v>13.04013239448971</x:v>
      </x:c>
      <x:c r="E285" s="60" t="str">
        <x:f>IF(A285&lt;$E$36,ROUNDUP(ROUND($E$33*$E$34^A285,6),0),"")</x:f>
        <x:v/>
      </x:c>
      <x:c r="F285" s="60" t="str">
        <x:f>IF(A285&lt;=$E$36,F284+E284,"")</x:f>
        <x:v/>
      </x:c>
      <x:c r="G285" s="78" t="str">
        <x:f>IF(A285&lt;=$E$36,$E$35^A285,"")</x:f>
        <x:v/>
      </x:c>
      <x:c r="H285" s="60" t="str">
        <x:f>IF(A285&lt;$E$40,ROUNDUP(ROUND($E$37*$E$38^A285,6),0),"")</x:f>
        <x:v/>
      </x:c>
      <x:c r="I285" s="60" t="str">
        <x:f>IF(A285&lt;=$E$40,I284+H284,"")</x:f>
        <x:v/>
      </x:c>
      <x:c r="J285" s="80" t="str">
        <x:f>IF(A285&lt;=$E$40,1+$E$39*A285,"")</x:f>
        <x:v/>
      </x:c>
      <x:c r="K285" s="60"/>
      <x:c r="L285" s="60"/>
      <x:c r="M285" s="60"/>
      <x:c r="N285" s="60"/>
      <x:c r="O285" s="60"/>
      <x:c r="P285" s="60"/>
    </x:row>
    <x:row r="286" ht="30" customHeight="1">
      <x:c r="A286" s="61" t="n">
        <x:v>105</x:v>
      </x:c>
      <x:c r="B286" s="61">
        <x:f>IF(A286&lt;$E$32,ROUNDUP(ROUND($E$29*$E$30^A286,6),0),"")</x:f>
        <x:v>60851</x:v>
      </x:c>
      <x:c r="C286" s="61">
        <x:f>IF(A286&lt;=$E$32,C285+B285,"")</x:f>
        <x:v>868635</x:v>
      </x:c>
      <x:c r="D286" s="79">
        <x:f>IF(A286&lt;=$E$32,$E$31^A286,"")</x:f>
        <x:v>13.366135704351953</x:v>
      </x:c>
      <x:c r="E286" s="61" t="str">
        <x:f>IF(A286&lt;$E$36,ROUNDUP(ROUND($E$33*$E$34^A286,6),0),"")</x:f>
        <x:v/>
      </x:c>
      <x:c r="F286" s="61" t="str">
        <x:f>IF(A286&lt;=$E$36,F285+E285,"")</x:f>
        <x:v/>
      </x:c>
      <x:c r="G286" s="79" t="str">
        <x:f>IF(A286&lt;=$E$36,$E$35^A286,"")</x:f>
        <x:v/>
      </x:c>
      <x:c r="H286" s="61" t="str">
        <x:f>IF(A286&lt;$E$40,ROUNDUP(ROUND($E$37*$E$38^A286,6),0),"")</x:f>
        <x:v/>
      </x:c>
      <x:c r="I286" s="61" t="str">
        <x:f>IF(A286&lt;=$E$40,I285+H285,"")</x:f>
        <x:v/>
      </x:c>
      <x:c r="J286" s="81" t="str">
        <x:f>IF(A286&lt;=$E$40,1+$E$39*A286,"")</x:f>
        <x:v/>
      </x:c>
      <x:c r="K286" s="60"/>
      <x:c r="L286" s="60"/>
      <x:c r="M286" s="60"/>
      <x:c r="N286" s="60"/>
      <x:c r="O286" s="60"/>
      <x:c r="P286" s="60"/>
    </x:row>
    <x:row r="287" ht="30" customHeight="1">
      <x:c r="A287" s="60" t="n">
        <x:v>106</x:v>
      </x:c>
      <x:c r="B287" s="60">
        <x:f>IF(A287&lt;$E$32,ROUNDUP(ROUND($E$29*$E$30^A287,6),0),"")</x:f>
        <x:v>65111</x:v>
      </x:c>
      <x:c r="C287" s="60">
        <x:f>IF(A287&lt;=$E$32,C286+B286,"")</x:f>
        <x:v>929486</x:v>
      </x:c>
      <x:c r="D287" s="78">
        <x:f>IF(A287&lt;=$E$32,$E$31^A287,"")</x:f>
        <x:v>13.70028909696075</x:v>
      </x:c>
      <x:c r="E287" s="60" t="str">
        <x:f>IF(A287&lt;$E$36,ROUNDUP(ROUND($E$33*$E$34^A287,6),0),"")</x:f>
        <x:v/>
      </x:c>
      <x:c r="F287" s="60" t="str">
        <x:f>IF(A287&lt;=$E$36,F286+E286,"")</x:f>
        <x:v/>
      </x:c>
      <x:c r="G287" s="78" t="str">
        <x:f>IF(A287&lt;=$E$36,$E$35^A287,"")</x:f>
        <x:v/>
      </x:c>
      <x:c r="H287" s="60" t="str">
        <x:f>IF(A287&lt;$E$40,ROUNDUP(ROUND($E$37*$E$38^A287,6),0),"")</x:f>
        <x:v/>
      </x:c>
      <x:c r="I287" s="60" t="str">
        <x:f>IF(A287&lt;=$E$40,I286+H286,"")</x:f>
        <x:v/>
      </x:c>
      <x:c r="J287" s="80" t="str">
        <x:f>IF(A287&lt;=$E$40,1+$E$39*A287,"")</x:f>
        <x:v/>
      </x:c>
      <x:c r="K287" s="60"/>
      <x:c r="L287" s="60"/>
      <x:c r="M287" s="60"/>
      <x:c r="N287" s="60"/>
      <x:c r="O287" s="60"/>
      <x:c r="P287" s="60"/>
    </x:row>
    <x:row r="288" ht="30" customHeight="1">
      <x:c r="A288" s="61" t="n">
        <x:v>107</x:v>
      </x:c>
      <x:c r="B288" s="61">
        <x:f>IF(A288&lt;$E$32,ROUNDUP(ROUND($E$29*$E$30^A288,6),0),"")</x:f>
        <x:v>69669</x:v>
      </x:c>
      <x:c r="C288" s="61">
        <x:f>IF(A288&lt;=$E$32,C287+B287,"")</x:f>
        <x:v>994597</x:v>
      </x:c>
      <x:c r="D288" s="79">
        <x:f>IF(A288&lt;=$E$32,$E$31^A288,"")</x:f>
        <x:v>14.042796324384771</x:v>
      </x:c>
      <x:c r="E288" s="61" t="str">
        <x:f>IF(A288&lt;$E$36,ROUNDUP(ROUND($E$33*$E$34^A288,6),0),"")</x:f>
        <x:v/>
      </x:c>
      <x:c r="F288" s="61" t="str">
        <x:f>IF(A288&lt;=$E$36,F287+E287,"")</x:f>
        <x:v/>
      </x:c>
      <x:c r="G288" s="79" t="str">
        <x:f>IF(A288&lt;=$E$36,$E$35^A288,"")</x:f>
        <x:v/>
      </x:c>
      <x:c r="H288" s="61" t="str">
        <x:f>IF(A288&lt;$E$40,ROUNDUP(ROUND($E$37*$E$38^A288,6),0),"")</x:f>
        <x:v/>
      </x:c>
      <x:c r="I288" s="61" t="str">
        <x:f>IF(A288&lt;=$E$40,I287+H287,"")</x:f>
        <x:v/>
      </x:c>
      <x:c r="J288" s="81" t="str">
        <x:f>IF(A288&lt;=$E$40,1+$E$39*A288,"")</x:f>
        <x:v/>
      </x:c>
      <x:c r="K288" s="60"/>
      <x:c r="L288" s="60"/>
      <x:c r="M288" s="60"/>
      <x:c r="N288" s="60"/>
      <x:c r="O288" s="60"/>
      <x:c r="P288" s="60"/>
    </x:row>
    <x:row r="289" ht="30" customHeight="1">
      <x:c r="A289" s="60" t="n">
        <x:v>108</x:v>
      </x:c>
      <x:c r="B289" s="60">
        <x:f>IF(A289&lt;$E$32,ROUNDUP(ROUND($E$29*$E$30^A289,6),0),"")</x:f>
        <x:v>74545</x:v>
      </x:c>
      <x:c r="C289" s="60">
        <x:f>IF(A289&lt;=$E$32,C288+B288,"")</x:f>
        <x:v>1064266</x:v>
      </x:c>
      <x:c r="D289" s="78">
        <x:f>IF(A289&lt;=$E$32,$E$31^A289,"")</x:f>
        <x:v>14.393866232494386</x:v>
      </x:c>
      <x:c r="E289" s="60" t="str">
        <x:f>IF(A289&lt;$E$36,ROUNDUP(ROUND($E$33*$E$34^A289,6),0),"")</x:f>
        <x:v/>
      </x:c>
      <x:c r="F289" s="60" t="str">
        <x:f>IF(A289&lt;=$E$36,F288+E288,"")</x:f>
        <x:v/>
      </x:c>
      <x:c r="G289" s="78" t="str">
        <x:f>IF(A289&lt;=$E$36,$E$35^A289,"")</x:f>
        <x:v/>
      </x:c>
      <x:c r="H289" s="60" t="str">
        <x:f>IF(A289&lt;$E$40,ROUNDUP(ROUND($E$37*$E$38^A289,6),0),"")</x:f>
        <x:v/>
      </x:c>
      <x:c r="I289" s="60" t="str">
        <x:f>IF(A289&lt;=$E$40,I288+H288,"")</x:f>
        <x:v/>
      </x:c>
      <x:c r="J289" s="80" t="str">
        <x:f>IF(A289&lt;=$E$40,1+$E$39*A289,"")</x:f>
        <x:v/>
      </x:c>
      <x:c r="K289" s="60"/>
      <x:c r="L289" s="60"/>
      <x:c r="M289" s="60"/>
      <x:c r="N289" s="60"/>
      <x:c r="O289" s="60"/>
      <x:c r="P289" s="60"/>
    </x:row>
    <x:row r="290" ht="30" customHeight="1">
      <x:c r="A290" s="61" t="n">
        <x:v>109</x:v>
      </x:c>
      <x:c r="B290" s="61">
        <x:f>IF(A290&lt;$E$32,ROUNDUP(ROUND($E$29*$E$30^A290,6),0),"")</x:f>
        <x:v>79764</x:v>
      </x:c>
      <x:c r="C290" s="61">
        <x:f>IF(A290&lt;=$E$32,C289+B289,"")</x:f>
        <x:v>1138811</x:v>
      </x:c>
      <x:c r="D290" s="79">
        <x:f>IF(A290&lt;=$E$32,$E$31^A290,"")</x:f>
        <x:v>14.753712888306747</x:v>
      </x:c>
      <x:c r="E290" s="61" t="str">
        <x:f>IF(A290&lt;$E$36,ROUNDUP(ROUND($E$33*$E$34^A290,6),0),"")</x:f>
        <x:v/>
      </x:c>
      <x:c r="F290" s="61" t="str">
        <x:f>IF(A290&lt;=$E$36,F289+E289,"")</x:f>
        <x:v/>
      </x:c>
      <x:c r="G290" s="79" t="str">
        <x:f>IF(A290&lt;=$E$36,$E$35^A290,"")</x:f>
        <x:v/>
      </x:c>
      <x:c r="H290" s="61" t="str">
        <x:f>IF(A290&lt;$E$40,ROUNDUP(ROUND($E$37*$E$38^A290,6),0),"")</x:f>
        <x:v/>
      </x:c>
      <x:c r="I290" s="61" t="str">
        <x:f>IF(A290&lt;=$E$40,I289+H289,"")</x:f>
        <x:v/>
      </x:c>
      <x:c r="J290" s="81" t="str">
        <x:f>IF(A290&lt;=$E$40,1+$E$39*A290,"")</x:f>
        <x:v/>
      </x:c>
      <x:c r="K290" s="60"/>
      <x:c r="L290" s="60"/>
      <x:c r="M290" s="60"/>
      <x:c r="N290" s="60"/>
      <x:c r="O290" s="60"/>
      <x:c r="P290" s="60"/>
    </x:row>
    <x:row r="291" ht="30" customHeight="1">
      <x:c r="A291" s="60" t="n">
        <x:v>110</x:v>
      </x:c>
      <x:c r="B291" s="60">
        <x:f>IF(A291&lt;$E$32,ROUNDUP(ROUND($E$29*$E$30^A291,6),0),"")</x:f>
        <x:v>85347</x:v>
      </x:c>
      <x:c r="C291" s="60">
        <x:f>IF(A291&lt;=$E$32,C290+B290,"")</x:f>
        <x:v>1218575</x:v>
      </x:c>
      <x:c r="D291" s="78">
        <x:f>IF(A291&lt;=$E$32,$E$31^A291,"")</x:f>
        <x:v>15.122555710514412</x:v>
      </x:c>
      <x:c r="E291" s="60" t="str">
        <x:f>IF(A291&lt;$E$36,ROUNDUP(ROUND($E$33*$E$34^A291,6),0),"")</x:f>
        <x:v/>
      </x:c>
      <x:c r="F291" s="60" t="str">
        <x:f>IF(A291&lt;=$E$36,F290+E290,"")</x:f>
        <x:v/>
      </x:c>
      <x:c r="G291" s="78" t="str">
        <x:f>IF(A291&lt;=$E$36,$E$35^A291,"")</x:f>
        <x:v/>
      </x:c>
      <x:c r="H291" s="60" t="str">
        <x:f>IF(A291&lt;$E$40,ROUNDUP(ROUND($E$37*$E$38^A291,6),0),"")</x:f>
        <x:v/>
      </x:c>
      <x:c r="I291" s="60" t="str">
        <x:f>IF(A291&lt;=$E$40,I290+H290,"")</x:f>
        <x:v/>
      </x:c>
      <x:c r="J291" s="80" t="str">
        <x:f>IF(A291&lt;=$E$40,1+$E$39*A291,"")</x:f>
        <x:v/>
      </x:c>
      <x:c r="K291" s="60"/>
      <x:c r="L291" s="60"/>
      <x:c r="M291" s="60"/>
      <x:c r="N291" s="60"/>
      <x:c r="O291" s="60"/>
      <x:c r="P291" s="60"/>
    </x:row>
    <x:row r="292" ht="30" customHeight="1">
      <x:c r="A292" s="61" t="n">
        <x:v>111</x:v>
      </x:c>
      <x:c r="B292" s="61">
        <x:f>IF(A292&lt;$E$32,ROUNDUP(ROUND($E$29*$E$30^A292,6),0),"")</x:f>
        <x:v>91321</x:v>
      </x:c>
      <x:c r="C292" s="61">
        <x:f>IF(A292&lt;=$E$32,C291+B291,"")</x:f>
        <x:v>1303922</x:v>
      </x:c>
      <x:c r="D292" s="79">
        <x:f>IF(A292&lt;=$E$32,$E$31^A292,"")</x:f>
        <x:v>15.500619603277276</x:v>
      </x:c>
      <x:c r="E292" s="61" t="str">
        <x:f>IF(A292&lt;$E$36,ROUNDUP(ROUND($E$33*$E$34^A292,6),0),"")</x:f>
        <x:v/>
      </x:c>
      <x:c r="F292" s="61" t="str">
        <x:f>IF(A292&lt;=$E$36,F291+E291,"")</x:f>
        <x:v/>
      </x:c>
      <x:c r="G292" s="79" t="str">
        <x:f>IF(A292&lt;=$E$36,$E$35^A292,"")</x:f>
        <x:v/>
      </x:c>
      <x:c r="H292" s="61" t="str">
        <x:f>IF(A292&lt;$E$40,ROUNDUP(ROUND($E$37*$E$38^A292,6),0),"")</x:f>
        <x:v/>
      </x:c>
      <x:c r="I292" s="61" t="str">
        <x:f>IF(A292&lt;=$E$40,I291+H291,"")</x:f>
        <x:v/>
      </x:c>
      <x:c r="J292" s="81" t="str">
        <x:f>IF(A292&lt;=$E$40,1+$E$39*A292,"")</x:f>
        <x:v/>
      </x:c>
      <x:c r="K292" s="60"/>
      <x:c r="L292" s="60"/>
      <x:c r="M292" s="60"/>
      <x:c r="N292" s="60"/>
      <x:c r="O292" s="60"/>
      <x:c r="P292" s="60"/>
    </x:row>
    <x:row r="293" ht="30" customHeight="1">
      <x:c r="A293" s="60" t="n">
        <x:v>112</x:v>
      </x:c>
      <x:c r="B293" s="60">
        <x:f>IF(A293&lt;$E$32,ROUNDUP(ROUND($E$29*$E$30^A293,6),0),"")</x:f>
        <x:v>97714</x:v>
      </x:c>
      <x:c r="C293" s="60">
        <x:f>IF(A293&lt;=$E$32,C292+B292,"")</x:f>
        <x:v>1395243</x:v>
      </x:c>
      <x:c r="D293" s="78">
        <x:f>IF(A293&lt;=$E$32,$E$31^A293,"")</x:f>
        <x:v>15.888135093359205</x:v>
      </x:c>
      <x:c r="E293" s="60" t="str">
        <x:f>IF(A293&lt;$E$36,ROUNDUP(ROUND($E$33*$E$34^A293,6),0),"")</x:f>
        <x:v/>
      </x:c>
      <x:c r="F293" s="60" t="str">
        <x:f>IF(A293&lt;=$E$36,F292+E292,"")</x:f>
        <x:v/>
      </x:c>
      <x:c r="G293" s="78" t="str">
        <x:f>IF(A293&lt;=$E$36,$E$35^A293,"")</x:f>
        <x:v/>
      </x:c>
      <x:c r="H293" s="60" t="str">
        <x:f>IF(A293&lt;$E$40,ROUNDUP(ROUND($E$37*$E$38^A293,6),0),"")</x:f>
        <x:v/>
      </x:c>
      <x:c r="I293" s="60" t="str">
        <x:f>IF(A293&lt;=$E$40,I292+H292,"")</x:f>
        <x:v/>
      </x:c>
      <x:c r="J293" s="80" t="str">
        <x:f>IF(A293&lt;=$E$40,1+$E$39*A293,"")</x:f>
        <x:v/>
      </x:c>
      <x:c r="K293" s="60"/>
      <x:c r="L293" s="60"/>
      <x:c r="M293" s="60"/>
      <x:c r="N293" s="60"/>
      <x:c r="O293" s="60"/>
      <x:c r="P293" s="60"/>
    </x:row>
    <x:row r="294" ht="30" customHeight="1">
      <x:c r="A294" s="61" t="n">
        <x:v>113</x:v>
      </x:c>
      <x:c r="B294" s="61">
        <x:f>IF(A294&lt;$E$32,ROUNDUP(ROUND($E$29*$E$30^A294,6),0),"")</x:f>
        <x:v>104554</x:v>
      </x:c>
      <x:c r="C294" s="61">
        <x:f>IF(A294&lt;=$E$32,C293+B293,"")</x:f>
        <x:v>1492957</x:v>
      </x:c>
      <x:c r="D294" s="79">
        <x:f>IF(A294&lt;=$E$32,$E$31^A294,"")</x:f>
        <x:v>16.285338470693183</x:v>
      </x:c>
      <x:c r="E294" s="61" t="str">
        <x:f>IF(A294&lt;$E$36,ROUNDUP(ROUND($E$33*$E$34^A294,6),0),"")</x:f>
        <x:v/>
      </x:c>
      <x:c r="F294" s="61" t="str">
        <x:f>IF(A294&lt;=$E$36,F293+E293,"")</x:f>
        <x:v/>
      </x:c>
      <x:c r="G294" s="79" t="str">
        <x:f>IF(A294&lt;=$E$36,$E$35^A294,"")</x:f>
        <x:v/>
      </x:c>
      <x:c r="H294" s="61" t="str">
        <x:f>IF(A294&lt;$E$40,ROUNDUP(ROUND($E$37*$E$38^A294,6),0),"")</x:f>
        <x:v/>
      </x:c>
      <x:c r="I294" s="61" t="str">
        <x:f>IF(A294&lt;=$E$40,I293+H293,"")</x:f>
        <x:v/>
      </x:c>
      <x:c r="J294" s="81" t="str">
        <x:f>IF(A294&lt;=$E$40,1+$E$39*A294,"")</x:f>
        <x:v/>
      </x:c>
      <x:c r="K294" s="60"/>
      <x:c r="L294" s="60"/>
      <x:c r="M294" s="60"/>
      <x:c r="N294" s="60"/>
      <x:c r="O294" s="60"/>
      <x:c r="P294" s="60"/>
    </x:row>
    <x:row r="295" ht="30" customHeight="1">
      <x:c r="A295" s="60" t="n">
        <x:v>114</x:v>
      </x:c>
      <x:c r="B295" s="60">
        <x:f>IF(A295&lt;$E$32,ROUNDUP(ROUND($E$29*$E$30^A295,6),0),"")</x:f>
        <x:v>111872</x:v>
      </x:c>
      <x:c r="C295" s="60">
        <x:f>IF(A295&lt;=$E$32,C294+B294,"")</x:f>
        <x:v>1597511</x:v>
      </x:c>
      <x:c r="D295" s="78">
        <x:f>IF(A295&lt;=$E$32,$E$31^A295,"")</x:f>
        <x:v>16.692471932460514</x:v>
      </x:c>
      <x:c r="E295" s="60" t="str">
        <x:f>IF(A295&lt;$E$36,ROUNDUP(ROUND($E$33*$E$34^A295,6),0),"")</x:f>
        <x:v/>
      </x:c>
      <x:c r="F295" s="60" t="str">
        <x:f>IF(A295&lt;=$E$36,F294+E294,"")</x:f>
        <x:v/>
      </x:c>
      <x:c r="G295" s="78" t="str">
        <x:f>IF(A295&lt;=$E$36,$E$35^A295,"")</x:f>
        <x:v/>
      </x:c>
      <x:c r="H295" s="60" t="str">
        <x:f>IF(A295&lt;$E$40,ROUNDUP(ROUND($E$37*$E$38^A295,6),0),"")</x:f>
        <x:v/>
      </x:c>
      <x:c r="I295" s="60" t="str">
        <x:f>IF(A295&lt;=$E$40,I294+H294,"")</x:f>
        <x:v/>
      </x:c>
      <x:c r="J295" s="80" t="str">
        <x:f>IF(A295&lt;=$E$40,1+$E$39*A295,"")</x:f>
        <x:v/>
      </x:c>
      <x:c r="K295" s="60"/>
      <x:c r="L295" s="60"/>
      <x:c r="M295" s="60"/>
      <x:c r="N295" s="60"/>
      <x:c r="O295" s="60"/>
      <x:c r="P295" s="60"/>
    </x:row>
    <x:row r="296" ht="30" customHeight="1">
      <x:c r="A296" s="61" t="n">
        <x:v>115</x:v>
      </x:c>
      <x:c r="B296" s="61">
        <x:f>IF(A296&lt;$E$32,ROUNDUP(ROUND($E$29*$E$30^A296,6),0),"")</x:f>
        <x:v>119703</x:v>
      </x:c>
      <x:c r="C296" s="61">
        <x:f>IF(A296&lt;=$E$32,C295+B295,"")</x:f>
        <x:v>1709383</x:v>
      </x:c>
      <x:c r="D296" s="79">
        <x:f>IF(A296&lt;=$E$32,$E$31^A296,"")</x:f>
        <x:v>17.10978373077203</x:v>
      </x:c>
      <x:c r="E296" s="61" t="str">
        <x:f>IF(A296&lt;$E$36,ROUNDUP(ROUND($E$33*$E$34^A296,6),0),"")</x:f>
        <x:v/>
      </x:c>
      <x:c r="F296" s="61" t="str">
        <x:f>IF(A296&lt;=$E$36,F295+E295,"")</x:f>
        <x:v/>
      </x:c>
      <x:c r="G296" s="79" t="str">
        <x:f>IF(A296&lt;=$E$36,$E$35^A296,"")</x:f>
        <x:v/>
      </x:c>
      <x:c r="H296" s="61" t="str">
        <x:f>IF(A296&lt;$E$40,ROUNDUP(ROUND($E$37*$E$38^A296,6),0),"")</x:f>
        <x:v/>
      </x:c>
      <x:c r="I296" s="61" t="str">
        <x:f>IF(A296&lt;=$E$40,I295+H295,"")</x:f>
        <x:v/>
      </x:c>
      <x:c r="J296" s="81" t="str">
        <x:f>IF(A296&lt;=$E$40,1+$E$39*A296,"")</x:f>
        <x:v/>
      </x:c>
      <x:c r="K296" s="60"/>
      <x:c r="L296" s="60"/>
      <x:c r="M296" s="60"/>
      <x:c r="N296" s="60"/>
      <x:c r="O296" s="60"/>
      <x:c r="P296" s="60"/>
    </x:row>
    <x:row r="297" ht="30" customHeight="1">
      <x:c r="A297" s="60" t="n">
        <x:v>116</x:v>
      </x:c>
      <x:c r="B297" s="60">
        <x:f>IF(A297&lt;$E$32,ROUNDUP(ROUND($E$29*$E$30^A297,6),0),"")</x:f>
        <x:v>128083</x:v>
      </x:c>
      <x:c r="C297" s="60">
        <x:f>IF(A297&lt;=$E$32,C296+B296,"")</x:f>
        <x:v>1829086</x:v>
      </x:c>
      <x:c r="D297" s="78">
        <x:f>IF(A297&lt;=$E$32,$E$31^A297,"")</x:f>
        <x:v>17.537528324041325</x:v>
      </x:c>
      <x:c r="E297" s="60" t="str">
        <x:f>IF(A297&lt;$E$36,ROUNDUP(ROUND($E$33*$E$34^A297,6),0),"")</x:f>
        <x:v/>
      </x:c>
      <x:c r="F297" s="60" t="str">
        <x:f>IF(A297&lt;=$E$36,F296+E296,"")</x:f>
        <x:v/>
      </x:c>
      <x:c r="G297" s="78" t="str">
        <x:f>IF(A297&lt;=$E$36,$E$35^A297,"")</x:f>
        <x:v/>
      </x:c>
      <x:c r="H297" s="60" t="str">
        <x:f>IF(A297&lt;$E$40,ROUNDUP(ROUND($E$37*$E$38^A297,6),0),"")</x:f>
        <x:v/>
      </x:c>
      <x:c r="I297" s="60" t="str">
        <x:f>IF(A297&lt;=$E$40,I296+H296,"")</x:f>
        <x:v/>
      </x:c>
      <x:c r="J297" s="80" t="str">
        <x:f>IF(A297&lt;=$E$40,1+$E$39*A297,"")</x:f>
        <x:v/>
      </x:c>
      <x:c r="K297" s="60"/>
      <x:c r="L297" s="60"/>
      <x:c r="M297" s="60"/>
      <x:c r="N297" s="60"/>
      <x:c r="O297" s="60"/>
      <x:c r="P297" s="60"/>
    </x:row>
    <x:row r="298" ht="30" customHeight="1">
      <x:c r="A298" s="61" t="n">
        <x:v>117</x:v>
      </x:c>
      <x:c r="B298" s="61">
        <x:f>IF(A298&lt;$E$32,ROUNDUP(ROUND($E$29*$E$30^A298,6),0),"")</x:f>
        <x:v>137048</x:v>
      </x:c>
      <x:c r="C298" s="61">
        <x:f>IF(A298&lt;=$E$32,C297+B297,"")</x:f>
        <x:v>1957169</x:v>
      </x:c>
      <x:c r="D298" s="79">
        <x:f>IF(A298&lt;=$E$32,$E$31^A298,"")</x:f>
        <x:v>17.975966532142358</x:v>
      </x:c>
      <x:c r="E298" s="61" t="str">
        <x:f>IF(A298&lt;$E$36,ROUNDUP(ROUND($E$33*$E$34^A298,6),0),"")</x:f>
        <x:v/>
      </x:c>
      <x:c r="F298" s="61" t="str">
        <x:f>IF(A298&lt;=$E$36,F297+E297,"")</x:f>
        <x:v/>
      </x:c>
      <x:c r="G298" s="79" t="str">
        <x:f>IF(A298&lt;=$E$36,$E$35^A298,"")</x:f>
        <x:v/>
      </x:c>
      <x:c r="H298" s="61" t="str">
        <x:f>IF(A298&lt;$E$40,ROUNDUP(ROUND($E$37*$E$38^A298,6),0),"")</x:f>
        <x:v/>
      </x:c>
      <x:c r="I298" s="61" t="str">
        <x:f>IF(A298&lt;=$E$40,I297+H297,"")</x:f>
        <x:v/>
      </x:c>
      <x:c r="J298" s="81" t="str">
        <x:f>IF(A298&lt;=$E$40,1+$E$39*A298,"")</x:f>
        <x:v/>
      </x:c>
      <x:c r="K298" s="60"/>
      <x:c r="L298" s="60"/>
      <x:c r="M298" s="60"/>
      <x:c r="N298" s="60"/>
      <x:c r="O298" s="60"/>
      <x:c r="P298" s="60"/>
    </x:row>
    <x:row r="299" ht="30" customHeight="1">
      <x:c r="A299" s="60" t="n">
        <x:v>118</x:v>
      </x:c>
      <x:c r="B299" s="60">
        <x:f>IF(A299&lt;$E$32,ROUNDUP(ROUND($E$29*$E$30^A299,6),0),"")</x:f>
        <x:v>146642</x:v>
      </x:c>
      <x:c r="C299" s="60">
        <x:f>IF(A299&lt;=$E$32,C298+B298,"")</x:f>
        <x:v>2094217</x:v>
      </x:c>
      <x:c r="D299" s="78">
        <x:f>IF(A299&lt;=$E$32,$E$31^A299,"")</x:f>
        <x:v>18.425365695445915</x:v>
      </x:c>
      <x:c r="E299" s="60" t="str">
        <x:f>IF(A299&lt;$E$36,ROUNDUP(ROUND($E$33*$E$34^A299,6),0),"")</x:f>
        <x:v/>
      </x:c>
      <x:c r="F299" s="60" t="str">
        <x:f>IF(A299&lt;=$E$36,F298+E298,"")</x:f>
        <x:v/>
      </x:c>
      <x:c r="G299" s="78" t="str">
        <x:f>IF(A299&lt;=$E$36,$E$35^A299,"")</x:f>
        <x:v/>
      </x:c>
      <x:c r="H299" s="60" t="str">
        <x:f>IF(A299&lt;$E$40,ROUNDUP(ROUND($E$37*$E$38^A299,6),0),"")</x:f>
        <x:v/>
      </x:c>
      <x:c r="I299" s="60" t="str">
        <x:f>IF(A299&lt;=$E$40,I298+H298,"")</x:f>
        <x:v/>
      </x:c>
      <x:c r="J299" s="80" t="str">
        <x:f>IF(A299&lt;=$E$40,1+$E$39*A299,"")</x:f>
        <x:v/>
      </x:c>
      <x:c r="K299" s="60"/>
      <x:c r="L299" s="60"/>
      <x:c r="M299" s="60"/>
      <x:c r="N299" s="60"/>
      <x:c r="O299" s="60"/>
      <x:c r="P299" s="60"/>
    </x:row>
    <x:row r="300" ht="30" customHeight="1">
      <x:c r="A300" s="61" t="n">
        <x:v>119</x:v>
      </x:c>
      <x:c r="B300" s="61">
        <x:f>IF(A300&lt;$E$32,ROUNDUP(ROUND($E$29*$E$30^A300,6),0),"")</x:f>
        <x:v>156906</x:v>
      </x:c>
      <x:c r="C300" s="61">
        <x:f>IF(A300&lt;=$E$32,C299+B299,"")</x:f>
        <x:v>2240859</x:v>
      </x:c>
      <x:c r="D300" s="79">
        <x:f>IF(A300&lt;=$E$32,$E$31^A300,"")</x:f>
        <x:v>18.885999837832063</x:v>
      </x:c>
      <x:c r="E300" s="61" t="str">
        <x:f>IF(A300&lt;$E$36,ROUNDUP(ROUND($E$33*$E$34^A300,6),0),"")</x:f>
        <x:v/>
      </x:c>
      <x:c r="F300" s="61" t="str">
        <x:f>IF(A300&lt;=$E$36,F299+E299,"")</x:f>
        <x:v/>
      </x:c>
      <x:c r="G300" s="79" t="str">
        <x:f>IF(A300&lt;=$E$36,$E$35^A300,"")</x:f>
        <x:v/>
      </x:c>
      <x:c r="H300" s="61" t="str">
        <x:f>IF(A300&lt;$E$40,ROUNDUP(ROUND($E$37*$E$38^A300,6),0),"")</x:f>
        <x:v/>
      </x:c>
      <x:c r="I300" s="61" t="str">
        <x:f>IF(A300&lt;=$E$40,I299+H299,"")</x:f>
        <x:v/>
      </x:c>
      <x:c r="J300" s="81" t="str">
        <x:f>IF(A300&lt;=$E$40,1+$E$39*A300,"")</x:f>
        <x:v/>
      </x:c>
      <x:c r="K300" s="60"/>
      <x:c r="L300" s="60"/>
      <x:c r="M300" s="60"/>
      <x:c r="N300" s="60"/>
      <x:c r="O300" s="60"/>
      <x:c r="P300" s="60"/>
    </x:row>
    <x:row r="301" ht="30" customHeight="1">
      <x:c r="A301" s="60" t="n">
        <x:v>120</x:v>
      </x:c>
      <x:c r="B301" s="60">
        <x:f>IF(A301&lt;$E$32,ROUNDUP(ROUND($E$29*$E$30^A301,6),0),"")</x:f>
        <x:v>167890</x:v>
      </x:c>
      <x:c r="C301" s="60">
        <x:f>IF(A301&lt;=$E$32,C300+B300,"")</x:f>
        <x:v>2397765</x:v>
      </x:c>
      <x:c r="D301" s="78">
        <x:f>IF(A301&lt;=$E$32,$E$31^A301,"")</x:f>
        <x:v>19.358149833777865</x:v>
      </x:c>
      <x:c r="E301" s="60" t="str">
        <x:f>IF(A301&lt;$E$36,ROUNDUP(ROUND($E$33*$E$34^A301,6),0),"")</x:f>
        <x:v/>
      </x:c>
      <x:c r="F301" s="60" t="str">
        <x:f>IF(A301&lt;=$E$36,F300+E300,"")</x:f>
        <x:v/>
      </x:c>
      <x:c r="G301" s="78" t="str">
        <x:f>IF(A301&lt;=$E$36,$E$35^A301,"")</x:f>
        <x:v/>
      </x:c>
      <x:c r="H301" s="60" t="str">
        <x:f>IF(A301&lt;$E$40,ROUNDUP(ROUND($E$37*$E$38^A301,6),0),"")</x:f>
        <x:v/>
      </x:c>
      <x:c r="I301" s="60" t="str">
        <x:f>IF(A301&lt;=$E$40,I300+H300,"")</x:f>
        <x:v/>
      </x:c>
      <x:c r="J301" s="80" t="str">
        <x:f>IF(A301&lt;=$E$40,1+$E$39*A301,"")</x:f>
        <x:v/>
      </x:c>
      <x:c r="K301" s="60"/>
      <x:c r="L301" s="60"/>
      <x:c r="M301" s="60"/>
      <x:c r="N301" s="60"/>
      <x:c r="O301" s="60"/>
      <x:c r="P301" s="60"/>
    </x:row>
    <x:row r="302" ht="30" customHeight="1">
      <x:c r="A302" s="61" t="n">
        <x:v>121</x:v>
      </x:c>
      <x:c r="B302" s="61">
        <x:f>IF(A302&lt;$E$32,ROUNDUP(ROUND($E$29*$E$30^A302,6),0),"")</x:f>
        <x:v>179642</x:v>
      </x:c>
      <x:c r="C302" s="61">
        <x:f>IF(A302&lt;=$E$32,C301+B301,"")</x:f>
        <x:v>2565655</x:v>
      </x:c>
      <x:c r="D302" s="79">
        <x:f>IF(A302&lt;=$E$32,$E$31^A302,"")</x:f>
        <x:v>19.842103579622311</x:v>
      </x:c>
      <x:c r="E302" s="61" t="str">
        <x:f>IF(A302&lt;$E$36,ROUNDUP(ROUND($E$33*$E$34^A302,6),0),"")</x:f>
        <x:v/>
      </x:c>
      <x:c r="F302" s="61" t="str">
        <x:f>IF(A302&lt;=$E$36,F301+E301,"")</x:f>
        <x:v/>
      </x:c>
      <x:c r="G302" s="79" t="str">
        <x:f>IF(A302&lt;=$E$36,$E$35^A302,"")</x:f>
        <x:v/>
      </x:c>
      <x:c r="H302" s="61" t="str">
        <x:f>IF(A302&lt;$E$40,ROUNDUP(ROUND($E$37*$E$38^A302,6),0),"")</x:f>
        <x:v/>
      </x:c>
      <x:c r="I302" s="61" t="str">
        <x:f>IF(A302&lt;=$E$40,I301+H301,"")</x:f>
        <x:v/>
      </x:c>
      <x:c r="J302" s="81" t="str">
        <x:f>IF(A302&lt;=$E$40,1+$E$39*A302,"")</x:f>
        <x:v/>
      </x:c>
      <x:c r="K302" s="60"/>
      <x:c r="L302" s="60"/>
      <x:c r="M302" s="60"/>
      <x:c r="N302" s="60"/>
      <x:c r="O302" s="60"/>
      <x:c r="P302" s="60"/>
    </x:row>
    <x:row r="303" ht="30" customHeight="1">
      <x:c r="A303" s="60" t="n">
        <x:v>122</x:v>
      </x:c>
      <x:c r="B303" s="60">
        <x:f>IF(A303&lt;$E$32,ROUNDUP(ROUND($E$29*$E$30^A303,6),0),"")</x:f>
        <x:v>192217</x:v>
      </x:c>
      <x:c r="C303" s="60">
        <x:f>IF(A303&lt;=$E$32,C302+B302,"")</x:f>
        <x:v>2745297</x:v>
      </x:c>
      <x:c r="D303" s="78">
        <x:f>IF(A303&lt;=$E$32,$E$31^A303,"")</x:f>
        <x:v>20.338156169112867</x:v>
      </x:c>
      <x:c r="E303" s="60" t="str">
        <x:f>IF(A303&lt;$E$36,ROUNDUP(ROUND($E$33*$E$34^A303,6),0),"")</x:f>
        <x:v/>
      </x:c>
      <x:c r="F303" s="60" t="str">
        <x:f>IF(A303&lt;=$E$36,F302+E302,"")</x:f>
        <x:v/>
      </x:c>
      <x:c r="G303" s="78" t="str">
        <x:f>IF(A303&lt;=$E$36,$E$35^A303,"")</x:f>
        <x:v/>
      </x:c>
      <x:c r="H303" s="60" t="str">
        <x:f>IF(A303&lt;$E$40,ROUNDUP(ROUND($E$37*$E$38^A303,6),0),"")</x:f>
        <x:v/>
      </x:c>
      <x:c r="I303" s="60" t="str">
        <x:f>IF(A303&lt;=$E$40,I302+H302,"")</x:f>
        <x:v/>
      </x:c>
      <x:c r="J303" s="80" t="str">
        <x:f>IF(A303&lt;=$E$40,1+$E$39*A303,"")</x:f>
        <x:v/>
      </x:c>
      <x:c r="K303" s="60"/>
      <x:c r="L303" s="60"/>
      <x:c r="M303" s="60"/>
      <x:c r="N303" s="60"/>
      <x:c r="O303" s="60"/>
      <x:c r="P303" s="60"/>
    </x:row>
    <x:row r="304" ht="30" customHeight="1">
      <x:c r="A304" s="61" t="n">
        <x:v>123</x:v>
      </x:c>
      <x:c r="B304" s="61">
        <x:f>IF(A304&lt;$E$32,ROUNDUP(ROUND($E$29*$E$30^A304,6),0),"")</x:f>
        <x:v>205672</x:v>
      </x:c>
      <x:c r="C304" s="61">
        <x:f>IF(A304&lt;=$E$32,C303+B303,"")</x:f>
        <x:v>2937514</x:v>
      </x:c>
      <x:c r="D304" s="79">
        <x:f>IF(A304&lt;=$E$32,$E$31^A304,"")</x:f>
        <x:v>20.846610073340685</x:v>
      </x:c>
      <x:c r="E304" s="61" t="str">
        <x:f>IF(A304&lt;$E$36,ROUNDUP(ROUND($E$33*$E$34^A304,6),0),"")</x:f>
        <x:v/>
      </x:c>
      <x:c r="F304" s="61" t="str">
        <x:f>IF(A304&lt;=$E$36,F303+E303,"")</x:f>
        <x:v/>
      </x:c>
      <x:c r="G304" s="79" t="str">
        <x:f>IF(A304&lt;=$E$36,$E$35^A304,"")</x:f>
        <x:v/>
      </x:c>
      <x:c r="H304" s="61" t="str">
        <x:f>IF(A304&lt;$E$40,ROUNDUP(ROUND($E$37*$E$38^A304,6),0),"")</x:f>
        <x:v/>
      </x:c>
      <x:c r="I304" s="61" t="str">
        <x:f>IF(A304&lt;=$E$40,I303+H303,"")</x:f>
        <x:v/>
      </x:c>
      <x:c r="J304" s="81" t="str">
        <x:f>IF(A304&lt;=$E$40,1+$E$39*A304,"")</x:f>
        <x:v/>
      </x:c>
      <x:c r="K304" s="60"/>
      <x:c r="L304" s="60"/>
      <x:c r="M304" s="60"/>
      <x:c r="N304" s="60"/>
      <x:c r="O304" s="60"/>
      <x:c r="P304" s="60"/>
    </x:row>
    <x:row r="305" ht="30" customHeight="1">
      <x:c r="A305" s="60" t="n">
        <x:v>124</x:v>
      </x:c>
      <x:c r="B305" s="60">
        <x:f>IF(A305&lt;$E$32,ROUNDUP(ROUND($E$29*$E$30^A305,6),0),"")</x:f>
        <x:v>220069</x:v>
      </x:c>
      <x:c r="C305" s="60">
        <x:f>IF(A305&lt;=$E$32,C304+B304,"")</x:f>
        <x:v>3143186</x:v>
      </x:c>
      <x:c r="D305" s="78">
        <x:f>IF(A305&lt;=$E$32,$E$31^A305,"")</x:f>
        <x:v>21.3677753251742</x:v>
      </x:c>
      <x:c r="E305" s="60" t="str">
        <x:f>IF(A305&lt;$E$36,ROUNDUP(ROUND($E$33*$E$34^A305,6),0),"")</x:f>
        <x:v/>
      </x:c>
      <x:c r="F305" s="60" t="str">
        <x:f>IF(A305&lt;=$E$36,F304+E304,"")</x:f>
        <x:v/>
      </x:c>
      <x:c r="G305" s="78" t="str">
        <x:f>IF(A305&lt;=$E$36,$E$35^A305,"")</x:f>
        <x:v/>
      </x:c>
      <x:c r="H305" s="60" t="str">
        <x:f>IF(A305&lt;$E$40,ROUNDUP(ROUND($E$37*$E$38^A305,6),0),"")</x:f>
        <x:v/>
      </x:c>
      <x:c r="I305" s="60" t="str">
        <x:f>IF(A305&lt;=$E$40,I304+H304,"")</x:f>
        <x:v/>
      </x:c>
      <x:c r="J305" s="80" t="str">
        <x:f>IF(A305&lt;=$E$40,1+$E$39*A305,"")</x:f>
        <x:v/>
      </x:c>
      <x:c r="K305" s="60"/>
      <x:c r="L305" s="60"/>
      <x:c r="M305" s="60"/>
      <x:c r="N305" s="60"/>
      <x:c r="O305" s="60"/>
      <x:c r="P305" s="60"/>
    </x:row>
    <x:row r="306" ht="30" customHeight="1">
      <x:c r="A306" s="61" t="n">
        <x:v>125</x:v>
      </x:c>
      <x:c r="B306" s="61">
        <x:f>IF(A306&lt;$E$32,ROUNDUP(ROUND($E$29*$E$30^A306,6),0),"")</x:f>
        <x:v>235474</x:v>
      </x:c>
      <x:c r="C306" s="61">
        <x:f>IF(A306&lt;=$E$32,C305+B305,"")</x:f>
        <x:v>3363255</x:v>
      </x:c>
      <x:c r="D306" s="79">
        <x:f>IF(A306&lt;=$E$32,$E$31^A306,"")</x:f>
        <x:v>21.901969708303561</x:v>
      </x:c>
      <x:c r="E306" s="61" t="str">
        <x:f>IF(A306&lt;$E$36,ROUNDUP(ROUND($E$33*$E$34^A306,6),0),"")</x:f>
        <x:v/>
      </x:c>
      <x:c r="F306" s="61" t="str">
        <x:f>IF(A306&lt;=$E$36,F305+E305,"")</x:f>
        <x:v/>
      </x:c>
      <x:c r="G306" s="79" t="str">
        <x:f>IF(A306&lt;=$E$36,$E$35^A306,"")</x:f>
        <x:v/>
      </x:c>
      <x:c r="H306" s="61" t="str">
        <x:f>IF(A306&lt;$E$40,ROUNDUP(ROUND($E$37*$E$38^A306,6),0),"")</x:f>
        <x:v/>
      </x:c>
      <x:c r="I306" s="61" t="str">
        <x:f>IF(A306&lt;=$E$40,I305+H305,"")</x:f>
        <x:v/>
      </x:c>
      <x:c r="J306" s="81" t="str">
        <x:f>IF(A306&lt;=$E$40,1+$E$39*A306,"")</x:f>
        <x:v/>
      </x:c>
      <x:c r="K306" s="60"/>
      <x:c r="L306" s="60"/>
      <x:c r="M306" s="60"/>
      <x:c r="N306" s="60"/>
      <x:c r="O306" s="60"/>
      <x:c r="P306" s="60"/>
    </x:row>
    <x:row r="307" ht="30" customHeight="1">
      <x:c r="A307" s="60" t="n">
        <x:v>126</x:v>
      </x:c>
      <x:c r="B307" s="60">
        <x:f>IF(A307&lt;$E$32,ROUNDUP(ROUND($E$29*$E$30^A307,6),0),"")</x:f>
        <x:v>251957</x:v>
      </x:c>
      <x:c r="C307" s="60">
        <x:f>IF(A307&lt;=$E$32,C306+B306,"")</x:f>
        <x:v>3598729</x:v>
      </x:c>
      <x:c r="D307" s="78">
        <x:f>IF(A307&lt;=$E$32,$E$31^A307,"")</x:f>
        <x:v>22.449518951011143</x:v>
      </x:c>
      <x:c r="E307" s="60" t="str">
        <x:f>IF(A307&lt;$E$36,ROUNDUP(ROUND($E$33*$E$34^A307,6),0),"")</x:f>
        <x:v/>
      </x:c>
      <x:c r="F307" s="60" t="str">
        <x:f>IF(A307&lt;=$E$36,F306+E306,"")</x:f>
        <x:v/>
      </x:c>
      <x:c r="G307" s="78" t="str">
        <x:f>IF(A307&lt;=$E$36,$E$35^A307,"")</x:f>
        <x:v/>
      </x:c>
      <x:c r="H307" s="60" t="str">
        <x:f>IF(A307&lt;$E$40,ROUNDUP(ROUND($E$37*$E$38^A307,6),0),"")</x:f>
        <x:v/>
      </x:c>
      <x:c r="I307" s="60" t="str">
        <x:f>IF(A307&lt;=$E$40,I306+H306,"")</x:f>
        <x:v/>
      </x:c>
      <x:c r="J307" s="80" t="str">
        <x:f>IF(A307&lt;=$E$40,1+$E$39*A307,"")</x:f>
        <x:v/>
      </x:c>
      <x:c r="K307" s="60"/>
      <x:c r="L307" s="60"/>
      <x:c r="M307" s="60"/>
      <x:c r="N307" s="60"/>
      <x:c r="O307" s="60"/>
      <x:c r="P307" s="60"/>
    </x:row>
    <x:row r="308" ht="30" customHeight="1">
      <x:c r="A308" s="61" t="n">
        <x:v>127</x:v>
      </x:c>
      <x:c r="B308" s="61">
        <x:f>IF(A308&lt;$E$32,ROUNDUP(ROUND($E$29*$E$30^A308,6),0),"")</x:f>
        <x:v>269594</x:v>
      </x:c>
      <x:c r="C308" s="61">
        <x:f>IF(A308&lt;=$E$32,C307+B307,"")</x:f>
        <x:v>3850686</x:v>
      </x:c>
      <x:c r="D308" s="79">
        <x:f>IF(A308&lt;=$E$32,$E$31^A308,"")</x:f>
        <x:v>23.010756924786428</x:v>
      </x:c>
      <x:c r="E308" s="61" t="str">
        <x:f>IF(A308&lt;$E$36,ROUNDUP(ROUND($E$33*$E$34^A308,6),0),"")</x:f>
        <x:v/>
      </x:c>
      <x:c r="F308" s="61" t="str">
        <x:f>IF(A308&lt;=$E$36,F307+E307,"")</x:f>
        <x:v/>
      </x:c>
      <x:c r="G308" s="79" t="str">
        <x:f>IF(A308&lt;=$E$36,$E$35^A308,"")</x:f>
        <x:v/>
      </x:c>
      <x:c r="H308" s="61" t="str">
        <x:f>IF(A308&lt;$E$40,ROUNDUP(ROUND($E$37*$E$38^A308,6),0),"")</x:f>
        <x:v/>
      </x:c>
      <x:c r="I308" s="61" t="str">
        <x:f>IF(A308&lt;=$E$40,I307+H307,"")</x:f>
        <x:v/>
      </x:c>
      <x:c r="J308" s="81" t="str">
        <x:f>IF(A308&lt;=$E$40,1+$E$39*A308,"")</x:f>
        <x:v/>
      </x:c>
      <x:c r="K308" s="60"/>
      <x:c r="L308" s="60"/>
      <x:c r="M308" s="60"/>
      <x:c r="N308" s="60"/>
      <x:c r="O308" s="60"/>
      <x:c r="P308" s="60"/>
    </x:row>
    <x:row r="309" ht="30" customHeight="1">
      <x:c r="A309" s="60" t="n">
        <x:v>128</x:v>
      </x:c>
      <x:c r="B309" s="60">
        <x:f>IF(A309&lt;$E$32,ROUNDUP(ROUND($E$29*$E$30^A309,6),0),"")</x:f>
        <x:v>288466</x:v>
      </x:c>
      <x:c r="C309" s="60">
        <x:f>IF(A309&lt;=$E$32,C308+B308,"")</x:f>
        <x:v>4120280</x:v>
      </x:c>
      <x:c r="D309" s="78">
        <x:f>IF(A309&lt;=$E$32,$E$31^A309,"")</x:f>
        <x:v>23.586025847906082</x:v>
      </x:c>
      <x:c r="E309" s="60" t="str">
        <x:f>IF(A309&lt;$E$36,ROUNDUP(ROUND($E$33*$E$34^A309,6),0),"")</x:f>
        <x:v/>
      </x:c>
      <x:c r="F309" s="60" t="str">
        <x:f>IF(A309&lt;=$E$36,F308+E308,"")</x:f>
        <x:v/>
      </x:c>
      <x:c r="G309" s="78" t="str">
        <x:f>IF(A309&lt;=$E$36,$E$35^A309,"")</x:f>
        <x:v/>
      </x:c>
      <x:c r="H309" s="60" t="str">
        <x:f>IF(A309&lt;$E$40,ROUNDUP(ROUND($E$37*$E$38^A309,6),0),"")</x:f>
        <x:v/>
      </x:c>
      <x:c r="I309" s="60" t="str">
        <x:f>IF(A309&lt;=$E$40,I308+H308,"")</x:f>
        <x:v/>
      </x:c>
      <x:c r="J309" s="80" t="str">
        <x:f>IF(A309&lt;=$E$40,1+$E$39*A309,"")</x:f>
        <x:v/>
      </x:c>
      <x:c r="K309" s="60"/>
      <x:c r="L309" s="60"/>
      <x:c r="M309" s="60"/>
      <x:c r="N309" s="60"/>
      <x:c r="O309" s="60"/>
      <x:c r="P309" s="60"/>
    </x:row>
    <x:row r="310" ht="30" customHeight="1">
      <x:c r="A310" s="61" t="n">
        <x:v>129</x:v>
      </x:c>
      <x:c r="B310" s="61">
        <x:f>IF(A310&lt;$E$32,ROUNDUP(ROUND($E$29*$E$30^A310,6),0),"")</x:f>
        <x:v>308658</x:v>
      </x:c>
      <x:c r="C310" s="61">
        <x:f>IF(A310&lt;=$E$32,C309+B309,"")</x:f>
        <x:v>4408746</x:v>
      </x:c>
      <x:c r="D310" s="79">
        <x:f>IF(A310&lt;=$E$32,$E$31^A310,"")</x:f>
        <x:v>24.175676494103733</x:v>
      </x:c>
      <x:c r="E310" s="61" t="str">
        <x:f>IF(A310&lt;$E$36,ROUNDUP(ROUND($E$33*$E$34^A310,6),0),"")</x:f>
        <x:v/>
      </x:c>
      <x:c r="F310" s="61" t="str">
        <x:f>IF(A310&lt;=$E$36,F309+E309,"")</x:f>
        <x:v/>
      </x:c>
      <x:c r="G310" s="79" t="str">
        <x:f>IF(A310&lt;=$E$36,$E$35^A310,"")</x:f>
        <x:v/>
      </x:c>
      <x:c r="H310" s="61" t="str">
        <x:f>IF(A310&lt;$E$40,ROUNDUP(ROUND($E$37*$E$38^A310,6),0),"")</x:f>
        <x:v/>
      </x:c>
      <x:c r="I310" s="61" t="str">
        <x:f>IF(A310&lt;=$E$40,I309+H309,"")</x:f>
        <x:v/>
      </x:c>
      <x:c r="J310" s="81" t="str">
        <x:f>IF(A310&lt;=$E$40,1+$E$39*A310,"")</x:f>
        <x:v/>
      </x:c>
      <x:c r="K310" s="60"/>
      <x:c r="L310" s="60"/>
      <x:c r="M310" s="60"/>
      <x:c r="N310" s="60"/>
      <x:c r="O310" s="60"/>
      <x:c r="P310" s="60"/>
    </x:row>
    <x:row r="311" ht="30" customHeight="1">
      <x:c r="A311" s="60" t="n">
        <x:v>130</x:v>
      </x:c>
      <x:c r="B311" s="60">
        <x:f>IF(A311&lt;$E$32,ROUNDUP(ROUND($E$29*$E$30^A311,6),0),"")</x:f>
        <x:v>330264</x:v>
      </x:c>
      <x:c r="C311" s="60">
        <x:f>IF(A311&lt;=$E$32,C310+B310,"")</x:f>
        <x:v>4717404</x:v>
      </x:c>
      <x:c r="D311" s="78">
        <x:f>IF(A311&lt;=$E$32,$E$31^A311,"")</x:f>
        <x:v>24.780068406456326</x:v>
      </x:c>
      <x:c r="E311" s="60" t="str">
        <x:f>IF(A311&lt;$E$36,ROUNDUP(ROUND($E$33*$E$34^A311,6),0),"")</x:f>
        <x:v/>
      </x:c>
      <x:c r="F311" s="60" t="str">
        <x:f>IF(A311&lt;=$E$36,F310+E310,"")</x:f>
        <x:v/>
      </x:c>
      <x:c r="G311" s="78" t="str">
        <x:f>IF(A311&lt;=$E$36,$E$35^A311,"")</x:f>
        <x:v/>
      </x:c>
      <x:c r="H311" s="60" t="str">
        <x:f>IF(A311&lt;$E$40,ROUNDUP(ROUND($E$37*$E$38^A311,6),0),"")</x:f>
        <x:v/>
      </x:c>
      <x:c r="I311" s="60" t="str">
        <x:f>IF(A311&lt;=$E$40,I310+H310,"")</x:f>
        <x:v/>
      </x:c>
      <x:c r="J311" s="80" t="str">
        <x:f>IF(A311&lt;=$E$40,1+$E$39*A311,"")</x:f>
        <x:v/>
      </x:c>
      <x:c r="K311" s="60"/>
      <x:c r="L311" s="60"/>
      <x:c r="M311" s="60"/>
      <x:c r="N311" s="60"/>
      <x:c r="O311" s="60"/>
      <x:c r="P311" s="60"/>
    </x:row>
    <x:row r="312" ht="30" customHeight="1">
      <x:c r="A312" s="61" t="n">
        <x:v>131</x:v>
      </x:c>
      <x:c r="B312" s="61">
        <x:f>IF(A312&lt;$E$32,ROUNDUP(ROUND($E$29*$E$30^A312,6),0),"")</x:f>
        <x:v>353383</x:v>
      </x:c>
      <x:c r="C312" s="61">
        <x:f>IF(A312&lt;=$E$32,C311+B311,"")</x:f>
        <x:v>5047668</x:v>
      </x:c>
      <x:c r="D312" s="79">
        <x:f>IF(A312&lt;=$E$32,$E$31^A312,"")</x:f>
        <x:v>25.399570116617735</x:v>
      </x:c>
      <x:c r="E312" s="61" t="str">
        <x:f>IF(A312&lt;$E$36,ROUNDUP(ROUND($E$33*$E$34^A312,6),0),"")</x:f>
        <x:v/>
      </x:c>
      <x:c r="F312" s="61" t="str">
        <x:f>IF(A312&lt;=$E$36,F311+E311,"")</x:f>
        <x:v/>
      </x:c>
      <x:c r="G312" s="79" t="str">
        <x:f>IF(A312&lt;=$E$36,$E$35^A312,"")</x:f>
        <x:v/>
      </x:c>
      <x:c r="H312" s="61" t="str">
        <x:f>IF(A312&lt;$E$40,ROUNDUP(ROUND($E$37*$E$38^A312,6),0),"")</x:f>
        <x:v/>
      </x:c>
      <x:c r="I312" s="61" t="str">
        <x:f>IF(A312&lt;=$E$40,I311+H311,"")</x:f>
        <x:v/>
      </x:c>
      <x:c r="J312" s="81" t="str">
        <x:f>IF(A312&lt;=$E$40,1+$E$39*A312,"")</x:f>
        <x:v/>
      </x:c>
      <x:c r="K312" s="60"/>
      <x:c r="L312" s="60"/>
      <x:c r="M312" s="60"/>
      <x:c r="N312" s="60"/>
      <x:c r="O312" s="60"/>
      <x:c r="P312" s="60"/>
    </x:row>
    <x:row r="313" ht="30" customHeight="1">
      <x:c r="A313" s="60" t="n">
        <x:v>132</x:v>
      </x:c>
      <x:c r="B313" s="60">
        <x:f>IF(A313&lt;$E$32,ROUNDUP(ROUND($E$29*$E$30^A313,6),0),"")</x:f>
        <x:v>378120</x:v>
      </x:c>
      <x:c r="C313" s="60">
        <x:f>IF(A313&lt;=$E$32,C312+B312,"")</x:f>
        <x:v>5401051</x:v>
      </x:c>
      <x:c r="D313" s="78">
        <x:f>IF(A313&lt;=$E$32,$E$31^A313,"")</x:f>
        <x:v>26.034559369533174</x:v>
      </x:c>
      <x:c r="E313" s="60" t="str">
        <x:f>IF(A313&lt;$E$36,ROUNDUP(ROUND($E$33*$E$34^A313,6),0),"")</x:f>
        <x:v/>
      </x:c>
      <x:c r="F313" s="60" t="str">
        <x:f>IF(A313&lt;=$E$36,F312+E312,"")</x:f>
        <x:v/>
      </x:c>
      <x:c r="G313" s="78" t="str">
        <x:f>IF(A313&lt;=$E$36,$E$35^A313,"")</x:f>
        <x:v/>
      </x:c>
      <x:c r="H313" s="60" t="str">
        <x:f>IF(A313&lt;$E$40,ROUNDUP(ROUND($E$37*$E$38^A313,6),0),"")</x:f>
        <x:v/>
      </x:c>
      <x:c r="I313" s="60" t="str">
        <x:f>IF(A313&lt;=$E$40,I312+H312,"")</x:f>
        <x:v/>
      </x:c>
      <x:c r="J313" s="80" t="str">
        <x:f>IF(A313&lt;=$E$40,1+$E$39*A313,"")</x:f>
        <x:v/>
      </x:c>
      <x:c r="K313" s="60"/>
      <x:c r="L313" s="60"/>
      <x:c r="M313" s="60"/>
      <x:c r="N313" s="60"/>
      <x:c r="O313" s="60"/>
      <x:c r="P313" s="60"/>
    </x:row>
    <x:row r="314" ht="30" customHeight="1">
      <x:c r="A314" s="61" t="n">
        <x:v>133</x:v>
      </x:c>
      <x:c r="B314" s="61">
        <x:f>IF(A314&lt;$E$32,ROUNDUP(ROUND($E$29*$E$30^A314,6),0),"")</x:f>
        <x:v>404588</x:v>
      </x:c>
      <x:c r="C314" s="61">
        <x:f>IF(A314&lt;=$E$32,C313+B313,"")</x:f>
        <x:v>5779171</x:v>
      </x:c>
      <x:c r="D314" s="79">
        <x:f>IF(A314&lt;=$E$32,$E$31^A314,"")</x:f>
        <x:v>26.685423353771501</x:v>
      </x:c>
      <x:c r="E314" s="61" t="str">
        <x:f>IF(A314&lt;$E$36,ROUNDUP(ROUND($E$33*$E$34^A314,6),0),"")</x:f>
        <x:v/>
      </x:c>
      <x:c r="F314" s="61" t="str">
        <x:f>IF(A314&lt;=$E$36,F313+E313,"")</x:f>
        <x:v/>
      </x:c>
      <x:c r="G314" s="79" t="str">
        <x:f>IF(A314&lt;=$E$36,$E$35^A314,"")</x:f>
        <x:v/>
      </x:c>
      <x:c r="H314" s="61" t="str">
        <x:f>IF(A314&lt;$E$40,ROUNDUP(ROUND($E$37*$E$38^A314,6),0),"")</x:f>
        <x:v/>
      </x:c>
      <x:c r="I314" s="61" t="str">
        <x:f>IF(A314&lt;=$E$40,I313+H313,"")</x:f>
        <x:v/>
      </x:c>
      <x:c r="J314" s="81" t="str">
        <x:f>IF(A314&lt;=$E$40,1+$E$39*A314,"")</x:f>
        <x:v/>
      </x:c>
      <x:c r="K314" s="60"/>
      <x:c r="L314" s="60"/>
      <x:c r="M314" s="60"/>
      <x:c r="N314" s="60"/>
      <x:c r="O314" s="60"/>
      <x:c r="P314" s="60"/>
    </x:row>
    <x:row r="315" ht="30" customHeight="1">
      <x:c r="A315" s="60" t="n">
        <x:v>134</x:v>
      </x:c>
      <x:c r="B315" s="60">
        <x:f>IF(A315&lt;$E$32,ROUNDUP(ROUND($E$29*$E$30^A315,6),0),"")</x:f>
        <x:v>432909</x:v>
      </x:c>
      <x:c r="C315" s="60">
        <x:f>IF(A315&lt;=$E$32,C314+B314,"")</x:f>
        <x:v>6183759</x:v>
      </x:c>
      <x:c r="D315" s="78">
        <x:f>IF(A315&lt;=$E$32,$E$31^A315,"")</x:f>
        <x:v>27.352558937615786</x:v>
      </x:c>
      <x:c r="E315" s="60" t="str">
        <x:f>IF(A315&lt;$E$36,ROUNDUP(ROUND($E$33*$E$34^A315,6),0),"")</x:f>
        <x:v/>
      </x:c>
      <x:c r="F315" s="60" t="str">
        <x:f>IF(A315&lt;=$E$36,F314+E314,"")</x:f>
        <x:v/>
      </x:c>
      <x:c r="G315" s="78" t="str">
        <x:f>IF(A315&lt;=$E$36,$E$35^A315,"")</x:f>
        <x:v/>
      </x:c>
      <x:c r="H315" s="60" t="str">
        <x:f>IF(A315&lt;$E$40,ROUNDUP(ROUND($E$37*$E$38^A315,6),0),"")</x:f>
        <x:v/>
      </x:c>
      <x:c r="I315" s="60" t="str">
        <x:f>IF(A315&lt;=$E$40,I314+H314,"")</x:f>
        <x:v/>
      </x:c>
      <x:c r="J315" s="80" t="str">
        <x:f>IF(A315&lt;=$E$40,1+$E$39*A315,"")</x:f>
        <x:v/>
      </x:c>
      <x:c r="K315" s="60"/>
      <x:c r="L315" s="60"/>
      <x:c r="M315" s="60"/>
      <x:c r="N315" s="60"/>
      <x:c r="O315" s="60"/>
      <x:c r="P315" s="60"/>
    </x:row>
    <x:row r="316" ht="30" customHeight="1">
      <x:c r="A316" s="61" t="n">
        <x:v>135</x:v>
      </x:c>
      <x:c r="B316" s="61">
        <x:f>IF(A316&lt;$E$32,ROUNDUP(ROUND($E$29*$E$30^A316,6),0),"")</x:f>
        <x:v>463213</x:v>
      </x:c>
      <x:c r="C316" s="61">
        <x:f>IF(A316&lt;=$E$32,C315+B315,"")</x:f>
        <x:v>6616668</x:v>
      </x:c>
      <x:c r="D316" s="79">
        <x:f>IF(A316&lt;=$E$32,$E$31^A316,"")</x:f>
        <x:v>28.036372911056183</x:v>
      </x:c>
      <x:c r="E316" s="61" t="str">
        <x:f>IF(A316&lt;$E$36,ROUNDUP(ROUND($E$33*$E$34^A316,6),0),"")</x:f>
        <x:v/>
      </x:c>
      <x:c r="F316" s="61" t="str">
        <x:f>IF(A316&lt;=$E$36,F315+E315,"")</x:f>
        <x:v/>
      </x:c>
      <x:c r="G316" s="79" t="str">
        <x:f>IF(A316&lt;=$E$36,$E$35^A316,"")</x:f>
        <x:v/>
      </x:c>
      <x:c r="H316" s="61" t="str">
        <x:f>IF(A316&lt;$E$40,ROUNDUP(ROUND($E$37*$E$38^A316,6),0),"")</x:f>
        <x:v/>
      </x:c>
      <x:c r="I316" s="61" t="str">
        <x:f>IF(A316&lt;=$E$40,I315+H315,"")</x:f>
        <x:v/>
      </x:c>
      <x:c r="J316" s="81" t="str">
        <x:f>IF(A316&lt;=$E$40,1+$E$39*A316,"")</x:f>
        <x:v/>
      </x:c>
      <x:c r="K316" s="60"/>
      <x:c r="L316" s="60"/>
      <x:c r="M316" s="60"/>
      <x:c r="N316" s="60"/>
      <x:c r="O316" s="60"/>
      <x:c r="P316" s="60"/>
    </x:row>
    <x:row r="317" ht="30" customHeight="1">
      <x:c r="A317" s="60" t="n">
        <x:v>136</x:v>
      </x:c>
      <x:c r="B317" s="60">
        <x:f>IF(A317&lt;$E$32,ROUNDUP(ROUND($E$29*$E$30^A317,6),0),"")</x:f>
        <x:v>495638</x:v>
      </x:c>
      <x:c r="C317" s="60">
        <x:f>IF(A317&lt;=$E$32,C316+B316,"")</x:f>
        <x:v>7079881</x:v>
      </x:c>
      <x:c r="D317" s="78">
        <x:f>IF(A317&lt;=$E$32,$E$31^A317,"")</x:f>
        <x:v>28.737282233832584</x:v>
      </x:c>
      <x:c r="E317" s="60" t="str">
        <x:f>IF(A317&lt;$E$36,ROUNDUP(ROUND($E$33*$E$34^A317,6),0),"")</x:f>
        <x:v/>
      </x:c>
      <x:c r="F317" s="60" t="str">
        <x:f>IF(A317&lt;=$E$36,F316+E316,"")</x:f>
        <x:v/>
      </x:c>
      <x:c r="G317" s="78" t="str">
        <x:f>IF(A317&lt;=$E$36,$E$35^A317,"")</x:f>
        <x:v/>
      </x:c>
      <x:c r="H317" s="60" t="str">
        <x:f>IF(A317&lt;$E$40,ROUNDUP(ROUND($E$37*$E$38^A317,6),0),"")</x:f>
        <x:v/>
      </x:c>
      <x:c r="I317" s="60" t="str">
        <x:f>IF(A317&lt;=$E$40,I316+H316,"")</x:f>
        <x:v/>
      </x:c>
      <x:c r="J317" s="80" t="str">
        <x:f>IF(A317&lt;=$E$40,1+$E$39*A317,"")</x:f>
        <x:v/>
      </x:c>
      <x:c r="K317" s="60"/>
      <x:c r="L317" s="60"/>
      <x:c r="M317" s="60"/>
      <x:c r="N317" s="60"/>
      <x:c r="O317" s="60"/>
      <x:c r="P317" s="60"/>
    </x:row>
    <x:row r="318" ht="30" customHeight="1">
      <x:c r="A318" s="61" t="n">
        <x:v>137</x:v>
      </x:c>
      <x:c r="B318" s="61">
        <x:f>IF(A318&lt;$E$32,ROUNDUP(ROUND($E$29*$E$30^A318,6),0),"")</x:f>
        <x:v>530332</x:v>
      </x:c>
      <x:c r="C318" s="61">
        <x:f>IF(A318&lt;=$E$32,C317+B317,"")</x:f>
        <x:v>7575519</x:v>
      </x:c>
      <x:c r="D318" s="79">
        <x:f>IF(A318&lt;=$E$32,$E$31^A318,"")</x:f>
        <x:v>29.455714289678394</x:v>
      </x:c>
      <x:c r="E318" s="61" t="str">
        <x:f>IF(A318&lt;$E$36,ROUNDUP(ROUND($E$33*$E$34^A318,6),0),"")</x:f>
        <x:v/>
      </x:c>
      <x:c r="F318" s="61" t="str">
        <x:f>IF(A318&lt;=$E$36,F317+E317,"")</x:f>
        <x:v/>
      </x:c>
      <x:c r="G318" s="79" t="str">
        <x:f>IF(A318&lt;=$E$36,$E$35^A318,"")</x:f>
        <x:v/>
      </x:c>
      <x:c r="H318" s="61" t="str">
        <x:f>IF(A318&lt;$E$40,ROUNDUP(ROUND($E$37*$E$38^A318,6),0),"")</x:f>
        <x:v/>
      </x:c>
      <x:c r="I318" s="61" t="str">
        <x:f>IF(A318&lt;=$E$40,I317+H317,"")</x:f>
        <x:v/>
      </x:c>
      <x:c r="J318" s="81" t="str">
        <x:f>IF(A318&lt;=$E$40,1+$E$39*A318,"")</x:f>
        <x:v/>
      </x:c>
      <x:c r="K318" s="60"/>
      <x:c r="L318" s="60"/>
      <x:c r="M318" s="60"/>
      <x:c r="N318" s="60"/>
      <x:c r="O318" s="60"/>
      <x:c r="P318" s="60"/>
    </x:row>
    <x:row r="319" ht="30" customHeight="1">
      <x:c r="A319" s="60" t="n">
        <x:v>138</x:v>
      </x:c>
      <x:c r="B319" s="60">
        <x:f>IF(A319&lt;$E$32,ROUNDUP(ROUND($E$29*$E$30^A319,6),0),"")</x:f>
        <x:v>567455</x:v>
      </x:c>
      <x:c r="C319" s="60">
        <x:f>IF(A319&lt;=$E$32,C318+B318,"")</x:f>
        <x:v>8105851</x:v>
      </x:c>
      <x:c r="D319" s="78">
        <x:f>IF(A319&lt;=$E$32,$E$31^A319,"")</x:f>
        <x:v>30.192107146920353</x:v>
      </x:c>
      <x:c r="E319" s="60" t="str">
        <x:f>IF(A319&lt;$E$36,ROUNDUP(ROUND($E$33*$E$34^A319,6),0),"")</x:f>
        <x:v/>
      </x:c>
      <x:c r="F319" s="60" t="str">
        <x:f>IF(A319&lt;=$E$36,F318+E318,"")</x:f>
        <x:v/>
      </x:c>
      <x:c r="G319" s="78" t="str">
        <x:f>IF(A319&lt;=$E$36,$E$35^A319,"")</x:f>
        <x:v/>
      </x:c>
      <x:c r="H319" s="60" t="str">
        <x:f>IF(A319&lt;$E$40,ROUNDUP(ROUND($E$37*$E$38^A319,6),0),"")</x:f>
        <x:v/>
      </x:c>
      <x:c r="I319" s="60" t="str">
        <x:f>IF(A319&lt;=$E$40,I318+H318,"")</x:f>
        <x:v/>
      </x:c>
      <x:c r="J319" s="80" t="str">
        <x:f>IF(A319&lt;=$E$40,1+$E$39*A319,"")</x:f>
        <x:v/>
      </x:c>
      <x:c r="K319" s="60"/>
      <x:c r="L319" s="60"/>
      <x:c r="M319" s="60"/>
      <x:c r="N319" s="60"/>
      <x:c r="O319" s="60"/>
      <x:c r="P319" s="60"/>
    </x:row>
    <x:row r="320" ht="30" customHeight="1">
      <x:c r="A320" s="61" t="n">
        <x:v>139</x:v>
      </x:c>
      <x:c r="B320" s="61">
        <x:f>IF(A320&lt;$E$32,ROUNDUP(ROUND($E$29*$E$30^A320,6),0),"")</x:f>
        <x:v>607177</x:v>
      </x:c>
      <x:c r="C320" s="61">
        <x:f>IF(A320&lt;=$E$32,C319+B319,"")</x:f>
        <x:v>8673306</x:v>
      </x:c>
      <x:c r="D320" s="79">
        <x:f>IF(A320&lt;=$E$32,$E$31^A320,"")</x:f>
        <x:v>30.946909825593362</x:v>
      </x:c>
      <x:c r="E320" s="61" t="str">
        <x:f>IF(A320&lt;$E$36,ROUNDUP(ROUND($E$33*$E$34^A320,6),0),"")</x:f>
        <x:v/>
      </x:c>
      <x:c r="F320" s="61" t="str">
        <x:f>IF(A320&lt;=$E$36,F319+E319,"")</x:f>
        <x:v/>
      </x:c>
      <x:c r="G320" s="79" t="str">
        <x:f>IF(A320&lt;=$E$36,$E$35^A320,"")</x:f>
        <x:v/>
      </x:c>
      <x:c r="H320" s="61" t="str">
        <x:f>IF(A320&lt;$E$40,ROUNDUP(ROUND($E$37*$E$38^A320,6),0),"")</x:f>
        <x:v/>
      </x:c>
      <x:c r="I320" s="61" t="str">
        <x:f>IF(A320&lt;=$E$40,I319+H319,"")</x:f>
        <x:v/>
      </x:c>
      <x:c r="J320" s="81" t="str">
        <x:f>IF(A320&lt;=$E$40,1+$E$39*A320,"")</x:f>
        <x:v/>
      </x:c>
      <x:c r="K320" s="60"/>
      <x:c r="L320" s="60"/>
      <x:c r="M320" s="60"/>
      <x:c r="N320" s="60"/>
      <x:c r="O320" s="60"/>
      <x:c r="P320" s="60"/>
    </x:row>
    <x:row r="321" ht="30" customHeight="1">
      <x:c r="A321" s="60" t="n">
        <x:v>140</x:v>
      </x:c>
      <x:c r="B321" s="60">
        <x:f>IF(A321&lt;$E$32,ROUNDUP(ROUND($E$29*$E$30^A321,6),0),"")</x:f>
        <x:v>649680</x:v>
      </x:c>
      <x:c r="C321" s="60">
        <x:f>IF(A321&lt;=$E$32,C320+B320,"")</x:f>
        <x:v>9280483</x:v>
      </x:c>
      <x:c r="D321" s="78">
        <x:f>IF(A321&lt;=$E$32,$E$31^A321,"")</x:f>
        <x:v>31.720582571233194</x:v>
      </x:c>
      <x:c r="E321" s="60" t="str">
        <x:f>IF(A321&lt;$E$36,ROUNDUP(ROUND($E$33*$E$34^A321,6),0),"")</x:f>
        <x:v/>
      </x:c>
      <x:c r="F321" s="60" t="str">
        <x:f>IF(A321&lt;=$E$36,F320+E320,"")</x:f>
        <x:v/>
      </x:c>
      <x:c r="G321" s="78" t="str">
        <x:f>IF(A321&lt;=$E$36,$E$35^A321,"")</x:f>
        <x:v/>
      </x:c>
      <x:c r="H321" s="60" t="str">
        <x:f>IF(A321&lt;$E$40,ROUNDUP(ROUND($E$37*$E$38^A321,6),0),"")</x:f>
        <x:v/>
      </x:c>
      <x:c r="I321" s="60" t="str">
        <x:f>IF(A321&lt;=$E$40,I320+H320,"")</x:f>
        <x:v/>
      </x:c>
      <x:c r="J321" s="80" t="str">
        <x:f>IF(A321&lt;=$E$40,1+$E$39*A321,"")</x:f>
        <x:v/>
      </x:c>
      <x:c r="K321" s="60"/>
      <x:c r="L321" s="60"/>
      <x:c r="M321" s="60"/>
      <x:c r="N321" s="60"/>
      <x:c r="O321" s="60"/>
      <x:c r="P321" s="60"/>
    </x:row>
    <x:row r="322" ht="30" customHeight="1">
      <x:c r="A322" s="61" t="n">
        <x:v>141</x:v>
      </x:c>
      <x:c r="B322" s="61">
        <x:f>IF(A322&lt;$E$32,ROUNDUP(ROUND($E$29*$E$30^A322,6),0),"")</x:f>
        <x:v>695157</x:v>
      </x:c>
      <x:c r="C322" s="61">
        <x:f>IF(A322&lt;=$E$32,C321+B321,"")</x:f>
        <x:v>9930163</x:v>
      </x:c>
      <x:c r="D322" s="79">
        <x:f>IF(A322&lt;=$E$32,$E$31^A322,"")</x:f>
        <x:v>32.513597135514026</x:v>
      </x:c>
      <x:c r="E322" s="61" t="str">
        <x:f>IF(A322&lt;$E$36,ROUNDUP(ROUND($E$33*$E$34^A322,6),0),"")</x:f>
        <x:v/>
      </x:c>
      <x:c r="F322" s="61" t="str">
        <x:f>IF(A322&lt;=$E$36,F321+E321,"")</x:f>
        <x:v/>
      </x:c>
      <x:c r="G322" s="79" t="str">
        <x:f>IF(A322&lt;=$E$36,$E$35^A322,"")</x:f>
        <x:v/>
      </x:c>
      <x:c r="H322" s="61" t="str">
        <x:f>IF(A322&lt;$E$40,ROUNDUP(ROUND($E$37*$E$38^A322,6),0),"")</x:f>
        <x:v/>
      </x:c>
      <x:c r="I322" s="61" t="str">
        <x:f>IF(A322&lt;=$E$40,I321+H321,"")</x:f>
        <x:v/>
      </x:c>
      <x:c r="J322" s="81" t="str">
        <x:f>IF(A322&lt;=$E$40,1+$E$39*A322,"")</x:f>
        <x:v/>
      </x:c>
      <x:c r="K322" s="60"/>
      <x:c r="L322" s="60"/>
      <x:c r="M322" s="60"/>
      <x:c r="N322" s="60"/>
      <x:c r="O322" s="60"/>
      <x:c r="P322" s="60"/>
    </x:row>
    <x:row r="323" ht="30" customHeight="1">
      <x:c r="A323" s="60" t="n">
        <x:v>142</x:v>
      </x:c>
      <x:c r="B323" s="60">
        <x:f>IF(A323&lt;$E$32,ROUNDUP(ROUND($E$29*$E$30^A323,6),0),"")</x:f>
        <x:v>743818</x:v>
      </x:c>
      <x:c r="C323" s="60">
        <x:f>IF(A323&lt;=$E$32,C322+B322,"")</x:f>
        <x:v>10625320</x:v>
      </x:c>
      <x:c r="D323" s="78">
        <x:f>IF(A323&lt;=$E$32,$E$31^A323,"")</x:f>
        <x:v>33.326437063901871</x:v>
      </x:c>
      <x:c r="E323" s="60" t="str">
        <x:f>IF(A323&lt;$E$36,ROUNDUP(ROUND($E$33*$E$34^A323,6),0),"")</x:f>
        <x:v/>
      </x:c>
      <x:c r="F323" s="60" t="str">
        <x:f>IF(A323&lt;=$E$36,F322+E322,"")</x:f>
        <x:v/>
      </x:c>
      <x:c r="G323" s="78" t="str">
        <x:f>IF(A323&lt;=$E$36,$E$35^A323,"")</x:f>
        <x:v/>
      </x:c>
      <x:c r="H323" s="60" t="str">
        <x:f>IF(A323&lt;$E$40,ROUNDUP(ROUND($E$37*$E$38^A323,6),0),"")</x:f>
        <x:v/>
      </x:c>
      <x:c r="I323" s="60" t="str">
        <x:f>IF(A323&lt;=$E$40,I322+H322,"")</x:f>
        <x:v/>
      </x:c>
      <x:c r="J323" s="80" t="str">
        <x:f>IF(A323&lt;=$E$40,1+$E$39*A323,"")</x:f>
        <x:v/>
      </x:c>
      <x:c r="K323" s="60"/>
      <x:c r="L323" s="60"/>
      <x:c r="M323" s="60"/>
      <x:c r="N323" s="60"/>
      <x:c r="O323" s="60"/>
      <x:c r="P323" s="60"/>
    </x:row>
    <x:row r="324" ht="30" customHeight="1">
      <x:c r="A324" s="61" t="n">
        <x:v>143</x:v>
      </x:c>
      <x:c r="B324" s="61">
        <x:f>IF(A324&lt;$E$32,ROUNDUP(ROUND($E$29*$E$30^A324,6),0),"")</x:f>
        <x:v>795885</x:v>
      </x:c>
      <x:c r="C324" s="61">
        <x:f>IF(A324&lt;=$E$32,C323+B323,"")</x:f>
        <x:v>11369138</x:v>
      </x:c>
      <x:c r="D324" s="79">
        <x:f>IF(A324&lt;=$E$32,$E$31^A324,"")</x:f>
        <x:v>34.159597990499421</x:v>
      </x:c>
      <x:c r="E324" s="61" t="str">
        <x:f>IF(A324&lt;$E$36,ROUNDUP(ROUND($E$33*$E$34^A324,6),0),"")</x:f>
        <x:v/>
      </x:c>
      <x:c r="F324" s="61" t="str">
        <x:f>IF(A324&lt;=$E$36,F323+E323,"")</x:f>
        <x:v/>
      </x:c>
      <x:c r="G324" s="79" t="str">
        <x:f>IF(A324&lt;=$E$36,$E$35^A324,"")</x:f>
        <x:v/>
      </x:c>
      <x:c r="H324" s="61" t="str">
        <x:f>IF(A324&lt;$E$40,ROUNDUP(ROUND($E$37*$E$38^A324,6),0),"")</x:f>
        <x:v/>
      </x:c>
      <x:c r="I324" s="61" t="str">
        <x:f>IF(A324&lt;=$E$40,I323+H323,"")</x:f>
        <x:v/>
      </x:c>
      <x:c r="J324" s="81" t="str">
        <x:f>IF(A324&lt;=$E$40,1+$E$39*A324,"")</x:f>
        <x:v/>
      </x:c>
      <x:c r="K324" s="60"/>
      <x:c r="L324" s="60"/>
      <x:c r="M324" s="60"/>
      <x:c r="N324" s="60"/>
      <x:c r="O324" s="60"/>
      <x:c r="P324" s="60"/>
    </x:row>
    <x:row r="325" ht="30" customHeight="1">
      <x:c r="A325" s="60" t="n">
        <x:v>144</x:v>
      </x:c>
      <x:c r="B325" s="60">
        <x:f>IF(A325&lt;$E$32,ROUNDUP(ROUND($E$29*$E$30^A325,6),0),"")</x:f>
        <x:v>851597</x:v>
      </x:c>
      <x:c r="C325" s="60">
        <x:f>IF(A325&lt;=$E$32,C324+B324,"")</x:f>
        <x:v>12165023</x:v>
      </x:c>
      <x:c r="D325" s="78">
        <x:f>IF(A325&lt;=$E$32,$E$31^A325,"")</x:f>
        <x:v>35.013587940261907</x:v>
      </x:c>
      <x:c r="E325" s="60" t="str">
        <x:f>IF(A325&lt;$E$36,ROUNDUP(ROUND($E$33*$E$34^A325,6),0),"")</x:f>
        <x:v/>
      </x:c>
      <x:c r="F325" s="60" t="str">
        <x:f>IF(A325&lt;=$E$36,F324+E324,"")</x:f>
        <x:v/>
      </x:c>
      <x:c r="G325" s="78" t="str">
        <x:f>IF(A325&lt;=$E$36,$E$35^A325,"")</x:f>
        <x:v/>
      </x:c>
      <x:c r="H325" s="60" t="str">
        <x:f>IF(A325&lt;$E$40,ROUNDUP(ROUND($E$37*$E$38^A325,6),0),"")</x:f>
        <x:v/>
      </x:c>
      <x:c r="I325" s="60" t="str">
        <x:f>IF(A325&lt;=$E$40,I324+H324,"")</x:f>
        <x:v/>
      </x:c>
      <x:c r="J325" s="80" t="str">
        <x:f>IF(A325&lt;=$E$40,1+$E$39*A325,"")</x:f>
        <x:v/>
      </x:c>
      <x:c r="K325" s="60"/>
      <x:c r="L325" s="60"/>
      <x:c r="M325" s="60"/>
      <x:c r="N325" s="60"/>
      <x:c r="O325" s="60"/>
      <x:c r="P325" s="60"/>
    </x:row>
    <x:row r="326" ht="30" customHeight="1">
      <x:c r="A326" s="61" t="n">
        <x:v>145</x:v>
      </x:c>
      <x:c r="B326" s="61">
        <x:f>IF(A326&lt;$E$32,ROUNDUP(ROUND($E$29*$E$30^A326,6),0),"")</x:f>
        <x:v>911209</x:v>
      </x:c>
      <x:c r="C326" s="61">
        <x:f>IF(A326&lt;=$E$32,C325+B325,"")</x:f>
        <x:v>13016620</x:v>
      </x:c>
      <x:c r="D326" s="79">
        <x:f>IF(A326&lt;=$E$32,$E$31^A326,"")</x:f>
        <x:v>35.888927638768443</x:v>
      </x:c>
      <x:c r="E326" s="61" t="str">
        <x:f>IF(A326&lt;$E$36,ROUNDUP(ROUND($E$33*$E$34^A326,6),0),"")</x:f>
        <x:v/>
      </x:c>
      <x:c r="F326" s="61" t="str">
        <x:f>IF(A326&lt;=$E$36,F325+E325,"")</x:f>
        <x:v/>
      </x:c>
      <x:c r="G326" s="79" t="str">
        <x:f>IF(A326&lt;=$E$36,$E$35^A326,"")</x:f>
        <x:v/>
      </x:c>
      <x:c r="H326" s="61" t="str">
        <x:f>IF(A326&lt;$E$40,ROUNDUP(ROUND($E$37*$E$38^A326,6),0),"")</x:f>
        <x:v/>
      </x:c>
      <x:c r="I326" s="61" t="str">
        <x:f>IF(A326&lt;=$E$40,I325+H325,"")</x:f>
        <x:v/>
      </x:c>
      <x:c r="J326" s="81" t="str">
        <x:f>IF(A326&lt;=$E$40,1+$E$39*A326,"")</x:f>
        <x:v/>
      </x:c>
      <x:c r="K326" s="60"/>
      <x:c r="L326" s="60"/>
      <x:c r="M326" s="60"/>
      <x:c r="N326" s="60"/>
      <x:c r="O326" s="60"/>
      <x:c r="P326" s="60"/>
    </x:row>
    <x:row r="327" ht="30" customHeight="1">
      <x:c r="A327" s="60" t="n">
        <x:v>146</x:v>
      </x:c>
      <x:c r="B327" s="60">
        <x:f>IF(A327&lt;$E$32,ROUNDUP(ROUND($E$29*$E$30^A327,6),0),"")</x:f>
        <x:v>974994</x:v>
      </x:c>
      <x:c r="C327" s="60">
        <x:f>IF(A327&lt;=$E$32,C326+B326,"")</x:f>
        <x:v>13927829</x:v>
      </x:c>
      <x:c r="D327" s="78">
        <x:f>IF(A327&lt;=$E$32,$E$31^A327,"")</x:f>
        <x:v>36.786150829737657</x:v>
      </x:c>
      <x:c r="E327" s="60" t="str">
        <x:f>IF(A327&lt;$E$36,ROUNDUP(ROUND($E$33*$E$34^A327,6),0),"")</x:f>
        <x:v/>
      </x:c>
      <x:c r="F327" s="60" t="str">
        <x:f>IF(A327&lt;=$E$36,F326+E326,"")</x:f>
        <x:v/>
      </x:c>
      <x:c r="G327" s="78" t="str">
        <x:f>IF(A327&lt;=$E$36,$E$35^A327,"")</x:f>
        <x:v/>
      </x:c>
      <x:c r="H327" s="60" t="str">
        <x:f>IF(A327&lt;$E$40,ROUNDUP(ROUND($E$37*$E$38^A327,6),0),"")</x:f>
        <x:v/>
      </x:c>
      <x:c r="I327" s="60" t="str">
        <x:f>IF(A327&lt;=$E$40,I326+H326,"")</x:f>
        <x:v/>
      </x:c>
      <x:c r="J327" s="80" t="str">
        <x:f>IF(A327&lt;=$E$40,1+$E$39*A327,"")</x:f>
        <x:v/>
      </x:c>
      <x:c r="K327" s="60"/>
      <x:c r="L327" s="60"/>
      <x:c r="M327" s="60"/>
      <x:c r="N327" s="60"/>
      <x:c r="O327" s="60"/>
      <x:c r="P327" s="60"/>
    </x:row>
    <x:row r="328" ht="30" customHeight="1">
      <x:c r="A328" s="61" t="n">
        <x:v>147</x:v>
      </x:c>
      <x:c r="B328" s="61">
        <x:f>IF(A328&lt;$E$32,ROUNDUP(ROUND($E$29*$E$30^A328,6),0),"")</x:f>
        <x:v>1043243</x:v>
      </x:c>
      <x:c r="C328" s="61">
        <x:f>IF(A328&lt;=$E$32,C327+B327,"")</x:f>
        <x:v>14902823</x:v>
      </x:c>
      <x:c r="D328" s="79">
        <x:f>IF(A328&lt;=$E$32,$E$31^A328,"")</x:f>
        <x:v>37.705804600481102</x:v>
      </x:c>
      <x:c r="E328" s="61" t="str">
        <x:f>IF(A328&lt;$E$36,ROUNDUP(ROUND($E$33*$E$34^A328,6),0),"")</x:f>
        <x:v/>
      </x:c>
      <x:c r="F328" s="61" t="str">
        <x:f>IF(A328&lt;=$E$36,F327+E327,"")</x:f>
        <x:v/>
      </x:c>
      <x:c r="G328" s="79" t="str">
        <x:f>IF(A328&lt;=$E$36,$E$35^A328,"")</x:f>
        <x:v/>
      </x:c>
      <x:c r="H328" s="61" t="str">
        <x:f>IF(A328&lt;$E$40,ROUNDUP(ROUND($E$37*$E$38^A328,6),0),"")</x:f>
        <x:v/>
      </x:c>
      <x:c r="I328" s="61" t="str">
        <x:f>IF(A328&lt;=$E$40,I327+H327,"")</x:f>
        <x:v/>
      </x:c>
      <x:c r="J328" s="81" t="str">
        <x:f>IF(A328&lt;=$E$40,1+$E$39*A328,"")</x:f>
        <x:v/>
      </x:c>
      <x:c r="K328" s="60"/>
      <x:c r="L328" s="60"/>
      <x:c r="M328" s="60"/>
      <x:c r="N328" s="60"/>
      <x:c r="O328" s="60"/>
      <x:c r="P328" s="60"/>
    </x:row>
    <x:row r="329" ht="30" customHeight="1">
      <x:c r="A329" s="60" t="n">
        <x:v>148</x:v>
      </x:c>
      <x:c r="B329" s="60">
        <x:f>IF(A329&lt;$E$32,ROUNDUP(ROUND($E$29*$E$30^A329,6),0),"")</x:f>
        <x:v>1116270</x:v>
      </x:c>
      <x:c r="C329" s="60">
        <x:f>IF(A329&lt;=$E$32,C328+B328,"")</x:f>
        <x:v>15946066</x:v>
      </x:c>
      <x:c r="D329" s="78">
        <x:f>IF(A329&lt;=$E$32,$E$31^A329,"")</x:f>
        <x:v>38.648449715493122</x:v>
      </x:c>
      <x:c r="E329" s="60" t="str">
        <x:f>IF(A329&lt;$E$36,ROUNDUP(ROUND($E$33*$E$34^A329,6),0),"")</x:f>
        <x:v/>
      </x:c>
      <x:c r="F329" s="60" t="str">
        <x:f>IF(A329&lt;=$E$36,F328+E328,"")</x:f>
        <x:v/>
      </x:c>
      <x:c r="G329" s="78" t="str">
        <x:f>IF(A329&lt;=$E$36,$E$35^A329,"")</x:f>
        <x:v/>
      </x:c>
      <x:c r="H329" s="60" t="str">
        <x:f>IF(A329&lt;$E$40,ROUNDUP(ROUND($E$37*$E$38^A329,6),0),"")</x:f>
        <x:v/>
      </x:c>
      <x:c r="I329" s="60" t="str">
        <x:f>IF(A329&lt;=$E$40,I328+H328,"")</x:f>
        <x:v/>
      </x:c>
      <x:c r="J329" s="80" t="str">
        <x:f>IF(A329&lt;=$E$40,1+$E$39*A329,"")</x:f>
        <x:v/>
      </x:c>
      <x:c r="K329" s="60"/>
      <x:c r="L329" s="60"/>
      <x:c r="M329" s="60"/>
      <x:c r="N329" s="60"/>
      <x:c r="O329" s="60"/>
      <x:c r="P329" s="60"/>
    </x:row>
    <x:row r="330" ht="30" customHeight="1">
      <x:c r="A330" s="61" t="n">
        <x:v>149</x:v>
      </x:c>
      <x:c r="B330" s="61">
        <x:f>IF(A330&lt;$E$32,ROUNDUP(ROUND($E$29*$E$30^A330,6),0),"")</x:f>
        <x:v>1194409</x:v>
      </x:c>
      <x:c r="C330" s="61">
        <x:f>IF(A330&lt;=$E$32,C329+B329,"")</x:f>
        <x:v>17062336</x:v>
      </x:c>
      <x:c r="D330" s="79">
        <x:f>IF(A330&lt;=$E$32,$E$31^A330,"")</x:f>
        <x:v>39.614660958380448</x:v>
      </x:c>
      <x:c r="E330" s="61" t="str">
        <x:f>IF(A330&lt;$E$36,ROUNDUP(ROUND($E$33*$E$34^A330,6),0),"")</x:f>
        <x:v/>
      </x:c>
      <x:c r="F330" s="61" t="str">
        <x:f>IF(A330&lt;=$E$36,F329+E329,"")</x:f>
        <x:v/>
      </x:c>
      <x:c r="G330" s="79" t="str">
        <x:f>IF(A330&lt;=$E$36,$E$35^A330,"")</x:f>
        <x:v/>
      </x:c>
      <x:c r="H330" s="61" t="str">
        <x:f>IF(A330&lt;$E$40,ROUNDUP(ROUND($E$37*$E$38^A330,6),0),"")</x:f>
        <x:v/>
      </x:c>
      <x:c r="I330" s="61" t="str">
        <x:f>IF(A330&lt;=$E$40,I329+H329,"")</x:f>
        <x:v/>
      </x:c>
      <x:c r="J330" s="81" t="str">
        <x:f>IF(A330&lt;=$E$40,1+$E$39*A330,"")</x:f>
        <x:v/>
      </x:c>
      <x:c r="K330" s="60"/>
      <x:c r="L330" s="60"/>
      <x:c r="M330" s="60"/>
      <x:c r="N330" s="60"/>
      <x:c r="O330" s="60"/>
      <x:c r="P330" s="60"/>
    </x:row>
    <x:row r="331" ht="30" customHeight="1">
      <x:c r="A331" s="60" t="n">
        <x:v>150</x:v>
      </x:c>
      <x:c r="B331" s="60">
        <x:f>IF(A331&lt;$E$32,ROUNDUP(ROUND($E$29*$E$30^A331,6),0),"")</x:f>
        <x:v>1278018</x:v>
      </x:c>
      <x:c r="C331" s="60">
        <x:f>IF(A331&lt;=$E$32,C330+B330,"")</x:f>
        <x:v>18256745</x:v>
      </x:c>
      <x:c r="D331" s="78">
        <x:f>IF(A331&lt;=$E$32,$E$31^A331,"")</x:f>
        <x:v>40.605027482339956</x:v>
      </x:c>
      <x:c r="E331" s="60" t="str">
        <x:f>IF(A331&lt;$E$36,ROUNDUP(ROUND($E$33*$E$34^A331,6),0),"")</x:f>
        <x:v/>
      </x:c>
      <x:c r="F331" s="60" t="str">
        <x:f>IF(A331&lt;=$E$36,F330+E330,"")</x:f>
        <x:v/>
      </x:c>
      <x:c r="G331" s="78" t="str">
        <x:f>IF(A331&lt;=$E$36,$E$35^A331,"")</x:f>
        <x:v/>
      </x:c>
      <x:c r="H331" s="60" t="str">
        <x:f>IF(A331&lt;$E$40,ROUNDUP(ROUND($E$37*$E$38^A331,6),0),"")</x:f>
        <x:v/>
      </x:c>
      <x:c r="I331" s="60" t="str">
        <x:f>IF(A331&lt;=$E$40,I330+H330,"")</x:f>
        <x:v/>
      </x:c>
      <x:c r="J331" s="80" t="str">
        <x:f>IF(A331&lt;=$E$40,1+$E$39*A331,"")</x:f>
        <x:v/>
      </x:c>
      <x:c r="K331" s="60"/>
      <x:c r="L331" s="60"/>
      <x:c r="M331" s="60"/>
      <x:c r="N331" s="60"/>
      <x:c r="O331" s="60"/>
      <x:c r="P331" s="60"/>
    </x:row>
    <x:row r="332" ht="30" customHeight="1">
      <x:c r="A332" s="61" t="n">
        <x:v>151</x:v>
      </x:c>
      <x:c r="B332" s="61">
        <x:f>IF(A332&lt;$E$32,ROUNDUP(ROUND($E$29*$E$30^A332,6),0),"")</x:f>
        <x:v>1367479</x:v>
      </x:c>
      <x:c r="C332" s="61">
        <x:f>IF(A332&lt;=$E$32,C331+B331,"")</x:f>
        <x:v>19534763</x:v>
      </x:c>
      <x:c r="D332" s="79">
        <x:f>IF(A332&lt;=$E$32,$E$31^A332,"")</x:f>
        <x:v>41.620153169398456</x:v>
      </x:c>
      <x:c r="E332" s="61" t="str">
        <x:f>IF(A332&lt;$E$36,ROUNDUP(ROUND($E$33*$E$34^A332,6),0),"")</x:f>
        <x:v/>
      </x:c>
      <x:c r="F332" s="61" t="str">
        <x:f>IF(A332&lt;=$E$36,F331+E331,"")</x:f>
        <x:v/>
      </x:c>
      <x:c r="G332" s="79" t="str">
        <x:f>IF(A332&lt;=$E$36,$E$35^A332,"")</x:f>
        <x:v/>
      </x:c>
      <x:c r="H332" s="61" t="str">
        <x:f>IF(A332&lt;$E$40,ROUNDUP(ROUND($E$37*$E$38^A332,6),0),"")</x:f>
        <x:v/>
      </x:c>
      <x:c r="I332" s="61" t="str">
        <x:f>IF(A332&lt;=$E$40,I331+H331,"")</x:f>
        <x:v/>
      </x:c>
      <x:c r="J332" s="81" t="str">
        <x:f>IF(A332&lt;=$E$40,1+$E$39*A332,"")</x:f>
        <x:v/>
      </x:c>
      <x:c r="K332" s="60"/>
      <x:c r="L332" s="60"/>
      <x:c r="M332" s="60"/>
      <x:c r="N332" s="60"/>
      <x:c r="O332" s="60"/>
      <x:c r="P332" s="60"/>
    </x:row>
    <x:row r="333" ht="30" customHeight="1">
      <x:c r="A333" s="60" t="n">
        <x:v>152</x:v>
      </x:c>
      <x:c r="B333" s="60">
        <x:f>IF(A333&lt;$E$32,ROUNDUP(ROUND($E$29*$E$30^A333,6),0),"")</x:f>
        <x:v>1463202</x:v>
      </x:c>
      <x:c r="C333" s="60">
        <x:f>IF(A333&lt;=$E$32,C332+B332,"")</x:f>
        <x:v>20902242</x:v>
      </x:c>
      <x:c r="D333" s="78">
        <x:f>IF(A333&lt;=$E$32,$E$31^A333,"")</x:f>
        <x:v>42.660656998633414</x:v>
      </x:c>
      <x:c r="E333" s="60" t="str">
        <x:f>IF(A333&lt;$E$36,ROUNDUP(ROUND($E$33*$E$34^A333,6),0),"")</x:f>
        <x:v/>
      </x:c>
      <x:c r="F333" s="60" t="str">
        <x:f>IF(A333&lt;=$E$36,F332+E332,"")</x:f>
        <x:v/>
      </x:c>
      <x:c r="G333" s="78" t="str">
        <x:f>IF(A333&lt;=$E$36,$E$35^A333,"")</x:f>
        <x:v/>
      </x:c>
      <x:c r="H333" s="60" t="str">
        <x:f>IF(A333&lt;$E$40,ROUNDUP(ROUND($E$37*$E$38^A333,6),0),"")</x:f>
        <x:v/>
      </x:c>
      <x:c r="I333" s="60" t="str">
        <x:f>IF(A333&lt;=$E$40,I332+H332,"")</x:f>
        <x:v/>
      </x:c>
      <x:c r="J333" s="80" t="str">
        <x:f>IF(A333&lt;=$E$40,1+$E$39*A333,"")</x:f>
        <x:v/>
      </x:c>
      <x:c r="K333" s="60"/>
      <x:c r="L333" s="60"/>
      <x:c r="M333" s="60"/>
      <x:c r="N333" s="60"/>
      <x:c r="O333" s="60"/>
      <x:c r="P333" s="60"/>
    </x:row>
    <x:row r="334" ht="30" customHeight="1">
      <x:c r="A334" s="61" t="n">
        <x:v>153</x:v>
      </x:c>
      <x:c r="B334" s="61">
        <x:f>IF(A334&lt;$E$32,ROUNDUP(ROUND($E$29*$E$30^A334,6),0),"")</x:f>
        <x:v>1565626</x:v>
      </x:c>
      <x:c r="C334" s="61">
        <x:f>IF(A334&lt;=$E$32,C333+B333,"")</x:f>
        <x:v>22365444</x:v>
      </x:c>
      <x:c r="D334" s="79">
        <x:f>IF(A334&lt;=$E$32,$E$31^A334,"")</x:f>
        <x:v>43.727173423599247</x:v>
      </x:c>
      <x:c r="E334" s="61" t="str">
        <x:f>IF(A334&lt;$E$36,ROUNDUP(ROUND($E$33*$E$34^A334,6),0),"")</x:f>
        <x:v/>
      </x:c>
      <x:c r="F334" s="61" t="str">
        <x:f>IF(A334&lt;=$E$36,F333+E333,"")</x:f>
        <x:v/>
      </x:c>
      <x:c r="G334" s="79" t="str">
        <x:f>IF(A334&lt;=$E$36,$E$35^A334,"")</x:f>
        <x:v/>
      </x:c>
      <x:c r="H334" s="61" t="str">
        <x:f>IF(A334&lt;$E$40,ROUNDUP(ROUND($E$37*$E$38^A334,6),0),"")</x:f>
        <x:v/>
      </x:c>
      <x:c r="I334" s="61" t="str">
        <x:f>IF(A334&lt;=$E$40,I333+H333,"")</x:f>
        <x:v/>
      </x:c>
      <x:c r="J334" s="81" t="str">
        <x:f>IF(A334&lt;=$E$40,1+$E$39*A334,"")</x:f>
        <x:v/>
      </x:c>
      <x:c r="K334" s="60"/>
      <x:c r="L334" s="60"/>
      <x:c r="M334" s="60"/>
      <x:c r="N334" s="60"/>
      <x:c r="O334" s="60"/>
      <x:c r="P334" s="60"/>
    </x:row>
    <x:row r="335" ht="30" customHeight="1">
      <x:c r="A335" s="60" t="n">
        <x:v>154</x:v>
      </x:c>
      <x:c r="B335" s="60">
        <x:f>IF(A335&lt;$E$32,ROUNDUP(ROUND($E$29*$E$30^A335,6),0),"")</x:f>
        <x:v>1675220</x:v>
      </x:c>
      <x:c r="C335" s="60">
        <x:f>IF(A335&lt;=$E$32,C334+B334,"")</x:f>
        <x:v>23931070</x:v>
      </x:c>
      <x:c r="D335" s="78">
        <x:f>IF(A335&lt;=$E$32,$E$31^A335,"")</x:f>
        <x:v>44.82035275918922</x:v>
      </x:c>
      <x:c r="E335" s="60" t="str">
        <x:f>IF(A335&lt;$E$36,ROUNDUP(ROUND($E$33*$E$34^A335,6),0),"")</x:f>
        <x:v/>
      </x:c>
      <x:c r="F335" s="60" t="str">
        <x:f>IF(A335&lt;=$E$36,F334+E334,"")</x:f>
        <x:v/>
      </x:c>
      <x:c r="G335" s="78" t="str">
        <x:f>IF(A335&lt;=$E$36,$E$35^A335,"")</x:f>
        <x:v/>
      </x:c>
      <x:c r="H335" s="60" t="str">
        <x:f>IF(A335&lt;$E$40,ROUNDUP(ROUND($E$37*$E$38^A335,6),0),"")</x:f>
        <x:v/>
      </x:c>
      <x:c r="I335" s="60" t="str">
        <x:f>IF(A335&lt;=$E$40,I334+H334,"")</x:f>
        <x:v/>
      </x:c>
      <x:c r="J335" s="80" t="str">
        <x:f>IF(A335&lt;=$E$40,1+$E$39*A335,"")</x:f>
        <x:v/>
      </x:c>
      <x:c r="K335" s="60"/>
      <x:c r="L335" s="60"/>
      <x:c r="M335" s="60"/>
      <x:c r="N335" s="60"/>
      <x:c r="O335" s="60"/>
      <x:c r="P335" s="60"/>
    </x:row>
    <x:row r="336" ht="30" customHeight="1">
      <x:c r="A336" s="61" t="n">
        <x:v>155</x:v>
      </x:c>
      <x:c r="B336" s="61">
        <x:f>IF(A336&lt;$E$32,ROUNDUP(ROUND($E$29*$E$30^A336,6),0),"")</x:f>
        <x:v>1792486</x:v>
      </x:c>
      <x:c r="C336" s="61">
        <x:f>IF(A336&lt;=$E$32,C335+B335,"")</x:f>
        <x:v>25606290</x:v>
      </x:c>
      <x:c r="D336" s="79">
        <x:f>IF(A336&lt;=$E$32,$E$31^A336,"")</x:f>
        <x:v>45.940861578168949</x:v>
      </x:c>
      <x:c r="E336" s="61" t="str">
        <x:f>IF(A336&lt;$E$36,ROUNDUP(ROUND($E$33*$E$34^A336,6),0),"")</x:f>
        <x:v/>
      </x:c>
      <x:c r="F336" s="61" t="str">
        <x:f>IF(A336&lt;=$E$36,F335+E335,"")</x:f>
        <x:v/>
      </x:c>
      <x:c r="G336" s="79" t="str">
        <x:f>IF(A336&lt;=$E$36,$E$35^A336,"")</x:f>
        <x:v/>
      </x:c>
      <x:c r="H336" s="61" t="str">
        <x:f>IF(A336&lt;$E$40,ROUNDUP(ROUND($E$37*$E$38^A336,6),0),"")</x:f>
        <x:v/>
      </x:c>
      <x:c r="I336" s="61" t="str">
        <x:f>IF(A336&lt;=$E$40,I335+H335,"")</x:f>
        <x:v/>
      </x:c>
      <x:c r="J336" s="81" t="str">
        <x:f>IF(A336&lt;=$E$40,1+$E$39*A336,"")</x:f>
        <x:v/>
      </x:c>
      <x:c r="K336" s="60"/>
      <x:c r="L336" s="60"/>
      <x:c r="M336" s="60"/>
      <x:c r="N336" s="60"/>
      <x:c r="O336" s="60"/>
      <x:c r="P336" s="60"/>
    </x:row>
    <x:row r="337" ht="30" customHeight="1">
      <x:c r="A337" s="60" t="n">
        <x:v>156</x:v>
      </x:c>
      <x:c r="B337" s="60">
        <x:f>IF(A337&lt;$E$32,ROUNDUP(ROUND($E$29*$E$30^A337,6),0),"")</x:f>
        <x:v>1917960</x:v>
      </x:c>
      <x:c r="C337" s="60">
        <x:f>IF(A337&lt;=$E$32,C336+B336,"")</x:f>
        <x:v>27398776</x:v>
      </x:c>
      <x:c r="D337" s="78">
        <x:f>IF(A337&lt;=$E$32,$E$31^A337,"")</x:f>
        <x:v>47.089383117623171</x:v>
      </x:c>
      <x:c r="E337" s="60" t="str">
        <x:f>IF(A337&lt;$E$36,ROUNDUP(ROUND($E$33*$E$34^A337,6),0),"")</x:f>
        <x:v/>
      </x:c>
      <x:c r="F337" s="60" t="str">
        <x:f>IF(A337&lt;=$E$36,F336+E336,"")</x:f>
        <x:v/>
      </x:c>
      <x:c r="G337" s="78" t="str">
        <x:f>IF(A337&lt;=$E$36,$E$35^A337,"")</x:f>
        <x:v/>
      </x:c>
      <x:c r="H337" s="60" t="str">
        <x:f>IF(A337&lt;$E$40,ROUNDUP(ROUND($E$37*$E$38^A337,6),0),"")</x:f>
        <x:v/>
      </x:c>
      <x:c r="I337" s="60" t="str">
        <x:f>IF(A337&lt;=$E$40,I336+H336,"")</x:f>
        <x:v/>
      </x:c>
      <x:c r="J337" s="80" t="str">
        <x:f>IF(A337&lt;=$E$40,1+$E$39*A337,"")</x:f>
        <x:v/>
      </x:c>
      <x:c r="K337" s="60"/>
      <x:c r="L337" s="60"/>
      <x:c r="M337" s="60"/>
      <x:c r="N337" s="60"/>
      <x:c r="O337" s="60"/>
      <x:c r="P337" s="60"/>
    </x:row>
    <x:row r="338" ht="30" customHeight="1">
      <x:c r="A338" s="61" t="n">
        <x:v>157</x:v>
      </x:c>
      <x:c r="B338" s="61">
        <x:f>IF(A338&lt;$E$32,ROUNDUP(ROUND($E$29*$E$30^A338,6),0),"")</x:f>
        <x:v>2052217</x:v>
      </x:c>
      <x:c r="C338" s="61">
        <x:f>IF(A338&lt;=$E$32,C337+B337,"")</x:f>
        <x:v>29316736</x:v>
      </x:c>
      <x:c r="D338" s="79">
        <x:f>IF(A338&lt;=$E$32,$E$31^A338,"")</x:f>
        <x:v>48.26661769556376</x:v>
      </x:c>
      <x:c r="E338" s="61" t="str">
        <x:f>IF(A338&lt;$E$36,ROUNDUP(ROUND($E$33*$E$34^A338,6),0),"")</x:f>
        <x:v/>
      </x:c>
      <x:c r="F338" s="61" t="str">
        <x:f>IF(A338&lt;=$E$36,F337+E337,"")</x:f>
        <x:v/>
      </x:c>
      <x:c r="G338" s="79" t="str">
        <x:f>IF(A338&lt;=$E$36,$E$35^A338,"")</x:f>
        <x:v/>
      </x:c>
      <x:c r="H338" s="61" t="str">
        <x:f>IF(A338&lt;$E$40,ROUNDUP(ROUND($E$37*$E$38^A338,6),0),"")</x:f>
        <x:v/>
      </x:c>
      <x:c r="I338" s="61" t="str">
        <x:f>IF(A338&lt;=$E$40,I337+H337,"")</x:f>
        <x:v/>
      </x:c>
      <x:c r="J338" s="81" t="str">
        <x:f>IF(A338&lt;=$E$40,1+$E$39*A338,"")</x:f>
        <x:v/>
      </x:c>
      <x:c r="K338" s="60"/>
      <x:c r="L338" s="60"/>
      <x:c r="M338" s="60"/>
      <x:c r="N338" s="60"/>
      <x:c r="O338" s="60"/>
      <x:c r="P338" s="60"/>
    </x:row>
    <x:row r="339" ht="30" customHeight="1">
      <x:c r="A339" s="60" t="n">
        <x:v>158</x:v>
      </x:c>
      <x:c r="B339" s="60">
        <x:f>IF(A339&lt;$E$32,ROUNDUP(ROUND($E$29*$E$30^A339,6),0),"")</x:f>
        <x:v>2195872</x:v>
      </x:c>
      <x:c r="C339" s="60">
        <x:f>IF(A339&lt;=$E$32,C338+B338,"")</x:f>
        <x:v>31368953</x:v>
      </x:c>
      <x:c r="D339" s="78">
        <x:f>IF(A339&lt;=$E$32,$E$31^A339,"")</x:f>
        <x:v>49.473283137952841</x:v>
      </x:c>
      <x:c r="E339" s="60" t="str">
        <x:f>IF(A339&lt;$E$36,ROUNDUP(ROUND($E$33*$E$34^A339,6),0),"")</x:f>
        <x:v/>
      </x:c>
      <x:c r="F339" s="60" t="str">
        <x:f>IF(A339&lt;=$E$36,F338+E338,"")</x:f>
        <x:v/>
      </x:c>
      <x:c r="G339" s="78" t="str">
        <x:f>IF(A339&lt;=$E$36,$E$35^A339,"")</x:f>
        <x:v/>
      </x:c>
      <x:c r="H339" s="60" t="str">
        <x:f>IF(A339&lt;$E$40,ROUNDUP(ROUND($E$37*$E$38^A339,6),0),"")</x:f>
        <x:v/>
      </x:c>
      <x:c r="I339" s="60" t="str">
        <x:f>IF(A339&lt;=$E$40,I338+H338,"")</x:f>
        <x:v/>
      </x:c>
      <x:c r="J339" s="80" t="str">
        <x:f>IF(A339&lt;=$E$40,1+$E$39*A339,"")</x:f>
        <x:v/>
      </x:c>
      <x:c r="K339" s="60"/>
      <x:c r="L339" s="60"/>
      <x:c r="M339" s="60"/>
      <x:c r="N339" s="60"/>
      <x:c r="O339" s="60"/>
      <x:c r="P339" s="60"/>
    </x:row>
    <x:row r="340" ht="30" customHeight="1">
      <x:c r="A340" s="61" t="n">
        <x:v>159</x:v>
      </x:c>
      <x:c r="B340" s="61">
        <x:f>IF(A340&lt;$E$32,ROUNDUP(ROUND($E$29*$E$30^A340,6),0),"")</x:f>
        <x:v>2349583</x:v>
      </x:c>
      <x:c r="C340" s="61">
        <x:f>IF(A340&lt;=$E$32,C339+B339,"")</x:f>
        <x:v>33564825</x:v>
      </x:c>
      <x:c r="D340" s="79">
        <x:f>IF(A340&lt;=$E$32,$E$31^A340,"")</x:f>
        <x:v>50.710115216401675</x:v>
      </x:c>
      <x:c r="E340" s="61" t="str">
        <x:f>IF(A340&lt;$E$36,ROUNDUP(ROUND($E$33*$E$34^A340,6),0),"")</x:f>
        <x:v/>
      </x:c>
      <x:c r="F340" s="61" t="str">
        <x:f>IF(A340&lt;=$E$36,F339+E339,"")</x:f>
        <x:v/>
      </x:c>
      <x:c r="G340" s="79" t="str">
        <x:f>IF(A340&lt;=$E$36,$E$35^A340,"")</x:f>
        <x:v/>
      </x:c>
      <x:c r="H340" s="61" t="str">
        <x:f>IF(A340&lt;$E$40,ROUNDUP(ROUND($E$37*$E$38^A340,6),0),"")</x:f>
        <x:v/>
      </x:c>
      <x:c r="I340" s="61" t="str">
        <x:f>IF(A340&lt;=$E$40,I339+H339,"")</x:f>
        <x:v/>
      </x:c>
      <x:c r="J340" s="81" t="str">
        <x:f>IF(A340&lt;=$E$40,1+$E$39*A340,"")</x:f>
        <x:v/>
      </x:c>
      <x:c r="K340" s="60"/>
      <x:c r="L340" s="60"/>
      <x:c r="M340" s="60"/>
      <x:c r="N340" s="60"/>
      <x:c r="O340" s="60"/>
      <x:c r="P340" s="60"/>
    </x:row>
    <x:row r="341" ht="30" customHeight="1">
      <x:c r="A341" s="60" t="n">
        <x:v>160</x:v>
      </x:c>
      <x:c r="B341" s="60">
        <x:f>IF(A341&lt;$E$32,ROUNDUP(ROUND($E$29*$E$30^A341,6),0),"")</x:f>
        <x:v>2514054</x:v>
      </x:c>
      <x:c r="C341" s="60">
        <x:f>IF(A341&lt;=$E$32,C340+B340,"")</x:f>
        <x:v>35914408</x:v>
      </x:c>
      <x:c r="D341" s="78">
        <x:f>IF(A341&lt;=$E$32,$E$31^A341,"")</x:f>
        <x:v>51.977868096811704</x:v>
      </x:c>
      <x:c r="E341" s="60" t="str">
        <x:f>IF(A341&lt;$E$36,ROUNDUP(ROUND($E$33*$E$34^A341,6),0),"")</x:f>
        <x:v/>
      </x:c>
      <x:c r="F341" s="60" t="str">
        <x:f>IF(A341&lt;=$E$36,F340+E340,"")</x:f>
        <x:v/>
      </x:c>
      <x:c r="G341" s="78" t="str">
        <x:f>IF(A341&lt;=$E$36,$E$35^A341,"")</x:f>
        <x:v/>
      </x:c>
      <x:c r="H341" s="60" t="str">
        <x:f>IF(A341&lt;$E$40,ROUNDUP(ROUND($E$37*$E$38^A341,6),0),"")</x:f>
        <x:v/>
      </x:c>
      <x:c r="I341" s="60" t="str">
        <x:f>IF(A341&lt;=$E$40,I340+H340,"")</x:f>
        <x:v/>
      </x:c>
      <x:c r="J341" s="80" t="str">
        <x:f>IF(A341&lt;=$E$40,1+$E$39*A341,"")</x:f>
        <x:v/>
      </x:c>
      <x:c r="K341" s="60"/>
      <x:c r="L341" s="60"/>
      <x:c r="M341" s="60"/>
      <x:c r="N341" s="60"/>
      <x:c r="O341" s="60"/>
      <x:c r="P341" s="60"/>
    </x:row>
    <x:row r="342" ht="30" customHeight="1">
      <x:c r="A342" s="61" t="n">
        <x:v>161</x:v>
      </x:c>
      <x:c r="B342" s="61">
        <x:f>IF(A342&lt;$E$32,ROUNDUP(ROUND($E$29*$E$30^A342,6),0),"")</x:f>
        <x:v>2690037</x:v>
      </x:c>
      <x:c r="C342" s="61">
        <x:f>IF(A342&lt;=$E$32,C341+B341,"")</x:f>
        <x:v>38428462</x:v>
      </x:c>
      <x:c r="D342" s="79">
        <x:f>IF(A342&lt;=$E$32,$E$31^A342,"")</x:f>
        <x:v>53.277314799231995</x:v>
      </x:c>
      <x:c r="E342" s="61" t="str">
        <x:f>IF(A342&lt;$E$36,ROUNDUP(ROUND($E$33*$E$34^A342,6),0),"")</x:f>
        <x:v/>
      </x:c>
      <x:c r="F342" s="61" t="str">
        <x:f>IF(A342&lt;=$E$36,F341+E341,"")</x:f>
        <x:v/>
      </x:c>
      <x:c r="G342" s="79" t="str">
        <x:f>IF(A342&lt;=$E$36,$E$35^A342,"")</x:f>
        <x:v/>
      </x:c>
      <x:c r="H342" s="61" t="str">
        <x:f>IF(A342&lt;$E$40,ROUNDUP(ROUND($E$37*$E$38^A342,6),0),"")</x:f>
        <x:v/>
      </x:c>
      <x:c r="I342" s="61" t="str">
        <x:f>IF(A342&lt;=$E$40,I341+H341,"")</x:f>
        <x:v/>
      </x:c>
      <x:c r="J342" s="81" t="str">
        <x:f>IF(A342&lt;=$E$40,1+$E$39*A342,"")</x:f>
        <x:v/>
      </x:c>
      <x:c r="K342" s="60"/>
      <x:c r="L342" s="60"/>
      <x:c r="M342" s="60"/>
      <x:c r="N342" s="60"/>
      <x:c r="O342" s="60"/>
      <x:c r="P342" s="60"/>
    </x:row>
    <x:row r="343" ht="30" customHeight="1">
      <x:c r="A343" s="60" t="n">
        <x:v>162</x:v>
      </x:c>
      <x:c r="B343" s="60">
        <x:f>IF(A343&lt;$E$32,ROUNDUP(ROUND($E$29*$E$30^A343,6),0),"")</x:f>
        <x:v>2878340</x:v>
      </x:c>
      <x:c r="C343" s="60">
        <x:f>IF(A343&lt;=$E$32,C342+B342,"")</x:f>
        <x:v>41118499</x:v>
      </x:c>
      <x:c r="D343" s="78">
        <x:f>IF(A343&lt;=$E$32,$E$31^A343,"")</x:f>
        <x:v>54.609247669212792</x:v>
      </x:c>
      <x:c r="E343" s="60" t="str">
        <x:f>IF(A343&lt;$E$36,ROUNDUP(ROUND($E$33*$E$34^A343,6),0),"")</x:f>
        <x:v/>
      </x:c>
      <x:c r="F343" s="60" t="str">
        <x:f>IF(A343&lt;=$E$36,F342+E342,"")</x:f>
        <x:v/>
      </x:c>
      <x:c r="G343" s="78" t="str">
        <x:f>IF(A343&lt;=$E$36,$E$35^A343,"")</x:f>
        <x:v/>
      </x:c>
      <x:c r="H343" s="60" t="str">
        <x:f>IF(A343&lt;$E$40,ROUNDUP(ROUND($E$37*$E$38^A343,6),0),"")</x:f>
        <x:v/>
      </x:c>
      <x:c r="I343" s="60" t="str">
        <x:f>IF(A343&lt;=$E$40,I342+H342,"")</x:f>
        <x:v/>
      </x:c>
      <x:c r="J343" s="80" t="str">
        <x:f>IF(A343&lt;=$E$40,1+$E$39*A343,"")</x:f>
        <x:v/>
      </x:c>
      <x:c r="K343" s="60"/>
      <x:c r="L343" s="60"/>
      <x:c r="M343" s="60"/>
      <x:c r="N343" s="60"/>
      <x:c r="O343" s="60"/>
      <x:c r="P343" s="60"/>
    </x:row>
    <x:row r="344" ht="30" customHeight="1">
      <x:c r="A344" s="61" t="n">
        <x:v>163</x:v>
      </x:c>
      <x:c r="B344" s="61">
        <x:f>IF(A344&lt;$E$32,ROUNDUP(ROUND($E$29*$E$30^A344,6),0),"")</x:f>
        <x:v>3079824</x:v>
      </x:c>
      <x:c r="C344" s="61">
        <x:f>IF(A344&lt;=$E$32,C343+B343,"")</x:f>
        <x:v>43996839</x:v>
      </x:c>
      <x:c r="D344" s="79">
        <x:f>IF(A344&lt;=$E$32,$E$31^A344,"")</x:f>
        <x:v>55.974478860943108</x:v>
      </x:c>
      <x:c r="E344" s="61" t="str">
        <x:f>IF(A344&lt;$E$36,ROUNDUP(ROUND($E$33*$E$34^A344,6),0),"")</x:f>
        <x:v/>
      </x:c>
      <x:c r="F344" s="61" t="str">
        <x:f>IF(A344&lt;=$E$36,F343+E343,"")</x:f>
        <x:v/>
      </x:c>
      <x:c r="G344" s="79" t="str">
        <x:f>IF(A344&lt;=$E$36,$E$35^A344,"")</x:f>
        <x:v/>
      </x:c>
      <x:c r="H344" s="61" t="str">
        <x:f>IF(A344&lt;$E$40,ROUNDUP(ROUND($E$37*$E$38^A344,6),0),"")</x:f>
        <x:v/>
      </x:c>
      <x:c r="I344" s="61" t="str">
        <x:f>IF(A344&lt;=$E$40,I343+H343,"")</x:f>
        <x:v/>
      </x:c>
      <x:c r="J344" s="81" t="str">
        <x:f>IF(A344&lt;=$E$40,1+$E$39*A344,"")</x:f>
        <x:v/>
      </x:c>
      <x:c r="K344" s="60"/>
      <x:c r="L344" s="60"/>
      <x:c r="M344" s="60"/>
      <x:c r="N344" s="60"/>
      <x:c r="O344" s="60"/>
      <x:c r="P344" s="60"/>
    </x:row>
    <x:row r="345" ht="30" customHeight="1">
      <x:c r="A345" s="60" t="n">
        <x:v>164</x:v>
      </x:c>
      <x:c r="B345" s="60">
        <x:f>IF(A345&lt;$E$32,ROUNDUP(ROUND($E$29*$E$30^A345,6),0),"")</x:f>
        <x:v>3295411</x:v>
      </x:c>
      <x:c r="C345" s="60">
        <x:f>IF(A345&lt;=$E$32,C344+B344,"")</x:f>
        <x:v>47076663</x:v>
      </x:c>
      <x:c r="D345" s="78">
        <x:f>IF(A345&lt;=$E$32,$E$31^A345,"")</x:f>
        <x:v>57.373840832466691</x:v>
      </x:c>
      <x:c r="E345" s="60" t="str">
        <x:f>IF(A345&lt;$E$36,ROUNDUP(ROUND($E$33*$E$34^A345,6),0),"")</x:f>
        <x:v/>
      </x:c>
      <x:c r="F345" s="60" t="str">
        <x:f>IF(A345&lt;=$E$36,F344+E344,"")</x:f>
        <x:v/>
      </x:c>
      <x:c r="G345" s="78" t="str">
        <x:f>IF(A345&lt;=$E$36,$E$35^A345,"")</x:f>
        <x:v/>
      </x:c>
      <x:c r="H345" s="60" t="str">
        <x:f>IF(A345&lt;$E$40,ROUNDUP(ROUND($E$37*$E$38^A345,6),0),"")</x:f>
        <x:v/>
      </x:c>
      <x:c r="I345" s="60" t="str">
        <x:f>IF(A345&lt;=$E$40,I344+H344,"")</x:f>
        <x:v/>
      </x:c>
      <x:c r="J345" s="80" t="str">
        <x:f>IF(A345&lt;=$E$40,1+$E$39*A345,"")</x:f>
        <x:v/>
      </x:c>
      <x:c r="K345" s="60"/>
      <x:c r="L345" s="60"/>
      <x:c r="M345" s="60"/>
      <x:c r="N345" s="60"/>
      <x:c r="O345" s="60"/>
      <x:c r="P345" s="60"/>
    </x:row>
    <x:row r="346" ht="30" customHeight="1">
      <x:c r="A346" s="61" t="n">
        <x:v>165</x:v>
      </x:c>
      <x:c r="B346" s="61">
        <x:f>IF(A346&lt;$E$32,ROUNDUP(ROUND($E$29*$E$30^A346,6),0),"")</x:f>
        <x:v>3526090</x:v>
      </x:c>
      <x:c r="C346" s="61">
        <x:f>IF(A346&lt;=$E$32,C345+B345,"")</x:f>
        <x:v>50372074</x:v>
      </x:c>
      <x:c r="D346" s="79">
        <x:f>IF(A346&lt;=$E$32,$E$31^A346,"")</x:f>
        <x:v>58.80818685327835</x:v>
      </x:c>
      <x:c r="E346" s="61" t="str">
        <x:f>IF(A346&lt;$E$36,ROUNDUP(ROUND($E$33*$E$34^A346,6),0),"")</x:f>
        <x:v/>
      </x:c>
      <x:c r="F346" s="61" t="str">
        <x:f>IF(A346&lt;=$E$36,F345+E345,"")</x:f>
        <x:v/>
      </x:c>
      <x:c r="G346" s="79" t="str">
        <x:f>IF(A346&lt;=$E$36,$E$35^A346,"")</x:f>
        <x:v/>
      </x:c>
      <x:c r="H346" s="61" t="str">
        <x:f>IF(A346&lt;$E$40,ROUNDUP(ROUND($E$37*$E$38^A346,6),0),"")</x:f>
        <x:v/>
      </x:c>
      <x:c r="I346" s="61" t="str">
        <x:f>IF(A346&lt;=$E$40,I345+H345,"")</x:f>
        <x:v/>
      </x:c>
      <x:c r="J346" s="81" t="str">
        <x:f>IF(A346&lt;=$E$40,1+$E$39*A346,"")</x:f>
        <x:v/>
      </x:c>
      <x:c r="K346" s="60"/>
      <x:c r="L346" s="60"/>
      <x:c r="M346" s="60"/>
      <x:c r="N346" s="60"/>
      <x:c r="O346" s="60"/>
      <x:c r="P346" s="60"/>
    </x:row>
    <x:row r="347" ht="30" customHeight="1">
      <x:c r="A347" s="60" t="n">
        <x:v>166</x:v>
      </x:c>
      <x:c r="B347" s="60">
        <x:f>IF(A347&lt;$E$32,ROUNDUP(ROUND($E$29*$E$30^A347,6),0),"")</x:f>
        <x:v>3772916</x:v>
      </x:c>
      <x:c r="C347" s="60">
        <x:f>IF(A347&lt;=$E$32,C346+B346,"")</x:f>
        <x:v>53898164</x:v>
      </x:c>
      <x:c r="D347" s="78">
        <x:f>IF(A347&lt;=$E$32,$E$31^A347,"")</x:f>
        <x:v>60.278391524610292</x:v>
      </x:c>
      <x:c r="E347" s="60" t="str">
        <x:f>IF(A347&lt;$E$36,ROUNDUP(ROUND($E$33*$E$34^A347,6),0),"")</x:f>
        <x:v/>
      </x:c>
      <x:c r="F347" s="60" t="str">
        <x:f>IF(A347&lt;=$E$36,F346+E346,"")</x:f>
        <x:v/>
      </x:c>
      <x:c r="G347" s="78" t="str">
        <x:f>IF(A347&lt;=$E$36,$E$35^A347,"")</x:f>
        <x:v/>
      </x:c>
      <x:c r="H347" s="60" t="str">
        <x:f>IF(A347&lt;$E$40,ROUNDUP(ROUND($E$37*$E$38^A347,6),0),"")</x:f>
        <x:v/>
      </x:c>
      <x:c r="I347" s="60" t="str">
        <x:f>IF(A347&lt;=$E$40,I346+H346,"")</x:f>
        <x:v/>
      </x:c>
      <x:c r="J347" s="80" t="str">
        <x:f>IF(A347&lt;=$E$40,1+$E$39*A347,"")</x:f>
        <x:v/>
      </x:c>
      <x:c r="K347" s="60"/>
      <x:c r="L347" s="60"/>
      <x:c r="M347" s="60"/>
      <x:c r="N347" s="60"/>
      <x:c r="O347" s="60"/>
      <x:c r="P347" s="60"/>
    </x:row>
    <x:row r="348" ht="30" customHeight="1">
      <x:c r="A348" s="61" t="n">
        <x:v>167</x:v>
      </x:c>
      <x:c r="B348" s="61">
        <x:f>IF(A348&lt;$E$32,ROUNDUP(ROUND($E$29*$E$30^A348,6),0),"")</x:f>
        <x:v>4037020</x:v>
      </x:c>
      <x:c r="C348" s="61">
        <x:f>IF(A348&lt;=$E$32,C347+B347,"")</x:f>
        <x:v>57671080</x:v>
      </x:c>
      <x:c r="D348" s="79">
        <x:f>IF(A348&lt;=$E$32,$E$31^A348,"")</x:f>
        <x:v>61.785351312725552</x:v>
      </x:c>
      <x:c r="E348" s="61" t="str">
        <x:f>IF(A348&lt;$E$36,ROUNDUP(ROUND($E$33*$E$34^A348,6),0),"")</x:f>
        <x:v/>
      </x:c>
      <x:c r="F348" s="61" t="str">
        <x:f>IF(A348&lt;=$E$36,F347+E347,"")</x:f>
        <x:v/>
      </x:c>
      <x:c r="G348" s="79" t="str">
        <x:f>IF(A348&lt;=$E$36,$E$35^A348,"")</x:f>
        <x:v/>
      </x:c>
      <x:c r="H348" s="61" t="str">
        <x:f>IF(A348&lt;$E$40,ROUNDUP(ROUND($E$37*$E$38^A348,6),0),"")</x:f>
        <x:v/>
      </x:c>
      <x:c r="I348" s="61" t="str">
        <x:f>IF(A348&lt;=$E$40,I347+H347,"")</x:f>
        <x:v/>
      </x:c>
      <x:c r="J348" s="81" t="str">
        <x:f>IF(A348&lt;=$E$40,1+$E$39*A348,"")</x:f>
        <x:v/>
      </x:c>
      <x:c r="K348" s="60"/>
      <x:c r="L348" s="60"/>
      <x:c r="M348" s="60"/>
      <x:c r="N348" s="60"/>
      <x:c r="O348" s="60"/>
      <x:c r="P348" s="60"/>
    </x:row>
    <x:row r="349" ht="30" customHeight="1">
      <x:c r="A349" s="60" t="n">
        <x:v>168</x:v>
      </x:c>
      <x:c r="B349" s="60">
        <x:f>IF(A349&lt;$E$32,ROUNDUP(ROUND($E$29*$E$30^A349,6),0),"")</x:f>
        <x:v>4319612</x:v>
      </x:c>
      <x:c r="C349" s="60">
        <x:f>IF(A349&lt;=$E$32,C348+B348,"")</x:f>
        <x:v>61708100</x:v>
      </x:c>
      <x:c r="D349" s="78">
        <x:f>IF(A349&lt;=$E$32,$E$31^A349,"")</x:f>
        <x:v>63.329985095543684</x:v>
      </x:c>
      <x:c r="E349" s="60" t="str">
        <x:f>IF(A349&lt;$E$36,ROUNDUP(ROUND($E$33*$E$34^A349,6),0),"")</x:f>
        <x:v/>
      </x:c>
      <x:c r="F349" s="60" t="str">
        <x:f>IF(A349&lt;=$E$36,F348+E348,"")</x:f>
        <x:v/>
      </x:c>
      <x:c r="G349" s="78" t="str">
        <x:f>IF(A349&lt;=$E$36,$E$35^A349,"")</x:f>
        <x:v/>
      </x:c>
      <x:c r="H349" s="60" t="str">
        <x:f>IF(A349&lt;$E$40,ROUNDUP(ROUND($E$37*$E$38^A349,6),0),"")</x:f>
        <x:v/>
      </x:c>
      <x:c r="I349" s="60" t="str">
        <x:f>IF(A349&lt;=$E$40,I348+H348,"")</x:f>
        <x:v/>
      </x:c>
      <x:c r="J349" s="80" t="str">
        <x:f>IF(A349&lt;=$E$40,1+$E$39*A349,"")</x:f>
        <x:v/>
      </x:c>
      <x:c r="K349" s="60"/>
      <x:c r="L349" s="60"/>
      <x:c r="M349" s="60"/>
      <x:c r="N349" s="60"/>
      <x:c r="O349" s="60"/>
      <x:c r="P349" s="60"/>
    </x:row>
    <x:row r="350" ht="30" customHeight="1">
      <x:c r="A350" s="61" t="n">
        <x:v>169</x:v>
      </x:c>
      <x:c r="B350" s="61">
        <x:f>IF(A350&lt;$E$32,ROUNDUP(ROUND($E$29*$E$30^A350,6),0),"")</x:f>
        <x:v>4621984</x:v>
      </x:c>
      <x:c r="C350" s="61">
        <x:f>IF(A350&lt;=$E$32,C349+B349,"")</x:f>
        <x:v>66027712</x:v>
      </x:c>
      <x:c r="D350" s="79">
        <x:f>IF(A350&lt;=$E$32,$E$31^A350,"")</x:f>
        <x:v>64.913234722932273</x:v>
      </x:c>
      <x:c r="E350" s="61" t="str">
        <x:f>IF(A350&lt;$E$36,ROUNDUP(ROUND($E$33*$E$34^A350,6),0),"")</x:f>
        <x:v/>
      </x:c>
      <x:c r="F350" s="61" t="str">
        <x:f>IF(A350&lt;=$E$36,F349+E349,"")</x:f>
        <x:v/>
      </x:c>
      <x:c r="G350" s="79" t="str">
        <x:f>IF(A350&lt;=$E$36,$E$35^A350,"")</x:f>
        <x:v/>
      </x:c>
      <x:c r="H350" s="61" t="str">
        <x:f>IF(A350&lt;$E$40,ROUNDUP(ROUND($E$37*$E$38^A350,6),0),"")</x:f>
        <x:v/>
      </x:c>
      <x:c r="I350" s="61" t="str">
        <x:f>IF(A350&lt;=$E$40,I349+H349,"")</x:f>
        <x:v/>
      </x:c>
      <x:c r="J350" s="81" t="str">
        <x:f>IF(A350&lt;=$E$40,1+$E$39*A350,"")</x:f>
        <x:v/>
      </x:c>
      <x:c r="K350" s="60"/>
      <x:c r="L350" s="60"/>
      <x:c r="M350" s="60"/>
      <x:c r="N350" s="60"/>
      <x:c r="O350" s="60"/>
      <x:c r="P350" s="60"/>
    </x:row>
    <x:row r="351" ht="30" customHeight="1">
      <x:c r="A351" s="60" t="n">
        <x:v>170</x:v>
      </x:c>
      <x:c r="B351" s="60">
        <x:f>IF(A351&lt;$E$32,ROUNDUP(ROUND($E$29*$E$30^A351,6),0),"")</x:f>
        <x:v>4945523</x:v>
      </x:c>
      <x:c r="C351" s="60">
        <x:f>IF(A351&lt;=$E$32,C350+B350,"")</x:f>
        <x:v>70649696</x:v>
      </x:c>
      <x:c r="D351" s="78">
        <x:f>IF(A351&lt;=$E$32,$E$31^A351,"")</x:f>
        <x:v>66.536065591005581</x:v>
      </x:c>
      <x:c r="E351" s="60" t="str">
        <x:f>IF(A351&lt;$E$36,ROUNDUP(ROUND($E$33*$E$34^A351,6),0),"")</x:f>
        <x:v/>
      </x:c>
      <x:c r="F351" s="60" t="str">
        <x:f>IF(A351&lt;=$E$36,F350+E350,"")</x:f>
        <x:v/>
      </x:c>
      <x:c r="G351" s="78" t="str">
        <x:f>IF(A351&lt;=$E$36,$E$35^A351,"")</x:f>
        <x:v/>
      </x:c>
      <x:c r="H351" s="60" t="str">
        <x:f>IF(A351&lt;$E$40,ROUNDUP(ROUND($E$37*$E$38^A351,6),0),"")</x:f>
        <x:v/>
      </x:c>
      <x:c r="I351" s="60" t="str">
        <x:f>IF(A351&lt;=$E$40,I350+H350,"")</x:f>
        <x:v/>
      </x:c>
      <x:c r="J351" s="80" t="str">
        <x:f>IF(A351&lt;=$E$40,1+$E$39*A351,"")</x:f>
        <x:v/>
      </x:c>
      <x:c r="K351" s="60"/>
      <x:c r="L351" s="60"/>
      <x:c r="M351" s="60"/>
      <x:c r="N351" s="60"/>
      <x:c r="O351" s="60"/>
      <x:c r="P351" s="60"/>
    </x:row>
    <x:row r="352" ht="30" customHeight="1">
      <x:c r="A352" s="61" t="n">
        <x:v>171</x:v>
      </x:c>
      <x:c r="B352" s="61">
        <x:f>IF(A352&lt;$E$32,ROUNDUP(ROUND($E$29*$E$30^A352,6),0),"")</x:f>
        <x:v>5291710</x:v>
      </x:c>
      <x:c r="C352" s="61">
        <x:f>IF(A352&lt;=$E$32,C351+B351,"")</x:f>
        <x:v>75595219</x:v>
      </x:c>
      <x:c r="D352" s="79">
        <x:f>IF(A352&lt;=$E$32,$E$31^A352,"")</x:f>
        <x:v>68.199467230780726</x:v>
      </x:c>
      <x:c r="E352" s="61" t="str">
        <x:f>IF(A352&lt;$E$36,ROUNDUP(ROUND($E$33*$E$34^A352,6),0),"")</x:f>
        <x:v/>
      </x:c>
      <x:c r="F352" s="61" t="str">
        <x:f>IF(A352&lt;=$E$36,F351+E351,"")</x:f>
        <x:v/>
      </x:c>
      <x:c r="G352" s="79" t="str">
        <x:f>IF(A352&lt;=$E$36,$E$35^A352,"")</x:f>
        <x:v/>
      </x:c>
      <x:c r="H352" s="61" t="str">
        <x:f>IF(A352&lt;$E$40,ROUNDUP(ROUND($E$37*$E$38^A352,6),0),"")</x:f>
        <x:v/>
      </x:c>
      <x:c r="I352" s="61" t="str">
        <x:f>IF(A352&lt;=$E$40,I351+H351,"")</x:f>
        <x:v/>
      </x:c>
      <x:c r="J352" s="81" t="str">
        <x:f>IF(A352&lt;=$E$40,1+$E$39*A352,"")</x:f>
        <x:v/>
      </x:c>
      <x:c r="K352" s="60"/>
      <x:c r="L352" s="60"/>
      <x:c r="M352" s="60"/>
      <x:c r="N352" s="60"/>
      <x:c r="O352" s="60"/>
      <x:c r="P352" s="60"/>
    </x:row>
    <x:row r="353" ht="30" customHeight="1">
      <x:c r="A353" s="60" t="n">
        <x:v>172</x:v>
      </x:c>
      <x:c r="B353" s="60">
        <x:f>IF(A353&lt;$E$32,ROUNDUP(ROUND($E$29*$E$30^A353,6),0),"")</x:f>
        <x:v>5662130</x:v>
      </x:c>
      <x:c r="C353" s="60">
        <x:f>IF(A353&lt;=$E$32,C352+B352,"")</x:f>
        <x:v>80886929</x:v>
      </x:c>
      <x:c r="D353" s="78">
        <x:f>IF(A353&lt;=$E$32,$E$31^A353,"")</x:f>
        <x:v>69.90445391155022</x:v>
      </x:c>
      <x:c r="E353" s="60" t="str">
        <x:f>IF(A353&lt;$E$36,ROUNDUP(ROUND($E$33*$E$34^A353,6),0),"")</x:f>
        <x:v/>
      </x:c>
      <x:c r="F353" s="60" t="str">
        <x:f>IF(A353&lt;=$E$36,F352+E352,"")</x:f>
        <x:v/>
      </x:c>
      <x:c r="G353" s="78" t="str">
        <x:f>IF(A353&lt;=$E$36,$E$35^A353,"")</x:f>
        <x:v/>
      </x:c>
      <x:c r="H353" s="60" t="str">
        <x:f>IF(A353&lt;$E$40,ROUNDUP(ROUND($E$37*$E$38^A353,6),0),"")</x:f>
        <x:v/>
      </x:c>
      <x:c r="I353" s="60" t="str">
        <x:f>IF(A353&lt;=$E$40,I352+H352,"")</x:f>
        <x:v/>
      </x:c>
      <x:c r="J353" s="80" t="str">
        <x:f>IF(A353&lt;=$E$40,1+$E$39*A353,"")</x:f>
        <x:v/>
      </x:c>
      <x:c r="K353" s="60"/>
      <x:c r="L353" s="60"/>
      <x:c r="M353" s="60"/>
      <x:c r="N353" s="60"/>
      <x:c r="O353" s="60"/>
      <x:c r="P353" s="60"/>
    </x:row>
    <x:row r="354" ht="30" customHeight="1">
      <x:c r="A354" s="61" t="n">
        <x:v>173</x:v>
      </x:c>
      <x:c r="B354" s="61">
        <x:f>IF(A354&lt;$E$32,ROUNDUP(ROUND($E$29*$E$30^A354,6),0),"")</x:f>
        <x:v>6058479</x:v>
      </x:c>
      <x:c r="C354" s="61">
        <x:f>IF(A354&lt;=$E$32,C353+B353,"")</x:f>
        <x:v>86549059</x:v>
      </x:c>
      <x:c r="D354" s="79">
        <x:f>IF(A354&lt;=$E$32,$E$31^A354,"")</x:f>
        <x:v>71.652065259338983</x:v>
      </x:c>
      <x:c r="E354" s="61" t="str">
        <x:f>IF(A354&lt;$E$36,ROUNDUP(ROUND($E$33*$E$34^A354,6),0),"")</x:f>
        <x:v/>
      </x:c>
      <x:c r="F354" s="61" t="str">
        <x:f>IF(A354&lt;=$E$36,F353+E353,"")</x:f>
        <x:v/>
      </x:c>
      <x:c r="G354" s="79" t="str">
        <x:f>IF(A354&lt;=$E$36,$E$35^A354,"")</x:f>
        <x:v/>
      </x:c>
      <x:c r="H354" s="61" t="str">
        <x:f>IF(A354&lt;$E$40,ROUNDUP(ROUND($E$37*$E$38^A354,6),0),"")</x:f>
        <x:v/>
      </x:c>
      <x:c r="I354" s="61" t="str">
        <x:f>IF(A354&lt;=$E$40,I353+H353,"")</x:f>
        <x:v/>
      </x:c>
      <x:c r="J354" s="81" t="str">
        <x:f>IF(A354&lt;=$E$40,1+$E$39*A354,"")</x:f>
        <x:v/>
      </x:c>
      <x:c r="K354" s="60"/>
      <x:c r="L354" s="60"/>
      <x:c r="M354" s="60"/>
      <x:c r="N354" s="60"/>
      <x:c r="O354" s="60"/>
      <x:c r="P354" s="60"/>
    </x:row>
    <x:row r="355" ht="30" customHeight="1">
      <x:c r="A355" s="60" t="n">
        <x:v>174</x:v>
      </x:c>
      <x:c r="B355" s="60">
        <x:f>IF(A355&lt;$E$32,ROUNDUP(ROUND($E$29*$E$30^A355,6),0),"")</x:f>
        <x:v>6482572</x:v>
      </x:c>
      <x:c r="C355" s="60">
        <x:f>IF(A355&lt;=$E$32,C354+B354,"")</x:f>
        <x:v>92607538</x:v>
      </x:c>
      <x:c r="D355" s="78">
        <x:f>IF(A355&lt;=$E$32,$E$31^A355,"")</x:f>
        <x:v>73.443366890822446</x:v>
      </x:c>
      <x:c r="E355" s="60" t="str">
        <x:f>IF(A355&lt;$E$36,ROUNDUP(ROUND($E$33*$E$34^A355,6),0),"")</x:f>
        <x:v/>
      </x:c>
      <x:c r="F355" s="60" t="str">
        <x:f>IF(A355&lt;=$E$36,F354+E354,"")</x:f>
        <x:v/>
      </x:c>
      <x:c r="G355" s="78" t="str">
        <x:f>IF(A355&lt;=$E$36,$E$35^A355,"")</x:f>
        <x:v/>
      </x:c>
      <x:c r="H355" s="60" t="str">
        <x:f>IF(A355&lt;$E$40,ROUNDUP(ROUND($E$37*$E$38^A355,6),0),"")</x:f>
        <x:v/>
      </x:c>
      <x:c r="I355" s="60" t="str">
        <x:f>IF(A355&lt;=$E$40,I354+H354,"")</x:f>
        <x:v/>
      </x:c>
      <x:c r="J355" s="80" t="str">
        <x:f>IF(A355&lt;=$E$40,1+$E$39*A355,"")</x:f>
        <x:v/>
      </x:c>
      <x:c r="K355" s="60"/>
      <x:c r="L355" s="60"/>
      <x:c r="M355" s="60"/>
      <x:c r="N355" s="60"/>
      <x:c r="O355" s="60"/>
      <x:c r="P355" s="60"/>
    </x:row>
    <x:row r="356" ht="30" customHeight="1">
      <x:c r="A356" s="61" t="n">
        <x:v>175</x:v>
      </x:c>
      <x:c r="B356" s="61">
        <x:f>IF(A356&lt;$E$32,ROUNDUP(ROUND($E$29*$E$30^A356,6),0),"")</x:f>
        <x:v>6936352</x:v>
      </x:c>
      <x:c r="C356" s="61">
        <x:f>IF(A356&lt;=$E$32,C355+B355,"")</x:f>
        <x:v>99090110</x:v>
      </x:c>
      <x:c r="D356" s="79">
        <x:f>IF(A356&lt;=$E$32,$E$31^A356,"")</x:f>
        <x:v>75.27945106309302</x:v>
      </x:c>
      <x:c r="E356" s="61" t="str">
        <x:f>IF(A356&lt;$E$36,ROUNDUP(ROUND($E$33*$E$34^A356,6),0),"")</x:f>
        <x:v/>
      </x:c>
      <x:c r="F356" s="61" t="str">
        <x:f>IF(A356&lt;=$E$36,F355+E355,"")</x:f>
        <x:v/>
      </x:c>
      <x:c r="G356" s="79" t="str">
        <x:f>IF(A356&lt;=$E$36,$E$35^A356,"")</x:f>
        <x:v/>
      </x:c>
      <x:c r="H356" s="61" t="str">
        <x:f>IF(A356&lt;$E$40,ROUNDUP(ROUND($E$37*$E$38^A356,6),0),"")</x:f>
        <x:v/>
      </x:c>
      <x:c r="I356" s="61" t="str">
        <x:f>IF(A356&lt;=$E$40,I355+H355,"")</x:f>
        <x:v/>
      </x:c>
      <x:c r="J356" s="81" t="str">
        <x:f>IF(A356&lt;=$E$40,1+$E$39*A356,"")</x:f>
        <x:v/>
      </x:c>
      <x:c r="K356" s="60"/>
      <x:c r="L356" s="60"/>
      <x:c r="M356" s="60"/>
      <x:c r="N356" s="60"/>
      <x:c r="O356" s="60"/>
      <x:c r="P356" s="60"/>
    </x:row>
    <x:row r="357" ht="30" customHeight="1">
      <x:c r="A357" s="60" t="n">
        <x:v>176</x:v>
      </x:c>
      <x:c r="B357" s="60">
        <x:f>IF(A357&lt;$E$32,ROUNDUP(ROUND($E$29*$E$30^A357,6),0),"")</x:f>
        <x:v>7421897</x:v>
      </x:c>
      <x:c r="C357" s="60">
        <x:f>IF(A357&lt;=$E$32,C356+B356,"")</x:f>
        <x:v>106026462</x:v>
      </x:c>
      <x:c r="D357" s="78">
        <x:f>IF(A357&lt;=$E$32,$E$31^A357,"")</x:f>
        <x:v>77.161437339670343</x:v>
      </x:c>
      <x:c r="E357" s="60" t="str">
        <x:f>IF(A357&lt;$E$36,ROUNDUP(ROUND($E$33*$E$34^A357,6),0),"")</x:f>
        <x:v/>
      </x:c>
      <x:c r="F357" s="60" t="str">
        <x:f>IF(A357&lt;=$E$36,F356+E356,"")</x:f>
        <x:v/>
      </x:c>
      <x:c r="G357" s="78" t="str">
        <x:f>IF(A357&lt;=$E$36,$E$35^A357,"")</x:f>
        <x:v/>
      </x:c>
      <x:c r="H357" s="60" t="str">
        <x:f>IF(A357&lt;$E$40,ROUNDUP(ROUND($E$37*$E$38^A357,6),0),"")</x:f>
        <x:v/>
      </x:c>
      <x:c r="I357" s="60" t="str">
        <x:f>IF(A357&lt;=$E$40,I356+H356,"")</x:f>
        <x:v/>
      </x:c>
      <x:c r="J357" s="80" t="str">
        <x:f>IF(A357&lt;=$E$40,1+$E$39*A357,"")</x:f>
        <x:v/>
      </x:c>
      <x:c r="K357" s="60"/>
      <x:c r="L357" s="60"/>
      <x:c r="M357" s="60"/>
      <x:c r="N357" s="60"/>
      <x:c r="O357" s="60"/>
      <x:c r="P357" s="60"/>
    </x:row>
    <x:row r="358" ht="30" customHeight="1">
      <x:c r="A358" s="61" t="n">
        <x:v>177</x:v>
      </x:c>
      <x:c r="B358" s="61">
        <x:f>IF(A358&lt;$E$32,ROUNDUP(ROUND($E$29*$E$30^A358,6),0),"")</x:f>
        <x:v>7941429</x:v>
      </x:c>
      <x:c r="C358" s="61">
        <x:f>IF(A358&lt;=$E$32,C357+B357,"")</x:f>
        <x:v>113448359</x:v>
      </x:c>
      <x:c r="D358" s="79">
        <x:f>IF(A358&lt;=$E$32,$E$31^A358,"")</x:f>
        <x:v>79.09047327316209</x:v>
      </x:c>
      <x:c r="E358" s="61" t="str">
        <x:f>IF(A358&lt;$E$36,ROUNDUP(ROUND($E$33*$E$34^A358,6),0),"")</x:f>
        <x:v/>
      </x:c>
      <x:c r="F358" s="61" t="str">
        <x:f>IF(A358&lt;=$E$36,F357+E357,"")</x:f>
        <x:v/>
      </x:c>
      <x:c r="G358" s="79" t="str">
        <x:f>IF(A358&lt;=$E$36,$E$35^A358,"")</x:f>
        <x:v/>
      </x:c>
      <x:c r="H358" s="61" t="str">
        <x:f>IF(A358&lt;$E$40,ROUNDUP(ROUND($E$37*$E$38^A358,6),0),"")</x:f>
        <x:v/>
      </x:c>
      <x:c r="I358" s="61" t="str">
        <x:f>IF(A358&lt;=$E$40,I357+H357,"")</x:f>
        <x:v/>
      </x:c>
      <x:c r="J358" s="81" t="str">
        <x:f>IF(A358&lt;=$E$40,1+$E$39*A358,"")</x:f>
        <x:v/>
      </x:c>
      <x:c r="K358" s="60"/>
      <x:c r="L358" s="60"/>
      <x:c r="M358" s="60"/>
      <x:c r="N358" s="60"/>
      <x:c r="O358" s="60"/>
      <x:c r="P358" s="60"/>
    </x:row>
    <x:row r="359" ht="30" customHeight="1">
      <x:c r="A359" s="60" t="n">
        <x:v>178</x:v>
      </x:c>
      <x:c r="B359" s="60">
        <x:f>IF(A359&lt;$E$32,ROUNDUP(ROUND($E$29*$E$30^A359,6),0),"")</x:f>
        <x:v>8497329</x:v>
      </x:c>
      <x:c r="C359" s="60">
        <x:f>IF(A359&lt;=$E$32,C358+B358,"")</x:f>
        <x:v>121389788</x:v>
      </x:c>
      <x:c r="D359" s="78">
        <x:f>IF(A359&lt;=$E$32,$E$31^A359,"")</x:f>
        <x:v>81.067735104991144</x:v>
      </x:c>
      <x:c r="E359" s="60" t="str">
        <x:f>IF(A359&lt;$E$36,ROUNDUP(ROUND($E$33*$E$34^A359,6),0),"")</x:f>
        <x:v/>
      </x:c>
      <x:c r="F359" s="60" t="str">
        <x:f>IF(A359&lt;=$E$36,F358+E358,"")</x:f>
        <x:v/>
      </x:c>
      <x:c r="G359" s="78" t="str">
        <x:f>IF(A359&lt;=$E$36,$E$35^A359,"")</x:f>
        <x:v/>
      </x:c>
      <x:c r="H359" s="60" t="str">
        <x:f>IF(A359&lt;$E$40,ROUNDUP(ROUND($E$37*$E$38^A359,6),0),"")</x:f>
        <x:v/>
      </x:c>
      <x:c r="I359" s="60" t="str">
        <x:f>IF(A359&lt;=$E$40,I358+H358,"")</x:f>
        <x:v/>
      </x:c>
      <x:c r="J359" s="80" t="str">
        <x:f>IF(A359&lt;=$E$40,1+$E$39*A359,"")</x:f>
        <x:v/>
      </x:c>
      <x:c r="K359" s="60"/>
      <x:c r="L359" s="60"/>
      <x:c r="M359" s="60"/>
      <x:c r="N359" s="60"/>
      <x:c r="O359" s="60"/>
      <x:c r="P359" s="60"/>
    </x:row>
    <x:row r="360" ht="30" customHeight="1">
      <x:c r="A360" s="61" t="n">
        <x:v>179</x:v>
      </x:c>
      <x:c r="B360" s="61">
        <x:f>IF(A360&lt;$E$32,ROUNDUP(ROUND($E$29*$E$30^A360,6),0),"")</x:f>
        <x:v>9092143</x:v>
      </x:c>
      <x:c r="C360" s="61">
        <x:f>IF(A360&lt;=$E$32,C359+B359,"")</x:f>
        <x:v>129887117</x:v>
      </x:c>
      <x:c r="D360" s="79">
        <x:f>IF(A360&lt;=$E$32,$E$31^A360,"")</x:f>
        <x:v>83.094428482615925</x:v>
      </x:c>
      <x:c r="E360" s="61" t="str">
        <x:f>IF(A360&lt;$E$36,ROUNDUP(ROUND($E$33*$E$34^A360,6),0),"")</x:f>
        <x:v/>
      </x:c>
      <x:c r="F360" s="61" t="str">
        <x:f>IF(A360&lt;=$E$36,F359+E359,"")</x:f>
        <x:v/>
      </x:c>
      <x:c r="G360" s="79" t="str">
        <x:f>IF(A360&lt;=$E$36,$E$35^A360,"")</x:f>
        <x:v/>
      </x:c>
      <x:c r="H360" s="61" t="str">
        <x:f>IF(A360&lt;$E$40,ROUNDUP(ROUND($E$37*$E$38^A360,6),0),"")</x:f>
        <x:v/>
      </x:c>
      <x:c r="I360" s="61" t="str">
        <x:f>IF(A360&lt;=$E$40,I359+H359,"")</x:f>
        <x:v/>
      </x:c>
      <x:c r="J360" s="81" t="str">
        <x:f>IF(A360&lt;=$E$40,1+$E$39*A360,"")</x:f>
        <x:v/>
      </x:c>
      <x:c r="K360" s="60"/>
      <x:c r="L360" s="60"/>
      <x:c r="M360" s="60"/>
      <x:c r="N360" s="60"/>
      <x:c r="O360" s="60"/>
      <x:c r="P360" s="60"/>
    </x:row>
    <x:row r="361" ht="30" customHeight="1">
      <x:c r="A361" s="60" t="n">
        <x:v>180</x:v>
      </x:c>
      <x:c r="B361" s="60">
        <x:f>IF(A361&lt;$E$32,ROUNDUP(ROUND($E$29*$E$30^A361,6),0),"")</x:f>
        <x:v>9728592</x:v>
      </x:c>
      <x:c r="C361" s="60">
        <x:f>IF(A361&lt;=$E$32,C360+B360,"")</x:f>
        <x:v>138979260</x:v>
      </x:c>
      <x:c r="D361" s="78">
        <x:f>IF(A361&lt;=$E$32,$E$31^A361,"")</x:f>
        <x:v>85.17178919468131</x:v>
      </x:c>
      <x:c r="E361" s="60" t="str">
        <x:f>IF(A361&lt;$E$36,ROUNDUP(ROUND($E$33*$E$34^A361,6),0),"")</x:f>
        <x:v/>
      </x:c>
      <x:c r="F361" s="60" t="str">
        <x:f>IF(A361&lt;=$E$36,F360+E360,"")</x:f>
        <x:v/>
      </x:c>
      <x:c r="G361" s="78" t="str">
        <x:f>IF(A361&lt;=$E$36,$E$35^A361,"")</x:f>
        <x:v/>
      </x:c>
      <x:c r="H361" s="60" t="str">
        <x:f>IF(A361&lt;$E$40,ROUNDUP(ROUND($E$37*$E$38^A361,6),0),"")</x:f>
        <x:v/>
      </x:c>
      <x:c r="I361" s="60" t="str">
        <x:f>IF(A361&lt;=$E$40,I360+H360,"")</x:f>
        <x:v/>
      </x:c>
      <x:c r="J361" s="80" t="str">
        <x:f>IF(A361&lt;=$E$40,1+$E$39*A361,"")</x:f>
        <x:v/>
      </x:c>
      <x:c r="K361" s="60"/>
      <x:c r="L361" s="60"/>
      <x:c r="M361" s="60"/>
      <x:c r="N361" s="60"/>
      <x:c r="O361" s="60"/>
      <x:c r="P361" s="60"/>
    </x:row>
    <x:row r="362" ht="30" customHeight="1">
      <x:c r="A362" s="61" t="n">
        <x:v>181</x:v>
      </x:c>
      <x:c r="B362" s="61">
        <x:f>IF(A362&lt;$E$32,ROUNDUP(ROUND($E$29*$E$30^A362,6),0),"")</x:f>
        <x:v>10409594</x:v>
      </x:c>
      <x:c r="C362" s="61">
        <x:f>IF(A362&lt;=$E$32,C361+B361,"")</x:f>
        <x:v>148707852</x:v>
      </x:c>
      <x:c r="D362" s="79">
        <x:f>IF(A362&lt;=$E$32,$E$31^A362,"")</x:f>
        <x:v>87.301083924548337</x:v>
      </x:c>
      <x:c r="E362" s="61" t="str">
        <x:f>IF(A362&lt;$E$36,ROUNDUP(ROUND($E$33*$E$34^A362,6),0),"")</x:f>
        <x:v/>
      </x:c>
      <x:c r="F362" s="61" t="str">
        <x:f>IF(A362&lt;=$E$36,F361+E361,"")</x:f>
        <x:v/>
      </x:c>
      <x:c r="G362" s="79" t="str">
        <x:f>IF(A362&lt;=$E$36,$E$35^A362,"")</x:f>
        <x:v/>
      </x:c>
      <x:c r="H362" s="61" t="str">
        <x:f>IF(A362&lt;$E$40,ROUNDUP(ROUND($E$37*$E$38^A362,6),0),"")</x:f>
        <x:v/>
      </x:c>
      <x:c r="I362" s="61" t="str">
        <x:f>IF(A362&lt;=$E$40,I361+H361,"")</x:f>
        <x:v/>
      </x:c>
      <x:c r="J362" s="81" t="str">
        <x:f>IF(A362&lt;=$E$40,1+$E$39*A362,"")</x:f>
        <x:v/>
      </x:c>
      <x:c r="K362" s="60"/>
      <x:c r="L362" s="60"/>
      <x:c r="M362" s="60"/>
      <x:c r="N362" s="60"/>
      <x:c r="O362" s="60"/>
      <x:c r="P362" s="60"/>
    </x:row>
    <x:row r="363" ht="30" customHeight="1">
      <x:c r="A363" s="60" t="n">
        <x:v>182</x:v>
      </x:c>
      <x:c r="B363" s="60">
        <x:f>IF(A363&lt;$E$32,ROUNDUP(ROUND($E$29*$E$30^A363,6),0),"")</x:f>
        <x:v>11138265</x:v>
      </x:c>
      <x:c r="C363" s="60">
        <x:f>IF(A363&lt;=$E$32,C362+B362,"")</x:f>
        <x:v>159117446</x:v>
      </x:c>
      <x:c r="D363" s="78">
        <x:f>IF(A363&lt;=$E$32,$E$31^A363,"")</x:f>
        <x:v>89.483611022662032</x:v>
      </x:c>
      <x:c r="E363" s="60" t="str">
        <x:f>IF(A363&lt;$E$36,ROUNDUP(ROUND($E$33*$E$34^A363,6),0),"")</x:f>
        <x:v/>
      </x:c>
      <x:c r="F363" s="60" t="str">
        <x:f>IF(A363&lt;=$E$36,F362+E362,"")</x:f>
        <x:v/>
      </x:c>
      <x:c r="G363" s="78" t="str">
        <x:f>IF(A363&lt;=$E$36,$E$35^A363,"")</x:f>
        <x:v/>
      </x:c>
      <x:c r="H363" s="60" t="str">
        <x:f>IF(A363&lt;$E$40,ROUNDUP(ROUND($E$37*$E$38^A363,6),0),"")</x:f>
        <x:v/>
      </x:c>
      <x:c r="I363" s="60" t="str">
        <x:f>IF(A363&lt;=$E$40,I362+H362,"")</x:f>
        <x:v/>
      </x:c>
      <x:c r="J363" s="80" t="str">
        <x:f>IF(A363&lt;=$E$40,1+$E$39*A363,"")</x:f>
        <x:v/>
      </x:c>
      <x:c r="K363" s="60"/>
      <x:c r="L363" s="60"/>
      <x:c r="M363" s="60"/>
      <x:c r="N363" s="60"/>
      <x:c r="O363" s="60"/>
      <x:c r="P363" s="60"/>
    </x:row>
    <x:row r="364" ht="30" customHeight="1">
      <x:c r="A364" s="61" t="n">
        <x:v>183</x:v>
      </x:c>
      <x:c r="B364" s="61">
        <x:f>IF(A364&lt;$E$32,ROUNDUP(ROUND($E$29*$E$30^A364,6),0),"")</x:f>
        <x:v>11917944</x:v>
      </x:c>
      <x:c r="C364" s="61">
        <x:f>IF(A364&lt;=$E$32,C363+B363,"")</x:f>
        <x:v>170255711</x:v>
      </x:c>
      <x:c r="D364" s="79">
        <x:f>IF(A364&lt;=$E$32,$E$31^A364,"")</x:f>
        <x:v>91.72070129822859</x:v>
      </x:c>
      <x:c r="E364" s="61" t="str">
        <x:f>IF(A364&lt;$E$36,ROUNDUP(ROUND($E$33*$E$34^A364,6),0),"")</x:f>
        <x:v/>
      </x:c>
      <x:c r="F364" s="61" t="str">
        <x:f>IF(A364&lt;=$E$36,F363+E363,"")</x:f>
        <x:v/>
      </x:c>
      <x:c r="G364" s="79" t="str">
        <x:f>IF(A364&lt;=$E$36,$E$35^A364,"")</x:f>
        <x:v/>
      </x:c>
      <x:c r="H364" s="61" t="str">
        <x:f>IF(A364&lt;$E$40,ROUNDUP(ROUND($E$37*$E$38^A364,6),0),"")</x:f>
        <x:v/>
      </x:c>
      <x:c r="I364" s="61" t="str">
        <x:f>IF(A364&lt;=$E$40,I363+H363,"")</x:f>
        <x:v/>
      </x:c>
      <x:c r="J364" s="81" t="str">
        <x:f>IF(A364&lt;=$E$40,1+$E$39*A364,"")</x:f>
        <x:v/>
      </x:c>
      <x:c r="K364" s="60"/>
      <x:c r="L364" s="60"/>
      <x:c r="M364" s="60"/>
      <x:c r="N364" s="60"/>
      <x:c r="O364" s="60"/>
      <x:c r="P364" s="60"/>
    </x:row>
    <x:row r="365" ht="30" customHeight="1">
      <x:c r="A365" s="60" t="n">
        <x:v>184</x:v>
      </x:c>
      <x:c r="B365" s="60">
        <x:f>IF(A365&lt;$E$32,ROUNDUP(ROUND($E$29*$E$30^A365,6),0),"")</x:f>
        <x:v>12752200</x:v>
      </x:c>
      <x:c r="C365" s="60">
        <x:f>IF(A365&lt;=$E$32,C364+B364,"")</x:f>
        <x:v>182173655</x:v>
      </x:c>
      <x:c r="D365" s="78">
        <x:f>IF(A365&lt;=$E$32,$E$31^A365,"")</x:f>
        <x:v>94.013718830684311</x:v>
      </x:c>
      <x:c r="E365" s="60" t="str">
        <x:f>IF(A365&lt;$E$36,ROUNDUP(ROUND($E$33*$E$34^A365,6),0),"")</x:f>
        <x:v/>
      </x:c>
      <x:c r="F365" s="60" t="str">
        <x:f>IF(A365&lt;=$E$36,F364+E364,"")</x:f>
        <x:v/>
      </x:c>
      <x:c r="G365" s="78" t="str">
        <x:f>IF(A365&lt;=$E$36,$E$35^A365,"")</x:f>
        <x:v/>
      </x:c>
      <x:c r="H365" s="60" t="str">
        <x:f>IF(A365&lt;$E$40,ROUNDUP(ROUND($E$37*$E$38^A365,6),0),"")</x:f>
        <x:v/>
      </x:c>
      <x:c r="I365" s="60" t="str">
        <x:f>IF(A365&lt;=$E$40,I364+H364,"")</x:f>
        <x:v/>
      </x:c>
      <x:c r="J365" s="80" t="str">
        <x:f>IF(A365&lt;=$E$40,1+$E$39*A365,"")</x:f>
        <x:v/>
      </x:c>
      <x:c r="K365" s="60"/>
      <x:c r="L365" s="60"/>
      <x:c r="M365" s="60"/>
      <x:c r="N365" s="60"/>
      <x:c r="O365" s="60"/>
      <x:c r="P365" s="60"/>
    </x:row>
    <x:row r="366" ht="30" customHeight="1">
      <x:c r="A366" s="61" t="n">
        <x:v>185</x:v>
      </x:c>
      <x:c r="B366" s="61">
        <x:f>IF(A366&lt;$E$32,ROUNDUP(ROUND($E$29*$E$30^A366,6),0),"")</x:f>
        <x:v>13644854</x:v>
      </x:c>
      <x:c r="C366" s="61">
        <x:f>IF(A366&lt;=$E$32,C365+B365,"")</x:f>
        <x:v>194925855</x:v>
      </x:c>
      <x:c r="D366" s="79">
        <x:f>IF(A366&lt;=$E$32,$E$31^A366,"")</x:f>
        <x:v>96.364061801451399</x:v>
      </x:c>
      <x:c r="E366" s="61" t="str">
        <x:f>IF(A366&lt;$E$36,ROUNDUP(ROUND($E$33*$E$34^A366,6),0),"")</x:f>
        <x:v/>
      </x:c>
      <x:c r="F366" s="61" t="str">
        <x:f>IF(A366&lt;=$E$36,F365+E365,"")</x:f>
        <x:v/>
      </x:c>
      <x:c r="G366" s="79" t="str">
        <x:f>IF(A366&lt;=$E$36,$E$35^A366,"")</x:f>
        <x:v/>
      </x:c>
      <x:c r="H366" s="61" t="str">
        <x:f>IF(A366&lt;$E$40,ROUNDUP(ROUND($E$37*$E$38^A366,6),0),"")</x:f>
        <x:v/>
      </x:c>
      <x:c r="I366" s="61" t="str">
        <x:f>IF(A366&lt;=$E$40,I365+H365,"")</x:f>
        <x:v/>
      </x:c>
      <x:c r="J366" s="81" t="str">
        <x:f>IF(A366&lt;=$E$40,1+$E$39*A366,"")</x:f>
        <x:v/>
      </x:c>
      <x:c r="K366" s="60"/>
      <x:c r="L366" s="60"/>
      <x:c r="M366" s="60"/>
      <x:c r="N366" s="60"/>
      <x:c r="O366" s="60"/>
      <x:c r="P366" s="60"/>
    </x:row>
    <x:row r="367" ht="30" customHeight="1">
      <x:c r="A367" s="60" t="n">
        <x:v>186</x:v>
      </x:c>
      <x:c r="B367" s="60">
        <x:f>IF(A367&lt;$E$32,ROUNDUP(ROUND($E$29*$E$30^A367,6),0),"")</x:f>
        <x:v>14599994</x:v>
      </x:c>
      <x:c r="C367" s="60">
        <x:f>IF(A367&lt;=$E$32,C366+B366,"")</x:f>
        <x:v>208570709</x:v>
      </x:c>
      <x:c r="D367" s="78">
        <x:f>IF(A367&lt;=$E$32,$E$31^A367,"")</x:f>
        <x:v>98.773163346487678</x:v>
      </x:c>
      <x:c r="E367" s="60" t="str">
        <x:f>IF(A367&lt;$E$36,ROUNDUP(ROUND($E$33*$E$34^A367,6),0),"")</x:f>
        <x:v/>
      </x:c>
      <x:c r="F367" s="60" t="str">
        <x:f>IF(A367&lt;=$E$36,F366+E366,"")</x:f>
        <x:v/>
      </x:c>
      <x:c r="G367" s="78" t="str">
        <x:f>IF(A367&lt;=$E$36,$E$35^A367,"")</x:f>
        <x:v/>
      </x:c>
      <x:c r="H367" s="60" t="str">
        <x:f>IF(A367&lt;$E$40,ROUNDUP(ROUND($E$37*$E$38^A367,6),0),"")</x:f>
        <x:v/>
      </x:c>
      <x:c r="I367" s="60" t="str">
        <x:f>IF(A367&lt;=$E$40,I366+H366,"")</x:f>
        <x:v/>
      </x:c>
      <x:c r="J367" s="80" t="str">
        <x:f>IF(A367&lt;=$E$40,1+$E$39*A367,"")</x:f>
        <x:v/>
      </x:c>
      <x:c r="K367" s="60"/>
      <x:c r="L367" s="60"/>
      <x:c r="M367" s="60"/>
      <x:c r="N367" s="60"/>
      <x:c r="O367" s="60"/>
      <x:c r="P367" s="60"/>
    </x:row>
    <x:row r="368" ht="30" customHeight="1">
      <x:c r="A368" s="61" t="n">
        <x:v>187</x:v>
      </x:c>
      <x:c r="B368" s="61">
        <x:f>IF(A368&lt;$E$32,ROUNDUP(ROUND($E$29*$E$30^A368,6),0),"")</x:f>
        <x:v>15621993</x:v>
      </x:c>
      <x:c r="C368" s="61">
        <x:f>IF(A368&lt;=$E$32,C367+B367,"")</x:f>
        <x:v>223170703</x:v>
      </x:c>
      <x:c r="D368" s="79">
        <x:f>IF(A368&lt;=$E$32,$E$31^A368,"")</x:f>
        <x:v>101.24249243014987</x:v>
      </x:c>
      <x:c r="E368" s="61" t="str">
        <x:f>IF(A368&lt;$E$36,ROUNDUP(ROUND($E$33*$E$34^A368,6),0),"")</x:f>
        <x:v/>
      </x:c>
      <x:c r="F368" s="61" t="str">
        <x:f>IF(A368&lt;=$E$36,F367+E367,"")</x:f>
        <x:v/>
      </x:c>
      <x:c r="G368" s="79" t="str">
        <x:f>IF(A368&lt;=$E$36,$E$35^A368,"")</x:f>
        <x:v/>
      </x:c>
      <x:c r="H368" s="61" t="str">
        <x:f>IF(A368&lt;$E$40,ROUNDUP(ROUND($E$37*$E$38^A368,6),0),"")</x:f>
        <x:v/>
      </x:c>
      <x:c r="I368" s="61" t="str">
        <x:f>IF(A368&lt;=$E$40,I367+H367,"")</x:f>
        <x:v/>
      </x:c>
      <x:c r="J368" s="81" t="str">
        <x:f>IF(A368&lt;=$E$40,1+$E$39*A368,"")</x:f>
        <x:v/>
      </x:c>
      <x:c r="K368" s="60"/>
      <x:c r="L368" s="60"/>
      <x:c r="M368" s="60"/>
      <x:c r="N368" s="60"/>
      <x:c r="O368" s="60"/>
      <x:c r="P368" s="60"/>
    </x:row>
    <x:row r="369" ht="30" customHeight="1">
      <x:c r="A369" s="60" t="n">
        <x:v>188</x:v>
      </x:c>
      <x:c r="B369" s="60">
        <x:f>IF(A369&lt;$E$32,ROUNDUP(ROUND($E$29*$E$30^A369,6),0),"")</x:f>
        <x:v>16715533</x:v>
      </x:c>
      <x:c r="C369" s="60">
        <x:f>IF(A369&lt;=$E$32,C368+B368,"")</x:f>
        <x:v>238792696</x:v>
      </x:c>
      <x:c r="D369" s="78">
        <x:f>IF(A369&lt;=$E$32,$E$31^A369,"")</x:f>
        <x:v>103.77355474090361</x:v>
      </x:c>
      <x:c r="E369" s="60" t="str">
        <x:f>IF(A369&lt;$E$36,ROUNDUP(ROUND($E$33*$E$34^A369,6),0),"")</x:f>
        <x:v/>
      </x:c>
      <x:c r="F369" s="60" t="str">
        <x:f>IF(A369&lt;=$E$36,F368+E368,"")</x:f>
        <x:v/>
      </x:c>
      <x:c r="G369" s="78" t="str">
        <x:f>IF(A369&lt;=$E$36,$E$35^A369,"")</x:f>
        <x:v/>
      </x:c>
      <x:c r="H369" s="60" t="str">
        <x:f>IF(A369&lt;$E$40,ROUNDUP(ROUND($E$37*$E$38^A369,6),0),"")</x:f>
        <x:v/>
      </x:c>
      <x:c r="I369" s="60" t="str">
        <x:f>IF(A369&lt;=$E$40,I368+H368,"")</x:f>
        <x:v/>
      </x:c>
      <x:c r="J369" s="80" t="str">
        <x:f>IF(A369&lt;=$E$40,1+$E$39*A369,"")</x:f>
        <x:v/>
      </x:c>
      <x:c r="K369" s="60"/>
      <x:c r="L369" s="60"/>
      <x:c r="M369" s="60"/>
      <x:c r="N369" s="60"/>
      <x:c r="O369" s="60"/>
      <x:c r="P369" s="60"/>
    </x:row>
    <x:row r="370" ht="30" customHeight="1">
      <x:c r="A370" s="61" t="n">
        <x:v>189</x:v>
      </x:c>
      <x:c r="B370" s="61">
        <x:f>IF(A370&lt;$E$32,ROUNDUP(ROUND($E$29*$E$30^A370,6),0),"")</x:f>
        <x:v>17885620</x:v>
      </x:c>
      <x:c r="C370" s="61">
        <x:f>IF(A370&lt;=$E$32,C369+B369,"")</x:f>
        <x:v>255508229</x:v>
      </x:c>
      <x:c r="D370" s="79">
        <x:f>IF(A370&lt;=$E$32,$E$31^A370,"")</x:f>
        <x:v>106.3678936094262</x:v>
      </x:c>
      <x:c r="E370" s="61" t="str">
        <x:f>IF(A370&lt;$E$36,ROUNDUP(ROUND($E$33*$E$34^A370,6),0),"")</x:f>
        <x:v/>
      </x:c>
      <x:c r="F370" s="61" t="str">
        <x:f>IF(A370&lt;=$E$36,F369+E369,"")</x:f>
        <x:v/>
      </x:c>
      <x:c r="G370" s="79" t="str">
        <x:f>IF(A370&lt;=$E$36,$E$35^A370,"")</x:f>
        <x:v/>
      </x:c>
      <x:c r="H370" s="61" t="str">
        <x:f>IF(A370&lt;$E$40,ROUNDUP(ROUND($E$37*$E$38^A370,6),0),"")</x:f>
        <x:v/>
      </x:c>
      <x:c r="I370" s="61" t="str">
        <x:f>IF(A370&lt;=$E$40,I369+H369,"")</x:f>
        <x:v/>
      </x:c>
      <x:c r="J370" s="81" t="str">
        <x:f>IF(A370&lt;=$E$40,1+$E$39*A370,"")</x:f>
        <x:v/>
      </x:c>
      <x:c r="K370" s="60"/>
      <x:c r="L370" s="60"/>
      <x:c r="M370" s="60"/>
      <x:c r="N370" s="60"/>
      <x:c r="O370" s="60"/>
      <x:c r="P370" s="60"/>
    </x:row>
    <x:row r="371" ht="30" customHeight="1">
      <x:c r="A371" s="60" t="n">
        <x:v>190</x:v>
      </x:c>
      <x:c r="B371" s="60">
        <x:f>IF(A371&lt;$E$32,ROUNDUP(ROUND($E$29*$E$30^A371,6),0),"")</x:f>
        <x:v>19137613</x:v>
      </x:c>
      <x:c r="C371" s="60">
        <x:f>IF(A371&lt;=$E$32,C370+B370,"")</x:f>
        <x:v>273393849</x:v>
      </x:c>
      <x:c r="D371" s="78">
        <x:f>IF(A371&lt;=$E$32,$E$31^A371,"")</x:f>
        <x:v>109.02709094966184</x:v>
      </x:c>
      <x:c r="E371" s="60" t="str">
        <x:f>IF(A371&lt;$E$36,ROUNDUP(ROUND($E$33*$E$34^A371,6),0),"")</x:f>
        <x:v/>
      </x:c>
      <x:c r="F371" s="60" t="str">
        <x:f>IF(A371&lt;=$E$36,F370+E370,"")</x:f>
        <x:v/>
      </x:c>
      <x:c r="G371" s="78" t="str">
        <x:f>IF(A371&lt;=$E$36,$E$35^A371,"")</x:f>
        <x:v/>
      </x:c>
      <x:c r="H371" s="60" t="str">
        <x:f>IF(A371&lt;$E$40,ROUNDUP(ROUND($E$37*$E$38^A371,6),0),"")</x:f>
        <x:v/>
      </x:c>
      <x:c r="I371" s="60" t="str">
        <x:f>IF(A371&lt;=$E$40,I370+H370,"")</x:f>
        <x:v/>
      </x:c>
      <x:c r="J371" s="80" t="str">
        <x:f>IF(A371&lt;=$E$40,1+$E$39*A371,"")</x:f>
        <x:v/>
      </x:c>
      <x:c r="K371" s="60"/>
      <x:c r="L371" s="60"/>
      <x:c r="M371" s="60"/>
      <x:c r="N371" s="60"/>
      <x:c r="O371" s="60"/>
      <x:c r="P371" s="60"/>
    </x:row>
    <x:row r="372" ht="30" customHeight="1">
      <x:c r="A372" s="61" t="n">
        <x:v>191</x:v>
      </x:c>
      <x:c r="B372" s="61">
        <x:f>IF(A372&lt;$E$32,ROUNDUP(ROUND($E$29*$E$30^A372,6),0),"")</x:f>
        <x:v>20477246</x:v>
      </x:c>
      <x:c r="C372" s="61">
        <x:f>IF(A372&lt;=$E$32,C371+B371,"")</x:f>
        <x:v>292531462</x:v>
      </x:c>
      <x:c r="D372" s="79">
        <x:f>IF(A372&lt;=$E$32,$E$31^A372,"")</x:f>
        <x:v>111.75276822340342</x:v>
      </x:c>
      <x:c r="E372" s="61" t="str">
        <x:f>IF(A372&lt;$E$36,ROUNDUP(ROUND($E$33*$E$34^A372,6),0),"")</x:f>
        <x:v/>
      </x:c>
      <x:c r="F372" s="61" t="str">
        <x:f>IF(A372&lt;=$E$36,F371+E371,"")</x:f>
        <x:v/>
      </x:c>
      <x:c r="G372" s="79" t="str">
        <x:f>IF(A372&lt;=$E$36,$E$35^A372,"")</x:f>
        <x:v/>
      </x:c>
      <x:c r="H372" s="61" t="str">
        <x:f>IF(A372&lt;$E$40,ROUNDUP(ROUND($E$37*$E$38^A372,6),0),"")</x:f>
        <x:v/>
      </x:c>
      <x:c r="I372" s="61" t="str">
        <x:f>IF(A372&lt;=$E$40,I371+H371,"")</x:f>
        <x:v/>
      </x:c>
      <x:c r="J372" s="81" t="str">
        <x:f>IF(A372&lt;=$E$40,1+$E$39*A372,"")</x:f>
        <x:v/>
      </x:c>
      <x:c r="K372" s="60"/>
      <x:c r="L372" s="60"/>
      <x:c r="M372" s="60"/>
      <x:c r="N372" s="60"/>
      <x:c r="O372" s="60"/>
      <x:c r="P372" s="60"/>
    </x:row>
    <x:row r="373" ht="30" customHeight="1">
      <x:c r="A373" s="60" t="n">
        <x:v>192</x:v>
      </x:c>
      <x:c r="B373" s="60">
        <x:f>IF(A373&lt;$E$32,ROUNDUP(ROUND($E$29*$E$30^A373,6),0),"")</x:f>
        <x:v>21910653</x:v>
      </x:c>
      <x:c r="C373" s="60">
        <x:f>IF(A373&lt;=$E$32,C372+B372,"")</x:f>
        <x:v>313008708</x:v>
      </x:c>
      <x:c r="D373" s="78">
        <x:f>IF(A373&lt;=$E$32,$E$31^A373,"")</x:f>
        <x:v>114.54658742898847</x:v>
      </x:c>
      <x:c r="E373" s="60" t="str">
        <x:f>IF(A373&lt;$E$36,ROUNDUP(ROUND($E$33*$E$34^A373,6),0),"")</x:f>
        <x:v/>
      </x:c>
      <x:c r="F373" s="60" t="str">
        <x:f>IF(A373&lt;=$E$36,F372+E372,"")</x:f>
        <x:v/>
      </x:c>
      <x:c r="G373" s="78" t="str">
        <x:f>IF(A373&lt;=$E$36,$E$35^A373,"")</x:f>
        <x:v/>
      </x:c>
      <x:c r="H373" s="60" t="str">
        <x:f>IF(A373&lt;$E$40,ROUNDUP(ROUND($E$37*$E$38^A373,6),0),"")</x:f>
        <x:v/>
      </x:c>
      <x:c r="I373" s="60" t="str">
        <x:f>IF(A373&lt;=$E$40,I372+H372,"")</x:f>
        <x:v/>
      </x:c>
      <x:c r="J373" s="80" t="str">
        <x:f>IF(A373&lt;=$E$40,1+$E$39*A373,"")</x:f>
        <x:v/>
      </x:c>
      <x:c r="K373" s="60"/>
      <x:c r="L373" s="60"/>
      <x:c r="M373" s="60"/>
      <x:c r="N373" s="60"/>
      <x:c r="O373" s="60"/>
      <x:c r="P373" s="60"/>
    </x:row>
    <x:row r="374" ht="30" customHeight="1">
      <x:c r="A374" s="61" t="n">
        <x:v>193</x:v>
      </x:c>
      <x:c r="B374" s="61">
        <x:f>IF(A374&lt;$E$32,ROUNDUP(ROUND($E$29*$E$30^A374,6),0),"")</x:f>
        <x:v>23444399</x:v>
      </x:c>
      <x:c r="C374" s="61">
        <x:f>IF(A374&lt;=$E$32,C373+B373,"")</x:f>
        <x:v>334919361</x:v>
      </x:c>
      <x:c r="D374" s="79">
        <x:f>IF(A374&lt;=$E$32,$E$31^A374,"")</x:f>
        <x:v>117.41025211471316</x:v>
      </x:c>
      <x:c r="E374" s="61" t="str">
        <x:f>IF(A374&lt;$E$36,ROUNDUP(ROUND($E$33*$E$34^A374,6),0),"")</x:f>
        <x:v/>
      </x:c>
      <x:c r="F374" s="61" t="str">
        <x:f>IF(A374&lt;=$E$36,F373+E373,"")</x:f>
        <x:v/>
      </x:c>
      <x:c r="G374" s="79" t="str">
        <x:f>IF(A374&lt;=$E$36,$E$35^A374,"")</x:f>
        <x:v/>
      </x:c>
      <x:c r="H374" s="61" t="str">
        <x:f>IF(A374&lt;$E$40,ROUNDUP(ROUND($E$37*$E$38^A374,6),0),"")</x:f>
        <x:v/>
      </x:c>
      <x:c r="I374" s="61" t="str">
        <x:f>IF(A374&lt;=$E$40,I373+H373,"")</x:f>
        <x:v/>
      </x:c>
      <x:c r="J374" s="81" t="str">
        <x:f>IF(A374&lt;=$E$40,1+$E$39*A374,"")</x:f>
        <x:v/>
      </x:c>
      <x:c r="K374" s="60"/>
      <x:c r="L374" s="60"/>
      <x:c r="M374" s="60"/>
      <x:c r="N374" s="60"/>
      <x:c r="O374" s="60"/>
      <x:c r="P374" s="60"/>
    </x:row>
    <x:row r="375" ht="30" customHeight="1">
      <x:c r="A375" s="60" t="n">
        <x:v>194</x:v>
      </x:c>
      <x:c r="B375" s="60">
        <x:f>IF(A375&lt;$E$32,ROUNDUP(ROUND($E$29*$E$30^A375,6),0),"")</x:f>
        <x:v>25085507</x:v>
      </x:c>
      <x:c r="C375" s="60">
        <x:f>IF(A375&lt;=$E$32,C374+B374,"")</x:f>
        <x:v>358363760</x:v>
      </x:c>
      <x:c r="D375" s="78">
        <x:f>IF(A375&lt;=$E$32,$E$31^A375,"")</x:f>
        <x:v>120.345508417581</x:v>
      </x:c>
      <x:c r="E375" s="60" t="str">
        <x:f>IF(A375&lt;$E$36,ROUNDUP(ROUND($E$33*$E$34^A375,6),0),"")</x:f>
        <x:v/>
      </x:c>
      <x:c r="F375" s="60" t="str">
        <x:f>IF(A375&lt;=$E$36,F374+E374,"")</x:f>
        <x:v/>
      </x:c>
      <x:c r="G375" s="78" t="str">
        <x:f>IF(A375&lt;=$E$36,$E$35^A375,"")</x:f>
        <x:v/>
      </x:c>
      <x:c r="H375" s="60" t="str">
        <x:f>IF(A375&lt;$E$40,ROUNDUP(ROUND($E$37*$E$38^A375,6),0),"")</x:f>
        <x:v/>
      </x:c>
      <x:c r="I375" s="60" t="str">
        <x:f>IF(A375&lt;=$E$40,I374+H374,"")</x:f>
        <x:v/>
      </x:c>
      <x:c r="J375" s="80" t="str">
        <x:f>IF(A375&lt;=$E$40,1+$E$39*A375,"")</x:f>
        <x:v/>
      </x:c>
      <x:c r="K375" s="60"/>
      <x:c r="L375" s="60"/>
      <x:c r="M375" s="60"/>
      <x:c r="N375" s="60"/>
      <x:c r="O375" s="60"/>
      <x:c r="P375" s="60"/>
    </x:row>
    <x:row r="376" ht="30" customHeight="1">
      <x:c r="A376" s="61" t="n">
        <x:v>195</x:v>
      </x:c>
      <x:c r="B376" s="61">
        <x:f>IF(A376&lt;$E$32,ROUNDUP(ROUND($E$29*$E$30^A376,6),0),"")</x:f>
        <x:v>26841493</x:v>
      </x:c>
      <x:c r="C376" s="61">
        <x:f>IF(A376&lt;=$E$32,C375+B375,"")</x:f>
        <x:v>383449267</x:v>
      </x:c>
      <x:c r="D376" s="79">
        <x:f>IF(A376&lt;=$E$32,$E$31^A376,"")</x:f>
        <x:v>123.35414612802053</x:v>
      </x:c>
      <x:c r="E376" s="61" t="str">
        <x:f>IF(A376&lt;$E$36,ROUNDUP(ROUND($E$33*$E$34^A376,6),0),"")</x:f>
        <x:v/>
      </x:c>
      <x:c r="F376" s="61" t="str">
        <x:f>IF(A376&lt;=$E$36,F375+E375,"")</x:f>
        <x:v/>
      </x:c>
      <x:c r="G376" s="79" t="str">
        <x:f>IF(A376&lt;=$E$36,$E$35^A376,"")</x:f>
        <x:v/>
      </x:c>
      <x:c r="H376" s="61" t="str">
        <x:f>IF(A376&lt;$E$40,ROUNDUP(ROUND($E$37*$E$38^A376,6),0),"")</x:f>
        <x:v/>
      </x:c>
      <x:c r="I376" s="61" t="str">
        <x:f>IF(A376&lt;=$E$40,I375+H375,"")</x:f>
        <x:v/>
      </x:c>
      <x:c r="J376" s="81" t="str">
        <x:f>IF(A376&lt;=$E$40,1+$E$39*A376,"")</x:f>
        <x:v/>
      </x:c>
      <x:c r="K376" s="60"/>
      <x:c r="L376" s="60"/>
      <x:c r="M376" s="60"/>
      <x:c r="N376" s="60"/>
      <x:c r="O376" s="60"/>
      <x:c r="P376" s="60"/>
    </x:row>
    <x:row r="377" ht="30" customHeight="1">
      <x:c r="A377" s="60" t="n">
        <x:v>196</x:v>
      </x:c>
      <x:c r="B377" s="60">
        <x:f>IF(A377&lt;$E$32,ROUNDUP(ROUND($E$29*$E$30^A377,6),0),"")</x:f>
        <x:v>28720397</x:v>
      </x:c>
      <x:c r="C377" s="60">
        <x:f>IF(A377&lt;=$E$32,C376+B376,"")</x:f>
        <x:v>410290760</x:v>
      </x:c>
      <x:c r="D377" s="78">
        <x:f>IF(A377&lt;=$E$32,$E$31^A377,"")</x:f>
        <x:v>126.43799978122102</x:v>
      </x:c>
      <x:c r="E377" s="60" t="str">
        <x:f>IF(A377&lt;$E$36,ROUNDUP(ROUND($E$33*$E$34^A377,6),0),"")</x:f>
        <x:v/>
      </x:c>
      <x:c r="F377" s="60" t="str">
        <x:f>IF(A377&lt;=$E$36,F376+E376,"")</x:f>
        <x:v/>
      </x:c>
      <x:c r="G377" s="78" t="str">
        <x:f>IF(A377&lt;=$E$36,$E$35^A377,"")</x:f>
        <x:v/>
      </x:c>
      <x:c r="H377" s="60" t="str">
        <x:f>IF(A377&lt;$E$40,ROUNDUP(ROUND($E$37*$E$38^A377,6),0),"")</x:f>
        <x:v/>
      </x:c>
      <x:c r="I377" s="60" t="str">
        <x:f>IF(A377&lt;=$E$40,I376+H376,"")</x:f>
        <x:v/>
      </x:c>
      <x:c r="J377" s="80" t="str">
        <x:f>IF(A377&lt;=$E$40,1+$E$39*A377,"")</x:f>
        <x:v/>
      </x:c>
      <x:c r="K377" s="60"/>
      <x:c r="L377" s="60"/>
      <x:c r="M377" s="60"/>
      <x:c r="N377" s="60"/>
      <x:c r="O377" s="60"/>
      <x:c r="P377" s="60"/>
    </x:row>
    <x:row r="378" ht="30" customHeight="1">
      <x:c r="A378" s="61" t="n">
        <x:v>197</x:v>
      </x:c>
      <x:c r="B378" s="61">
        <x:f>IF(A378&lt;$E$32,ROUNDUP(ROUND($E$29*$E$30^A378,6),0),"")</x:f>
        <x:v>30730825</x:v>
      </x:c>
      <x:c r="C378" s="61">
        <x:f>IF(A378&lt;=$E$32,C377+B377,"")</x:f>
        <x:v>439011157</x:v>
      </x:c>
      <x:c r="D378" s="79">
        <x:f>IF(A378&lt;=$E$32,$E$31^A378,"")</x:f>
        <x:v>129.59894977575152</x:v>
      </x:c>
      <x:c r="E378" s="61" t="str">
        <x:f>IF(A378&lt;$E$36,ROUNDUP(ROUND($E$33*$E$34^A378,6),0),"")</x:f>
        <x:v/>
      </x:c>
      <x:c r="F378" s="61" t="str">
        <x:f>IF(A378&lt;=$E$36,F377+E377,"")</x:f>
        <x:v/>
      </x:c>
      <x:c r="G378" s="79" t="str">
        <x:f>IF(A378&lt;=$E$36,$E$35^A378,"")</x:f>
        <x:v/>
      </x:c>
      <x:c r="H378" s="61" t="str">
        <x:f>IF(A378&lt;$E$40,ROUNDUP(ROUND($E$37*$E$38^A378,6),0),"")</x:f>
        <x:v/>
      </x:c>
      <x:c r="I378" s="61" t="str">
        <x:f>IF(A378&lt;=$E$40,I377+H377,"")</x:f>
        <x:v/>
      </x:c>
      <x:c r="J378" s="81" t="str">
        <x:f>IF(A378&lt;=$E$40,1+$E$39*A378,"")</x:f>
        <x:v/>
      </x:c>
      <x:c r="K378" s="60"/>
      <x:c r="L378" s="60"/>
      <x:c r="M378" s="60"/>
      <x:c r="N378" s="60"/>
      <x:c r="O378" s="60"/>
      <x:c r="P378" s="60"/>
    </x:row>
    <x:row r="379" ht="30" customHeight="1">
      <x:c r="A379" s="60" t="n">
        <x:v>198</x:v>
      </x:c>
      <x:c r="B379" s="60">
        <x:f>IF(A379&lt;$E$32,ROUNDUP(ROUND($E$29*$E$30^A379,6),0),"")</x:f>
        <x:v>32881982</x:v>
      </x:c>
      <x:c r="C379" s="60">
        <x:f>IF(A379&lt;=$E$32,C378+B378,"")</x:f>
        <x:v>469741982</x:v>
      </x:c>
      <x:c r="D379" s="78">
        <x:f>IF(A379&lt;=$E$32,$E$31^A379,"")</x:f>
        <x:v>132.8389235201453</x:v>
      </x:c>
      <x:c r="E379" s="60" t="str">
        <x:f>IF(A379&lt;$E$36,ROUNDUP(ROUND($E$33*$E$34^A379,6),0),"")</x:f>
        <x:v/>
      </x:c>
      <x:c r="F379" s="60" t="str">
        <x:f>IF(A379&lt;=$E$36,F378+E378,"")</x:f>
        <x:v/>
      </x:c>
      <x:c r="G379" s="78" t="str">
        <x:f>IF(A379&lt;=$E$36,$E$35^A379,"")</x:f>
        <x:v/>
      </x:c>
      <x:c r="H379" s="60" t="str">
        <x:f>IF(A379&lt;$E$40,ROUNDUP(ROUND($E$37*$E$38^A379,6),0),"")</x:f>
        <x:v/>
      </x:c>
      <x:c r="I379" s="60" t="str">
        <x:f>IF(A379&lt;=$E$40,I378+H378,"")</x:f>
        <x:v/>
      </x:c>
      <x:c r="J379" s="80" t="str">
        <x:f>IF(A379&lt;=$E$40,1+$E$39*A379,"")</x:f>
        <x:v/>
      </x:c>
      <x:c r="K379" s="60"/>
      <x:c r="L379" s="60"/>
      <x:c r="M379" s="60"/>
      <x:c r="N379" s="60"/>
      <x:c r="O379" s="60"/>
      <x:c r="P379" s="60"/>
    </x:row>
    <x:row r="380" ht="30" customHeight="1">
      <x:c r="A380" s="61" t="n">
        <x:v>199</x:v>
      </x:c>
      <x:c r="B380" s="61">
        <x:f>IF(A380&lt;$E$32,ROUNDUP(ROUND($E$29*$E$30^A380,6),0),"")</x:f>
        <x:v>35183721</x:v>
      </x:c>
      <x:c r="C380" s="61">
        <x:f>IF(A380&lt;=$E$32,C379+B379,"")</x:f>
        <x:v>502623964</x:v>
      </x:c>
      <x:c r="D380" s="79">
        <x:f>IF(A380&lt;=$E$32,$E$31^A380,"")</x:f>
        <x:v>136.15989660814896</x:v>
      </x:c>
      <x:c r="E380" s="61" t="str">
        <x:f>IF(A380&lt;$E$36,ROUNDUP(ROUND($E$33*$E$34^A380,6),0),"")</x:f>
        <x:v/>
      </x:c>
      <x:c r="F380" s="61" t="str">
        <x:f>IF(A380&lt;=$E$36,F379+E379,"")</x:f>
        <x:v/>
      </x:c>
      <x:c r="G380" s="79" t="str">
        <x:f>IF(A380&lt;=$E$36,$E$35^A380,"")</x:f>
        <x:v/>
      </x:c>
      <x:c r="H380" s="61" t="str">
        <x:f>IF(A380&lt;$E$40,ROUNDUP(ROUND($E$37*$E$38^A380,6),0),"")</x:f>
        <x:v/>
      </x:c>
      <x:c r="I380" s="61" t="str">
        <x:f>IF(A380&lt;=$E$40,I379+H379,"")</x:f>
        <x:v/>
      </x:c>
      <x:c r="J380" s="81" t="str">
        <x:f>IF(A380&lt;=$E$40,1+$E$39*A380,"")</x:f>
        <x:v/>
      </x:c>
      <x:c r="K380" s="60"/>
      <x:c r="L380" s="60"/>
      <x:c r="M380" s="60"/>
      <x:c r="N380" s="60"/>
      <x:c r="O380" s="60"/>
      <x:c r="P380" s="60"/>
    </x:row>
    <x:row r="381" ht="30" customHeight="1">
      <x:c r="A381" s="60" t="n">
        <x:v>200</x:v>
      </x:c>
      <x:c r="B381" s="60">
        <x:f>IF(A381&lt;$E$32,ROUNDUP(ROUND($E$29*$E$30^A381,6),0),"")</x:f>
        <x:v>37646582</x:v>
      </x:c>
      <x:c r="C381" s="60">
        <x:f>IF(A381&lt;=$E$32,C380+B380,"")</x:f>
        <x:v>537807685</x:v>
      </x:c>
      <x:c r="D381" s="78">
        <x:f>IF(A381&lt;=$E$32,$E$31^A381,"")</x:f>
        <x:v>139.56389402335265</x:v>
      </x:c>
      <x:c r="E381" s="60" t="str">
        <x:f>IF(A381&lt;$E$36,ROUNDUP(ROUND($E$33*$E$34^A381,6),0),"")</x:f>
        <x:v/>
      </x:c>
      <x:c r="F381" s="60" t="str">
        <x:f>IF(A381&lt;=$E$36,F380+E380,"")</x:f>
        <x:v/>
      </x:c>
      <x:c r="G381" s="78" t="str">
        <x:f>IF(A381&lt;=$E$36,$E$35^A381,"")</x:f>
        <x:v/>
      </x:c>
      <x:c r="H381" s="60" t="str">
        <x:f>IF(A381&lt;$E$40,ROUNDUP(ROUND($E$37*$E$38^A381,6),0),"")</x:f>
        <x:v/>
      </x:c>
      <x:c r="I381" s="60" t="str">
        <x:f>IF(A381&lt;=$E$40,I380+H380,"")</x:f>
        <x:v/>
      </x:c>
      <x:c r="J381" s="80" t="str">
        <x:f>IF(A381&lt;=$E$40,1+$E$39*A381,"")</x:f>
        <x:v/>
      </x:c>
      <x:c r="K381" s="60"/>
      <x:c r="L381" s="60"/>
      <x:c r="M381" s="60"/>
      <x:c r="N381" s="60"/>
      <x:c r="O381" s="60"/>
      <x:c r="P381" s="60"/>
    </x:row>
    <x:row r="382" ht="30" customHeight="1">
      <x:c r="A382" s="61" t="n">
        <x:v>201</x:v>
      </x:c>
      <x:c r="B382" s="61">
        <x:f>IF(A382&lt;$E$32,ROUNDUP(ROUND($E$29*$E$30^A382,6),0),"")</x:f>
        <x:v>40281842</x:v>
      </x:c>
      <x:c r="C382" s="61">
        <x:f>IF(A382&lt;=$E$32,C381+B381,"")</x:f>
        <x:v>575454267</x:v>
      </x:c>
      <x:c r="D382" s="79">
        <x:f>IF(A382&lt;=$E$32,$E$31^A382,"")</x:f>
        <x:v>143.05299137393646</x:v>
      </x:c>
      <x:c r="E382" s="61" t="str">
        <x:f>IF(A382&lt;$E$36,ROUNDUP(ROUND($E$33*$E$34^A382,6),0),"")</x:f>
        <x:v/>
      </x:c>
      <x:c r="F382" s="61" t="str">
        <x:f>IF(A382&lt;=$E$36,F381+E381,"")</x:f>
        <x:v/>
      </x:c>
      <x:c r="G382" s="79" t="str">
        <x:f>IF(A382&lt;=$E$36,$E$35^A382,"")</x:f>
        <x:v/>
      </x:c>
      <x:c r="H382" s="61" t="str">
        <x:f>IF(A382&lt;$E$40,ROUNDUP(ROUND($E$37*$E$38^A382,6),0),"")</x:f>
        <x:v/>
      </x:c>
      <x:c r="I382" s="61" t="str">
        <x:f>IF(A382&lt;=$E$40,I381+H381,"")</x:f>
        <x:v/>
      </x:c>
      <x:c r="J382" s="81" t="str">
        <x:f>IF(A382&lt;=$E$40,1+$E$39*A382,"")</x:f>
        <x:v/>
      </x:c>
      <x:c r="K382" s="60"/>
      <x:c r="L382" s="60"/>
      <x:c r="M382" s="60"/>
      <x:c r="N382" s="60"/>
      <x:c r="O382" s="60"/>
      <x:c r="P382" s="60"/>
    </x:row>
    <x:row r="383" ht="30" customHeight="1">
      <x:c r="A383" s="60" t="n">
        <x:v>202</x:v>
      </x:c>
      <x:c r="B383" s="60">
        <x:f>IF(A383&lt;$E$32,ROUNDUP(ROUND($E$29*$E$30^A383,6),0),"")</x:f>
        <x:v>43101571</x:v>
      </x:c>
      <x:c r="C383" s="60">
        <x:f>IF(A383&lt;=$E$32,C382+B382,"")</x:f>
        <x:v>615736109</x:v>
      </x:c>
      <x:c r="D383" s="78">
        <x:f>IF(A383&lt;=$E$32,$E$31^A383,"")</x:f>
        <x:v>146.62931615828487</x:v>
      </x:c>
      <x:c r="E383" s="60" t="str">
        <x:f>IF(A383&lt;$E$36,ROUNDUP(ROUND($E$33*$E$34^A383,6),0),"")</x:f>
        <x:v/>
      </x:c>
      <x:c r="F383" s="60" t="str">
        <x:f>IF(A383&lt;=$E$36,F382+E382,"")</x:f>
        <x:v/>
      </x:c>
      <x:c r="G383" s="78" t="str">
        <x:f>IF(A383&lt;=$E$36,$E$35^A383,"")</x:f>
        <x:v/>
      </x:c>
      <x:c r="H383" s="60" t="str">
        <x:f>IF(A383&lt;$E$40,ROUNDUP(ROUND($E$37*$E$38^A383,6),0),"")</x:f>
        <x:v/>
      </x:c>
      <x:c r="I383" s="60" t="str">
        <x:f>IF(A383&lt;=$E$40,I382+H382,"")</x:f>
        <x:v/>
      </x:c>
      <x:c r="J383" s="80" t="str">
        <x:f>IF(A383&lt;=$E$40,1+$E$39*A383,"")</x:f>
        <x:v/>
      </x:c>
      <x:c r="K383" s="60"/>
      <x:c r="L383" s="60"/>
      <x:c r="M383" s="60"/>
      <x:c r="N383" s="60"/>
      <x:c r="O383" s="60"/>
      <x:c r="P383" s="60"/>
    </x:row>
    <x:row r="384" ht="30" customHeight="1">
      <x:c r="A384" s="61" t="n">
        <x:v>203</x:v>
      </x:c>
      <x:c r="B384" s="61">
        <x:f>IF(A384&lt;$E$32,ROUNDUP(ROUND($E$29*$E$30^A384,6),0),"")</x:f>
        <x:v>46118681</x:v>
      </x:c>
      <x:c r="C384" s="61">
        <x:f>IF(A384&lt;=$E$32,C383+B383,"")</x:f>
        <x:v>658837680</x:v>
      </x:c>
      <x:c r="D384" s="79">
        <x:f>IF(A384&lt;=$E$32,$E$31^A384,"")</x:f>
        <x:v>150.29504906224199</x:v>
      </x:c>
      <x:c r="E384" s="61" t="str">
        <x:f>IF(A384&lt;$E$36,ROUNDUP(ROUND($E$33*$E$34^A384,6),0),"")</x:f>
        <x:v/>
      </x:c>
      <x:c r="F384" s="61" t="str">
        <x:f>IF(A384&lt;=$E$36,F383+E383,"")</x:f>
        <x:v/>
      </x:c>
      <x:c r="G384" s="79" t="str">
        <x:f>IF(A384&lt;=$E$36,$E$35^A384,"")</x:f>
        <x:v/>
      </x:c>
      <x:c r="H384" s="61" t="str">
        <x:f>IF(A384&lt;$E$40,ROUNDUP(ROUND($E$37*$E$38^A384,6),0),"")</x:f>
        <x:v/>
      </x:c>
      <x:c r="I384" s="61" t="str">
        <x:f>IF(A384&lt;=$E$40,I383+H383,"")</x:f>
        <x:v/>
      </x:c>
      <x:c r="J384" s="81" t="str">
        <x:f>IF(A384&lt;=$E$40,1+$E$39*A384,"")</x:f>
        <x:v/>
      </x:c>
      <x:c r="K384" s="60"/>
      <x:c r="L384" s="60"/>
      <x:c r="M384" s="60"/>
      <x:c r="N384" s="60"/>
      <x:c r="O384" s="60"/>
      <x:c r="P384" s="60"/>
    </x:row>
    <x:row r="385" ht="30" customHeight="1">
      <x:c r="A385" s="60" t="n">
        <x:v>204</x:v>
      </x:c>
      <x:c r="B385" s="60">
        <x:f>IF(A385&lt;$E$32,ROUNDUP(ROUND($E$29*$E$30^A385,6),0),"")</x:f>
        <x:v>49346989</x:v>
      </x:c>
      <x:c r="C385" s="60">
        <x:f>IF(A385&lt;=$E$32,C384+B384,"")</x:f>
        <x:v>704956361</x:v>
      </x:c>
      <x:c r="D385" s="78">
        <x:f>IF(A385&lt;=$E$32,$E$31^A385,"")</x:f>
        <x:v>154.05242528879802</x:v>
      </x:c>
      <x:c r="E385" s="60" t="str">
        <x:f>IF(A385&lt;$E$36,ROUNDUP(ROUND($E$33*$E$34^A385,6),0),"")</x:f>
        <x:v/>
      </x:c>
      <x:c r="F385" s="60" t="str">
        <x:f>IF(A385&lt;=$E$36,F384+E384,"")</x:f>
        <x:v/>
      </x:c>
      <x:c r="G385" s="78" t="str">
        <x:f>IF(A385&lt;=$E$36,$E$35^A385,"")</x:f>
        <x:v/>
      </x:c>
      <x:c r="H385" s="60" t="str">
        <x:f>IF(A385&lt;$E$40,ROUNDUP(ROUND($E$37*$E$38^A385,6),0),"")</x:f>
        <x:v/>
      </x:c>
      <x:c r="I385" s="60" t="str">
        <x:f>IF(A385&lt;=$E$40,I384+H384,"")</x:f>
        <x:v/>
      </x:c>
      <x:c r="J385" s="80" t="str">
        <x:f>IF(A385&lt;=$E$40,1+$E$39*A385,"")</x:f>
        <x:v/>
      </x:c>
      <x:c r="K385" s="60"/>
      <x:c r="L385" s="60"/>
      <x:c r="M385" s="60"/>
      <x:c r="N385" s="60"/>
      <x:c r="O385" s="60"/>
      <x:c r="P385" s="60"/>
    </x:row>
    <x:row r="386" ht="30" customHeight="1">
      <x:c r="A386" s="61" t="n">
        <x:v>205</x:v>
      </x:c>
      <x:c r="B386" s="61">
        <x:f>IF(A386&lt;$E$32,ROUNDUP(ROUND($E$29*$E$30^A386,6),0),"")</x:f>
        <x:v>52801278</x:v>
      </x:c>
      <x:c r="C386" s="61">
        <x:f>IF(A386&lt;=$E$32,C385+B385,"")</x:f>
        <x:v>754303350</x:v>
      </x:c>
      <x:c r="D386" s="79">
        <x:f>IF(A386&lt;=$E$32,$E$31^A386,"")</x:f>
        <x:v>157.90373592101795</x:v>
      </x:c>
      <x:c r="E386" s="61" t="str">
        <x:f>IF(A386&lt;$E$36,ROUNDUP(ROUND($E$33*$E$34^A386,6),0),"")</x:f>
        <x:v/>
      </x:c>
      <x:c r="F386" s="61" t="str">
        <x:f>IF(A386&lt;=$E$36,F385+E385,"")</x:f>
        <x:v/>
      </x:c>
      <x:c r="G386" s="79" t="str">
        <x:f>IF(A386&lt;=$E$36,$E$35^A386,"")</x:f>
        <x:v/>
      </x:c>
      <x:c r="H386" s="61" t="str">
        <x:f>IF(A386&lt;$E$40,ROUNDUP(ROUND($E$37*$E$38^A386,6),0),"")</x:f>
        <x:v/>
      </x:c>
      <x:c r="I386" s="61" t="str">
        <x:f>IF(A386&lt;=$E$40,I385+H385,"")</x:f>
        <x:v/>
      </x:c>
      <x:c r="J386" s="81" t="str">
        <x:f>IF(A386&lt;=$E$40,1+$E$39*A386,"")</x:f>
        <x:v/>
      </x:c>
      <x:c r="K386" s="60"/>
      <x:c r="L386" s="60"/>
      <x:c r="M386" s="60"/>
      <x:c r="N386" s="60"/>
      <x:c r="O386" s="60"/>
      <x:c r="P386" s="60"/>
    </x:row>
    <x:row r="387" ht="30" customHeight="1">
      <x:c r="A387" s="60" t="n">
        <x:v>206</x:v>
      </x:c>
      <x:c r="B387" s="60">
        <x:f>IF(A387&lt;$E$32,ROUNDUP(ROUND($E$29*$E$30^A387,6),0),"")</x:f>
        <x:v>56497367</x:v>
      </x:c>
      <x:c r="C387" s="60">
        <x:f>IF(A387&lt;=$E$32,C386+B386,"")</x:f>
        <x:v>807104628</x:v>
      </x:c>
      <x:c r="D387" s="78">
        <x:f>IF(A387&lt;=$E$32,$E$31^A387,"")</x:f>
        <x:v>161.8513293190434</x:v>
      </x:c>
      <x:c r="E387" s="60" t="str">
        <x:f>IF(A387&lt;$E$36,ROUNDUP(ROUND($E$33*$E$34^A387,6),0),"")</x:f>
        <x:v/>
      </x:c>
      <x:c r="F387" s="60" t="str">
        <x:f>IF(A387&lt;=$E$36,F386+E386,"")</x:f>
        <x:v/>
      </x:c>
      <x:c r="G387" s="78" t="str">
        <x:f>IF(A387&lt;=$E$36,$E$35^A387,"")</x:f>
        <x:v/>
      </x:c>
      <x:c r="H387" s="60" t="str">
        <x:f>IF(A387&lt;$E$40,ROUNDUP(ROUND($E$37*$E$38^A387,6),0),"")</x:f>
        <x:v/>
      </x:c>
      <x:c r="I387" s="60" t="str">
        <x:f>IF(A387&lt;=$E$40,I386+H386,"")</x:f>
        <x:v/>
      </x:c>
      <x:c r="J387" s="80" t="str">
        <x:f>IF(A387&lt;=$E$40,1+$E$39*A387,"")</x:f>
        <x:v/>
      </x:c>
      <x:c r="K387" s="60"/>
      <x:c r="L387" s="60"/>
      <x:c r="M387" s="60"/>
      <x:c r="N387" s="60"/>
      <x:c r="O387" s="60"/>
      <x:c r="P387" s="60"/>
    </x:row>
    <x:row r="388" ht="30" customHeight="1">
      <x:c r="A388" s="61" t="n">
        <x:v>207</x:v>
      </x:c>
      <x:c r="B388" s="61">
        <x:f>IF(A388&lt;$E$32,ROUNDUP(ROUND($E$29*$E$30^A388,6),0),"")</x:f>
        <x:v>60452183</x:v>
      </x:c>
      <x:c r="C388" s="61">
        <x:f>IF(A388&lt;=$E$32,C387+B387,"")</x:f>
        <x:v>863601995</x:v>
      </x:c>
      <x:c r="D388" s="79">
        <x:f>IF(A388&lt;=$E$32,$E$31^A388,"")</x:f>
        <x:v>165.89761255201952</x:v>
      </x:c>
      <x:c r="E388" s="61" t="str">
        <x:f>IF(A388&lt;$E$36,ROUNDUP(ROUND($E$33*$E$34^A388,6),0),"")</x:f>
        <x:v/>
      </x:c>
      <x:c r="F388" s="61" t="str">
        <x:f>IF(A388&lt;=$E$36,F387+E387,"")</x:f>
        <x:v/>
      </x:c>
      <x:c r="G388" s="79" t="str">
        <x:f>IF(A388&lt;=$E$36,$E$35^A388,"")</x:f>
        <x:v/>
      </x:c>
      <x:c r="H388" s="61" t="str">
        <x:f>IF(A388&lt;$E$40,ROUNDUP(ROUND($E$37*$E$38^A388,6),0),"")</x:f>
        <x:v/>
      </x:c>
      <x:c r="I388" s="61" t="str">
        <x:f>IF(A388&lt;=$E$40,I387+H387,"")</x:f>
        <x:v/>
      </x:c>
      <x:c r="J388" s="81" t="str">
        <x:f>IF(A388&lt;=$E$40,1+$E$39*A388,"")</x:f>
        <x:v/>
      </x:c>
      <x:c r="K388" s="60"/>
      <x:c r="L388" s="60"/>
      <x:c r="M388" s="60"/>
      <x:c r="N388" s="60"/>
      <x:c r="O388" s="60"/>
      <x:c r="P388" s="60"/>
    </x:row>
    <x:row r="389" ht="30" customHeight="1">
      <x:c r="A389" s="60" t="n">
        <x:v>208</x:v>
      </x:c>
      <x:c r="B389" s="60">
        <x:f>IF(A389&lt;$E$32,ROUNDUP(ROUND($E$29*$E$30^A389,6),0),"")</x:f>
        <x:v>64683836</x:v>
      </x:c>
      <x:c r="C389" s="60">
        <x:f>IF(A389&lt;=$E$32,C388+B388,"")</x:f>
        <x:v>924054178</x:v>
      </x:c>
      <x:c r="D389" s="78">
        <x:f>IF(A389&lt;=$E$32,$E$31^A389,"")</x:f>
        <x:v>170.04505286581997</x:v>
      </x:c>
      <x:c r="E389" s="60" t="str">
        <x:f>IF(A389&lt;$E$36,ROUNDUP(ROUND($E$33*$E$34^A389,6),0),"")</x:f>
        <x:v/>
      </x:c>
      <x:c r="F389" s="60" t="str">
        <x:f>IF(A389&lt;=$E$36,F388+E388,"")</x:f>
        <x:v/>
      </x:c>
      <x:c r="G389" s="78" t="str">
        <x:f>IF(A389&lt;=$E$36,$E$35^A389,"")</x:f>
        <x:v/>
      </x:c>
      <x:c r="H389" s="60" t="str">
        <x:f>IF(A389&lt;$E$40,ROUNDUP(ROUND($E$37*$E$38^A389,6),0),"")</x:f>
        <x:v/>
      </x:c>
      <x:c r="I389" s="60" t="str">
        <x:f>IF(A389&lt;=$E$40,I388+H388,"")</x:f>
        <x:v/>
      </x:c>
      <x:c r="J389" s="80" t="str">
        <x:f>IF(A389&lt;=$E$40,1+$E$39*A389,"")</x:f>
        <x:v/>
      </x:c>
      <x:c r="K389" s="60"/>
      <x:c r="L389" s="60"/>
      <x:c r="M389" s="60"/>
      <x:c r="N389" s="60"/>
      <x:c r="O389" s="60"/>
      <x:c r="P389" s="60"/>
    </x:row>
    <x:row r="390" ht="30" customHeight="1">
      <x:c r="A390" s="61" t="n">
        <x:v>209</x:v>
      </x:c>
      <x:c r="B390" s="61">
        <x:f>IF(A390&lt;$E$32,ROUNDUP(ROUND($E$29*$E$30^A390,6),0),"")</x:f>
        <x:v>69211704</x:v>
      </x:c>
      <x:c r="C390" s="61">
        <x:f>IF(A390&lt;=$E$32,C389+B389,"")</x:f>
        <x:v>988738014</x:v>
      </x:c>
      <x:c r="D390" s="79">
        <x:f>IF(A390&lt;=$E$32,$E$31^A390,"")</x:f>
        <x:v>174.29617918746547</x:v>
      </x:c>
      <x:c r="E390" s="61" t="str">
        <x:f>IF(A390&lt;$E$36,ROUNDUP(ROUND($E$33*$E$34^A390,6),0),"")</x:f>
        <x:v/>
      </x:c>
      <x:c r="F390" s="61" t="str">
        <x:f>IF(A390&lt;=$E$36,F389+E389,"")</x:f>
        <x:v/>
      </x:c>
      <x:c r="G390" s="79" t="str">
        <x:f>IF(A390&lt;=$E$36,$E$35^A390,"")</x:f>
        <x:v/>
      </x:c>
      <x:c r="H390" s="61" t="str">
        <x:f>IF(A390&lt;$E$40,ROUNDUP(ROUND($E$37*$E$38^A390,6),0),"")</x:f>
        <x:v/>
      </x:c>
      <x:c r="I390" s="61" t="str">
        <x:f>IF(A390&lt;=$E$40,I389+H389,"")</x:f>
        <x:v/>
      </x:c>
      <x:c r="J390" s="81" t="str">
        <x:f>IF(A390&lt;=$E$40,1+$E$39*A390,"")</x:f>
        <x:v/>
      </x:c>
      <x:c r="K390" s="60"/>
      <x:c r="L390" s="60"/>
      <x:c r="M390" s="60"/>
      <x:c r="N390" s="60"/>
      <x:c r="O390" s="60"/>
      <x:c r="P390" s="60"/>
    </x:row>
    <x:row r="391" ht="30" customHeight="1">
      <x:c r="A391" s="60" t="n">
        <x:v>210</x:v>
      </x:c>
      <x:c r="B391" s="60">
        <x:f>IF(A391&lt;$E$32,ROUNDUP(ROUND($E$29*$E$30^A391,6),0),"")</x:f>
        <x:v>74056524</x:v>
      </x:c>
      <x:c r="C391" s="60">
        <x:f>IF(A391&lt;=$E$32,C390+B390,"")</x:f>
        <x:v>1057949718</x:v>
      </x:c>
      <x:c r="D391" s="78">
        <x:f>IF(A391&lt;=$E$32,$E$31^A391,"")</x:f>
        <x:v>178.65358366715211</x:v>
      </x:c>
      <x:c r="E391" s="60" t="str">
        <x:f>IF(A391&lt;$E$36,ROUNDUP(ROUND($E$33*$E$34^A391,6),0),"")</x:f>
        <x:v/>
      </x:c>
      <x:c r="F391" s="60" t="str">
        <x:f>IF(A391&lt;=$E$36,F390+E390,"")</x:f>
        <x:v/>
      </x:c>
      <x:c r="G391" s="78" t="str">
        <x:f>IF(A391&lt;=$E$36,$E$35^A391,"")</x:f>
        <x:v/>
      </x:c>
      <x:c r="H391" s="60" t="str">
        <x:f>IF(A391&lt;$E$40,ROUNDUP(ROUND($E$37*$E$38^A391,6),0),"")</x:f>
        <x:v/>
      </x:c>
      <x:c r="I391" s="60" t="str">
        <x:f>IF(A391&lt;=$E$40,I390+H390,"")</x:f>
        <x:v/>
      </x:c>
      <x:c r="J391" s="80" t="str">
        <x:f>IF(A391&lt;=$E$40,1+$E$39*A391,"")</x:f>
        <x:v/>
      </x:c>
      <x:c r="K391" s="60"/>
      <x:c r="L391" s="60"/>
      <x:c r="M391" s="60"/>
      <x:c r="N391" s="60"/>
      <x:c r="O391" s="60"/>
      <x:c r="P391" s="60"/>
    </x:row>
    <x:row r="392" ht="30" customHeight="1">
      <x:c r="A392" s="61" t="n">
        <x:v>211</x:v>
      </x:c>
      <x:c r="B392" s="61">
        <x:f>IF(A392&lt;$E$32,ROUNDUP(ROUND($E$29*$E$30^A392,6),0),"")</x:f>
        <x:v>79240480</x:v>
      </x:c>
      <x:c r="C392" s="61">
        <x:f>IF(A392&lt;=$E$32,C391+B391,"")</x:f>
        <x:v>1132006242</x:v>
      </x:c>
      <x:c r="D392" s="79">
        <x:f>IF(A392&lt;=$E$32,$E$31^A392,"")</x:f>
        <x:v>183.11992325883091</x:v>
      </x:c>
      <x:c r="E392" s="61" t="str">
        <x:f>IF(A392&lt;$E$36,ROUNDUP(ROUND($E$33*$E$34^A392,6),0),"")</x:f>
        <x:v/>
      </x:c>
      <x:c r="F392" s="61" t="str">
        <x:f>IF(A392&lt;=$E$36,F391+E391,"")</x:f>
        <x:v/>
      </x:c>
      <x:c r="G392" s="79" t="str">
        <x:f>IF(A392&lt;=$E$36,$E$35^A392,"")</x:f>
        <x:v/>
      </x:c>
      <x:c r="H392" s="61" t="str">
        <x:f>IF(A392&lt;$E$40,ROUNDUP(ROUND($E$37*$E$38^A392,6),0),"")</x:f>
        <x:v/>
      </x:c>
      <x:c r="I392" s="61" t="str">
        <x:f>IF(A392&lt;=$E$40,I391+H391,"")</x:f>
        <x:v/>
      </x:c>
      <x:c r="J392" s="81" t="str">
        <x:f>IF(A392&lt;=$E$40,1+$E$39*A392,"")</x:f>
        <x:v/>
      </x:c>
      <x:c r="K392" s="60"/>
      <x:c r="L392" s="60"/>
      <x:c r="M392" s="60"/>
      <x:c r="N392" s="60"/>
      <x:c r="O392" s="60"/>
      <x:c r="P392" s="60"/>
    </x:row>
    <x:row r="393" ht="30" customHeight="1">
      <x:c r="A393" s="60" t="n">
        <x:v>212</x:v>
      </x:c>
      <x:c r="B393" s="60">
        <x:f>IF(A393&lt;$E$32,ROUNDUP(ROUND($E$29*$E$30^A393,6),0),"")</x:f>
        <x:v>84787314</x:v>
      </x:c>
      <x:c r="C393" s="60">
        <x:f>IF(A393&lt;=$E$32,C392+B392,"")</x:f>
        <x:v>1211246722</x:v>
      </x:c>
      <x:c r="D393" s="78">
        <x:f>IF(A393&lt;=$E$32,$E$31^A393,"")</x:f>
        <x:v>187.69792134030166</x:v>
      </x:c>
      <x:c r="E393" s="60" t="str">
        <x:f>IF(A393&lt;$E$36,ROUNDUP(ROUND($E$33*$E$34^A393,6),0),"")</x:f>
        <x:v/>
      </x:c>
      <x:c r="F393" s="60" t="str">
        <x:f>IF(A393&lt;=$E$36,F392+E392,"")</x:f>
        <x:v/>
      </x:c>
      <x:c r="G393" s="78" t="str">
        <x:f>IF(A393&lt;=$E$36,$E$35^A393,"")</x:f>
        <x:v/>
      </x:c>
      <x:c r="H393" s="60" t="str">
        <x:f>IF(A393&lt;$E$40,ROUNDUP(ROUND($E$37*$E$38^A393,6),0),"")</x:f>
        <x:v/>
      </x:c>
      <x:c r="I393" s="60" t="str">
        <x:f>IF(A393&lt;=$E$40,I392+H392,"")</x:f>
        <x:v/>
      </x:c>
      <x:c r="J393" s="80" t="str">
        <x:f>IF(A393&lt;=$E$40,1+$E$39*A393,"")</x:f>
        <x:v/>
      </x:c>
      <x:c r="K393" s="60"/>
      <x:c r="L393" s="60"/>
      <x:c r="M393" s="60"/>
      <x:c r="N393" s="60"/>
      <x:c r="O393" s="60"/>
      <x:c r="P393" s="60"/>
    </x:row>
    <x:row r="394" ht="30" customHeight="1">
      <x:c r="A394" s="61" t="n">
        <x:v>213</x:v>
      </x:c>
      <x:c r="B394" s="61">
        <x:f>IF(A394&lt;$E$32,ROUNDUP(ROUND($E$29*$E$30^A394,6),0),"")</x:f>
        <x:v>90722426</x:v>
      </x:c>
      <x:c r="C394" s="61">
        <x:f>IF(A394&lt;=$E$32,C393+B393,"")</x:f>
        <x:v>1296034036</x:v>
      </x:c>
      <x:c r="D394" s="79">
        <x:f>IF(A394&lt;=$E$32,$E$31^A394,"")</x:f>
        <x:v>192.39036937380919</x:v>
      </x:c>
      <x:c r="E394" s="61" t="str">
        <x:f>IF(A394&lt;$E$36,ROUNDUP(ROUND($E$33*$E$34^A394,6),0),"")</x:f>
        <x:v/>
      </x:c>
      <x:c r="F394" s="61" t="str">
        <x:f>IF(A394&lt;=$E$36,F393+E393,"")</x:f>
        <x:v/>
      </x:c>
      <x:c r="G394" s="79" t="str">
        <x:f>IF(A394&lt;=$E$36,$E$35^A394,"")</x:f>
        <x:v/>
      </x:c>
      <x:c r="H394" s="61" t="str">
        <x:f>IF(A394&lt;$E$40,ROUNDUP(ROUND($E$37*$E$38^A394,6),0),"")</x:f>
        <x:v/>
      </x:c>
      <x:c r="I394" s="61" t="str">
        <x:f>IF(A394&lt;=$E$40,I393+H393,"")</x:f>
        <x:v/>
      </x:c>
      <x:c r="J394" s="81" t="str">
        <x:f>IF(A394&lt;=$E$40,1+$E$39*A394,"")</x:f>
        <x:v/>
      </x:c>
      <x:c r="K394" s="60"/>
      <x:c r="L394" s="60"/>
      <x:c r="M394" s="60"/>
      <x:c r="N394" s="60"/>
      <x:c r="O394" s="60"/>
      <x:c r="P394" s="60"/>
    </x:row>
    <x:row r="395" ht="30" customHeight="1">
      <x:c r="A395" s="60" t="n">
        <x:v>214</x:v>
      </x:c>
      <x:c r="B395" s="60">
        <x:f>IF(A395&lt;$E$32,ROUNDUP(ROUND($E$29*$E$30^A395,6),0),"")</x:f>
        <x:v>97072995</x:v>
      </x:c>
      <x:c r="C395" s="60">
        <x:f>IF(A395&lt;=$E$32,C394+B394,"")</x:f>
        <x:v>1386756462</x:v>
      </x:c>
      <x:c r="D395" s="78">
        <x:f>IF(A395&lt;=$E$32,$E$31^A395,"")</x:f>
        <x:v>197.20012860815442</x:v>
      </x:c>
      <x:c r="E395" s="60" t="str">
        <x:f>IF(A395&lt;$E$36,ROUNDUP(ROUND($E$33*$E$34^A395,6),0),"")</x:f>
        <x:v/>
      </x:c>
      <x:c r="F395" s="60" t="str">
        <x:f>IF(A395&lt;=$E$36,F394+E394,"")</x:f>
        <x:v/>
      </x:c>
      <x:c r="G395" s="78" t="str">
        <x:f>IF(A395&lt;=$E$36,$E$35^A395,"")</x:f>
        <x:v/>
      </x:c>
      <x:c r="H395" s="60" t="str">
        <x:f>IF(A395&lt;$E$40,ROUNDUP(ROUND($E$37*$E$38^A395,6),0),"")</x:f>
        <x:v/>
      </x:c>
      <x:c r="I395" s="60" t="str">
        <x:f>IF(A395&lt;=$E$40,I394+H394,"")</x:f>
        <x:v/>
      </x:c>
      <x:c r="J395" s="80" t="str">
        <x:f>IF(A395&lt;=$E$40,1+$E$39*A395,"")</x:f>
        <x:v/>
      </x:c>
      <x:c r="K395" s="60"/>
      <x:c r="L395" s="60"/>
      <x:c r="M395" s="60"/>
      <x:c r="N395" s="60"/>
      <x:c r="O395" s="60"/>
      <x:c r="P395" s="60"/>
    </x:row>
    <x:row r="396" ht="30" customHeight="1">
      <x:c r="A396" s="61" t="n">
        <x:v>215</x:v>
      </x:c>
      <x:c r="B396" s="61">
        <x:f>IF(A396&lt;$E$32,ROUNDUP(ROUND($E$29*$E$30^A396,6),0),"")</x:f>
        <x:v>103868105</x:v>
      </x:c>
      <x:c r="C396" s="61">
        <x:f>IF(A396&lt;=$E$32,C395+B395,"")</x:f>
        <x:v>1483829457</x:v>
      </x:c>
      <x:c r="D396" s="79">
        <x:f>IF(A396&lt;=$E$32,$E$31^A396,"")</x:f>
        <x:v>202.13013182335825</x:v>
      </x:c>
      <x:c r="E396" s="61" t="str">
        <x:f>IF(A396&lt;$E$36,ROUNDUP(ROUND($E$33*$E$34^A396,6),0),"")</x:f>
        <x:v/>
      </x:c>
      <x:c r="F396" s="61" t="str">
        <x:f>IF(A396&lt;=$E$36,F395+E395,"")</x:f>
        <x:v/>
      </x:c>
      <x:c r="G396" s="79" t="str">
        <x:f>IF(A396&lt;=$E$36,$E$35^A396,"")</x:f>
        <x:v/>
      </x:c>
      <x:c r="H396" s="61" t="str">
        <x:f>IF(A396&lt;$E$40,ROUNDUP(ROUND($E$37*$E$38^A396,6),0),"")</x:f>
        <x:v/>
      </x:c>
      <x:c r="I396" s="61" t="str">
        <x:f>IF(A396&lt;=$E$40,I395+H395,"")</x:f>
        <x:v/>
      </x:c>
      <x:c r="J396" s="81" t="str">
        <x:f>IF(A396&lt;=$E$40,1+$E$39*A396,"")</x:f>
        <x:v/>
      </x:c>
      <x:c r="K396" s="60"/>
      <x:c r="L396" s="60"/>
      <x:c r="M396" s="60"/>
      <x:c r="N396" s="60"/>
      <x:c r="O396" s="60"/>
      <x:c r="P396" s="60"/>
    </x:row>
    <x:row r="397" ht="30" customHeight="1">
      <x:c r="A397" s="60" t="n">
        <x:v>216</x:v>
      </x:c>
      <x:c r="B397" s="60">
        <x:f>IF(A397&lt;$E$32,ROUNDUP(ROUND($E$29*$E$30^A397,6),0),"")</x:f>
        <x:v>111138872</x:v>
      </x:c>
      <x:c r="C397" s="60">
        <x:f>IF(A397&lt;=$E$32,C396+B396,"")</x:f>
        <x:v>1587697562</x:v>
      </x:c>
      <x:c r="D397" s="78">
        <x:f>IF(A397&lt;=$E$32,$E$31^A397,"")</x:f>
        <x:v>207.1833851189422</x:v>
      </x:c>
      <x:c r="E397" s="60" t="str">
        <x:f>IF(A397&lt;$E$36,ROUNDUP(ROUND($E$33*$E$34^A397,6),0),"")</x:f>
        <x:v/>
      </x:c>
      <x:c r="F397" s="60" t="str">
        <x:f>IF(A397&lt;=$E$36,F396+E396,"")</x:f>
        <x:v/>
      </x:c>
      <x:c r="G397" s="78" t="str">
        <x:f>IF(A397&lt;=$E$36,$E$35^A397,"")</x:f>
        <x:v/>
      </x:c>
      <x:c r="H397" s="60" t="str">
        <x:f>IF(A397&lt;$E$40,ROUNDUP(ROUND($E$37*$E$38^A397,6),0),"")</x:f>
        <x:v/>
      </x:c>
      <x:c r="I397" s="60" t="str">
        <x:f>IF(A397&lt;=$E$40,I396+H396,"")</x:f>
        <x:v/>
      </x:c>
      <x:c r="J397" s="80" t="str">
        <x:f>IF(A397&lt;=$E$40,1+$E$39*A397,"")</x:f>
        <x:v/>
      </x:c>
      <x:c r="K397" s="60"/>
      <x:c r="L397" s="60"/>
      <x:c r="M397" s="60"/>
      <x:c r="N397" s="60"/>
      <x:c r="O397" s="60"/>
      <x:c r="P397" s="60"/>
    </x:row>
    <x:row r="398" ht="30" customHeight="1">
      <x:c r="A398" s="61" t="n">
        <x:v>217</x:v>
      </x:c>
      <x:c r="B398" s="61">
        <x:f>IF(A398&lt;$E$32,ROUNDUP(ROUND($E$29*$E$30^A398,6),0),"")</x:f>
        <x:v>118918593</x:v>
      </x:c>
      <x:c r="C398" s="61">
        <x:f>IF(A398&lt;=$E$32,C397+B397,"")</x:f>
        <x:v>1698836434</x:v>
      </x:c>
      <x:c r="D398" s="79">
        <x:f>IF(A398&lt;=$E$32,$E$31^A398,"")</x:f>
        <x:v>212.36296974691572</x:v>
      </x:c>
      <x:c r="E398" s="61" t="str">
        <x:f>IF(A398&lt;$E$36,ROUNDUP(ROUND($E$33*$E$34^A398,6),0),"")</x:f>
        <x:v/>
      </x:c>
      <x:c r="F398" s="61" t="str">
        <x:f>IF(A398&lt;=$E$36,F397+E397,"")</x:f>
        <x:v/>
      </x:c>
      <x:c r="G398" s="79" t="str">
        <x:f>IF(A398&lt;=$E$36,$E$35^A398,"")</x:f>
        <x:v/>
      </x:c>
      <x:c r="H398" s="61" t="str">
        <x:f>IF(A398&lt;$E$40,ROUNDUP(ROUND($E$37*$E$38^A398,6),0),"")</x:f>
        <x:v/>
      </x:c>
      <x:c r="I398" s="61" t="str">
        <x:f>IF(A398&lt;=$E$40,I397+H397,"")</x:f>
        <x:v/>
      </x:c>
      <x:c r="J398" s="81" t="str">
        <x:f>IF(A398&lt;=$E$40,1+$E$39*A398,"")</x:f>
        <x:v/>
      </x:c>
      <x:c r="K398" s="60"/>
      <x:c r="L398" s="60"/>
      <x:c r="M398" s="60"/>
      <x:c r="N398" s="60"/>
      <x:c r="O398" s="60"/>
      <x:c r="P398" s="60"/>
    </x:row>
    <x:row r="399" ht="30" customHeight="1">
      <x:c r="A399" s="60" t="n">
        <x:v>218</x:v>
      </x:c>
      <x:c r="B399" s="60">
        <x:f>IF(A399&lt;$E$32,ROUNDUP(ROUND($E$29*$E$30^A399,6),0),"")</x:f>
        <x:v>127242895</x:v>
      </x:c>
      <x:c r="C399" s="60">
        <x:f>IF(A399&lt;=$E$32,C398+B398,"")</x:f>
        <x:v>1817755027</x:v>
      </x:c>
      <x:c r="D399" s="78">
        <x:f>IF(A399&lt;=$E$32,$E$31^A399,"")</x:f>
        <x:v>217.67204399058861</x:v>
      </x:c>
      <x:c r="E399" s="60" t="str">
        <x:f>IF(A399&lt;$E$36,ROUNDUP(ROUND($E$33*$E$34^A399,6),0),"")</x:f>
        <x:v/>
      </x:c>
      <x:c r="F399" s="60" t="str">
        <x:f>IF(A399&lt;=$E$36,F398+E398,"")</x:f>
        <x:v/>
      </x:c>
      <x:c r="G399" s="78" t="str">
        <x:f>IF(A399&lt;=$E$36,$E$35^A399,"")</x:f>
        <x:v/>
      </x:c>
      <x:c r="H399" s="60" t="str">
        <x:f>IF(A399&lt;$E$40,ROUNDUP(ROUND($E$37*$E$38^A399,6),0),"")</x:f>
        <x:v/>
      </x:c>
      <x:c r="I399" s="60" t="str">
        <x:f>IF(A399&lt;=$E$40,I398+H398,"")</x:f>
        <x:v/>
      </x:c>
      <x:c r="J399" s="80" t="str">
        <x:f>IF(A399&lt;=$E$40,1+$E$39*A399,"")</x:f>
        <x:v/>
      </x:c>
      <x:c r="K399" s="60"/>
      <x:c r="L399" s="60"/>
      <x:c r="M399" s="60"/>
      <x:c r="N399" s="60"/>
      <x:c r="O399" s="60"/>
      <x:c r="P399" s="60"/>
    </x:row>
    <x:row r="400" ht="30" customHeight="1">
      <x:c r="A400" s="61" t="n">
        <x:v>219</x:v>
      </x:c>
      <x:c r="B400" s="61">
        <x:f>IF(A400&lt;$E$32,ROUNDUP(ROUND($E$29*$E$30^A400,6),0),"")</x:f>
        <x:v>136149898</x:v>
      </x:c>
      <x:c r="C400" s="61">
        <x:f>IF(A400&lt;=$E$32,C399+B399,"")</x:f>
        <x:v>1944997922</x:v>
      </x:c>
      <x:c r="D400" s="79">
        <x:f>IF(A400&lt;=$E$32,$E$31^A400,"")</x:f>
        <x:v>223.11384509035335</x:v>
      </x:c>
      <x:c r="E400" s="61" t="str">
        <x:f>IF(A400&lt;$E$36,ROUNDUP(ROUND($E$33*$E$34^A400,6),0),"")</x:f>
        <x:v/>
      </x:c>
      <x:c r="F400" s="61" t="str">
        <x:f>IF(A400&lt;=$E$36,F399+E399,"")</x:f>
        <x:v/>
      </x:c>
      <x:c r="G400" s="79" t="str">
        <x:f>IF(A400&lt;=$E$36,$E$35^A400,"")</x:f>
        <x:v/>
      </x:c>
      <x:c r="H400" s="61" t="str">
        <x:f>IF(A400&lt;$E$40,ROUNDUP(ROUND($E$37*$E$38^A400,6),0),"")</x:f>
        <x:v/>
      </x:c>
      <x:c r="I400" s="61" t="str">
        <x:f>IF(A400&lt;=$E$40,I399+H399,"")</x:f>
        <x:v/>
      </x:c>
      <x:c r="J400" s="81" t="str">
        <x:f>IF(A400&lt;=$E$40,1+$E$39*A400,"")</x:f>
        <x:v/>
      </x:c>
      <x:c r="K400" s="60"/>
      <x:c r="L400" s="60"/>
      <x:c r="M400" s="60"/>
      <x:c r="N400" s="60"/>
      <x:c r="O400" s="60"/>
      <x:c r="P400" s="60"/>
    </x:row>
    <x:row r="401" ht="30" customHeight="1">
      <x:c r="A401" s="60" t="n">
        <x:v>220</x:v>
      </x:c>
      <x:c r="B401" s="60">
        <x:f>IF(A401&lt;$E$32,ROUNDUP(ROUND($E$29*$E$30^A401,6),0),"")</x:f>
        <x:v>145680390</x:v>
      </x:c>
      <x:c r="C401" s="60">
        <x:f>IF(A401&lt;=$E$32,C400+B400,"")</x:f>
        <x:v>2081147820</x:v>
      </x:c>
      <x:c r="D401" s="78">
        <x:f>IF(A401&lt;=$E$32,$E$31^A401,"")</x:f>
        <x:v>228.69169121761212</x:v>
      </x:c>
      <x:c r="E401" s="60" t="str">
        <x:f>IF(A401&lt;$E$36,ROUNDUP(ROUND($E$33*$E$34^A401,6),0),"")</x:f>
        <x:v/>
      </x:c>
      <x:c r="F401" s="60" t="str">
        <x:f>IF(A401&lt;=$E$36,F400+E400,"")</x:f>
        <x:v/>
      </x:c>
      <x:c r="G401" s="78" t="str">
        <x:f>IF(A401&lt;=$E$36,$E$35^A401,"")</x:f>
        <x:v/>
      </x:c>
      <x:c r="H401" s="60" t="str">
        <x:f>IF(A401&lt;$E$40,ROUNDUP(ROUND($E$37*$E$38^A401,6),0),"")</x:f>
        <x:v/>
      </x:c>
      <x:c r="I401" s="60" t="str">
        <x:f>IF(A401&lt;=$E$40,I400+H400,"")</x:f>
        <x:v/>
      </x:c>
      <x:c r="J401" s="80" t="str">
        <x:f>IF(A401&lt;=$E$40,1+$E$39*A401,"")</x:f>
        <x:v/>
      </x:c>
      <x:c r="K401" s="60"/>
      <x:c r="L401" s="60"/>
      <x:c r="M401" s="60"/>
      <x:c r="N401" s="60"/>
      <x:c r="O401" s="60"/>
      <x:c r="P401" s="60"/>
    </x:row>
    <x:row r="402" ht="30" customHeight="1">
      <x:c r="A402" s="61" t="n">
        <x:v>221</x:v>
      </x:c>
      <x:c r="B402" s="61">
        <x:f>IF(A402&lt;$E$32,ROUNDUP(ROUND($E$29*$E$30^A402,6),0),"")</x:f>
        <x:v>155878018</x:v>
      </x:c>
      <x:c r="C402" s="61">
        <x:f>IF(A402&lt;=$E$32,C401+B401,"")</x:f>
        <x:v>2226828210</x:v>
      </x:c>
      <x:c r="D402" s="79">
        <x:f>IF(A402&lt;=$E$32,$E$31^A402,"")</x:f>
        <x:v>234.40898349805246</x:v>
      </x:c>
      <x:c r="E402" s="61" t="str">
        <x:f>IF(A402&lt;$E$36,ROUNDUP(ROUND($E$33*$E$34^A402,6),0),"")</x:f>
        <x:v/>
      </x:c>
      <x:c r="F402" s="61" t="str">
        <x:f>IF(A402&lt;=$E$36,F401+E401,"")</x:f>
        <x:v/>
      </x:c>
      <x:c r="G402" s="79" t="str">
        <x:f>IF(A402&lt;=$E$36,$E$35^A402,"")</x:f>
        <x:v/>
      </x:c>
      <x:c r="H402" s="61" t="str">
        <x:f>IF(A402&lt;$E$40,ROUNDUP(ROUND($E$37*$E$38^A402,6),0),"")</x:f>
        <x:v/>
      </x:c>
      <x:c r="I402" s="61" t="str">
        <x:f>IF(A402&lt;=$E$40,I401+H401,"")</x:f>
        <x:v/>
      </x:c>
      <x:c r="J402" s="81" t="str">
        <x:f>IF(A402&lt;=$E$40,1+$E$39*A402,"")</x:f>
        <x:v/>
      </x:c>
      <x:c r="K402" s="60"/>
      <x:c r="L402" s="60"/>
      <x:c r="M402" s="60"/>
      <x:c r="N402" s="60"/>
      <x:c r="O402" s="60"/>
      <x:c r="P402" s="60"/>
    </x:row>
    <x:row r="403" ht="30" customHeight="1">
      <x:c r="A403" s="60" t="n">
        <x:v>222</x:v>
      </x:c>
      <x:c r="B403" s="60">
        <x:f>IF(A403&lt;$E$32,ROUNDUP(ROUND($E$29*$E$30^A403,6),0),"")</x:f>
        <x:v>166789479</x:v>
      </x:c>
      <x:c r="C403" s="60">
        <x:f>IF(A403&lt;=$E$32,C402+B402,"")</x:f>
        <x:v>2382706228</x:v>
      </x:c>
      <x:c r="D403" s="78">
        <x:f>IF(A403&lt;=$E$32,$E$31^A403,"")</x:f>
        <x:v>240.26920808550372</x:v>
      </x:c>
      <x:c r="E403" s="60" t="str">
        <x:f>IF(A403&lt;$E$36,ROUNDUP(ROUND($E$33*$E$34^A403,6),0),"")</x:f>
        <x:v/>
      </x:c>
      <x:c r="F403" s="60" t="str">
        <x:f>IF(A403&lt;=$E$36,F402+E402,"")</x:f>
        <x:v/>
      </x:c>
      <x:c r="G403" s="78" t="str">
        <x:f>IF(A403&lt;=$E$36,$E$35^A403,"")</x:f>
        <x:v/>
      </x:c>
      <x:c r="H403" s="60" t="str">
        <x:f>IF(A403&lt;$E$40,ROUNDUP(ROUND($E$37*$E$38^A403,6),0),"")</x:f>
        <x:v/>
      </x:c>
      <x:c r="I403" s="60" t="str">
        <x:f>IF(A403&lt;=$E$40,I402+H402,"")</x:f>
        <x:v/>
      </x:c>
      <x:c r="J403" s="80" t="str">
        <x:f>IF(A403&lt;=$E$40,1+$E$39*A403,"")</x:f>
        <x:v/>
      </x:c>
      <x:c r="K403" s="60"/>
      <x:c r="L403" s="60"/>
      <x:c r="M403" s="60"/>
      <x:c r="N403" s="60"/>
      <x:c r="O403" s="60"/>
      <x:c r="P403" s="60"/>
    </x:row>
    <x:row r="404" ht="30" customHeight="1">
      <x:c r="A404" s="61" t="n">
        <x:v>223</x:v>
      </x:c>
      <x:c r="B404" s="61">
        <x:f>IF(A404&lt;$E$32,ROUNDUP(ROUND($E$29*$E$30^A404,6),0),"")</x:f>
        <x:v>178464742</x:v>
      </x:c>
      <x:c r="C404" s="61">
        <x:f>IF(A404&lt;=$E$32,C403+B403,"")</x:f>
        <x:v>2549495707</x:v>
      </x:c>
      <x:c r="D404" s="79">
        <x:f>IF(A404&lt;=$E$32,$E$31^A404,"")</x:f>
        <x:v>246.27593828764137</x:v>
      </x:c>
      <x:c r="E404" s="61" t="str">
        <x:f>IF(A404&lt;$E$36,ROUNDUP(ROUND($E$33*$E$34^A404,6),0),"")</x:f>
        <x:v/>
      </x:c>
      <x:c r="F404" s="61" t="str">
        <x:f>IF(A404&lt;=$E$36,F403+E403,"")</x:f>
        <x:v/>
      </x:c>
      <x:c r="G404" s="79" t="str">
        <x:f>IF(A404&lt;=$E$36,$E$35^A404,"")</x:f>
        <x:v/>
      </x:c>
      <x:c r="H404" s="61" t="str">
        <x:f>IF(A404&lt;$E$40,ROUNDUP(ROUND($E$37*$E$38^A404,6),0),"")</x:f>
        <x:v/>
      </x:c>
      <x:c r="I404" s="61" t="str">
        <x:f>IF(A404&lt;=$E$40,I403+H403,"")</x:f>
        <x:v/>
      </x:c>
      <x:c r="J404" s="81" t="str">
        <x:f>IF(A404&lt;=$E$40,1+$E$39*A404,"")</x:f>
        <x:v/>
      </x:c>
      <x:c r="K404" s="60"/>
      <x:c r="L404" s="60"/>
      <x:c r="M404" s="60"/>
      <x:c r="N404" s="60"/>
      <x:c r="O404" s="60"/>
      <x:c r="P404" s="60"/>
    </x:row>
    <x:row r="405" ht="30" customHeight="1">
      <x:c r="A405" s="60" t="n">
        <x:v>224</x:v>
      </x:c>
      <x:c r="B405" s="60">
        <x:f>IF(A405&lt;$E$32,ROUNDUP(ROUND($E$29*$E$30^A405,6),0),"")</x:f>
        <x:v>190957274</x:v>
      </x:c>
      <x:c r="C405" s="60">
        <x:f>IF(A405&lt;=$E$32,C404+B404,"")</x:f>
        <x:v>2727960449</x:v>
      </x:c>
      <x:c r="D405" s="78">
        <x:f>IF(A405&lt;=$E$32,$E$31^A405,"")</x:f>
        <x:v>252.43283674483234</x:v>
      </x:c>
      <x:c r="E405" s="60" t="str">
        <x:f>IF(A405&lt;$E$36,ROUNDUP(ROUND($E$33*$E$34^A405,6),0),"")</x:f>
        <x:v/>
      </x:c>
      <x:c r="F405" s="60" t="str">
        <x:f>IF(A405&lt;=$E$36,F404+E404,"")</x:f>
        <x:v/>
      </x:c>
      <x:c r="G405" s="78" t="str">
        <x:f>IF(A405&lt;=$E$36,$E$35^A405,"")</x:f>
        <x:v/>
      </x:c>
      <x:c r="H405" s="60" t="str">
        <x:f>IF(A405&lt;$E$40,ROUNDUP(ROUND($E$37*$E$38^A405,6),0),"")</x:f>
        <x:v/>
      </x:c>
      <x:c r="I405" s="60" t="str">
        <x:f>IF(A405&lt;=$E$40,I404+H404,"")</x:f>
        <x:v/>
      </x:c>
      <x:c r="J405" s="80" t="str">
        <x:f>IF(A405&lt;=$E$40,1+$E$39*A405,"")</x:f>
        <x:v/>
      </x:c>
      <x:c r="K405" s="60"/>
      <x:c r="L405" s="60"/>
      <x:c r="M405" s="60"/>
      <x:c r="N405" s="60"/>
      <x:c r="O405" s="60"/>
      <x:c r="P405" s="60"/>
    </x:row>
    <x:row r="406" ht="30" customHeight="1">
      <x:c r="A406" s="61" t="n">
        <x:v>225</x:v>
      </x:c>
      <x:c r="B406" s="61">
        <x:f>IF(A406&lt;$E$32,ROUNDUP(ROUND($E$29*$E$30^A406,6),0),"")</x:f>
        <x:v>204324283</x:v>
      </x:c>
      <x:c r="C406" s="61">
        <x:f>IF(A406&lt;=$E$32,C405+B405,"")</x:f>
        <x:v>2918917723</x:v>
      </x:c>
      <x:c r="D406" s="79">
        <x:f>IF(A406&lt;=$E$32,$E$31^A406,"")</x:f>
        <x:v>258.74365766345312</x:v>
      </x:c>
      <x:c r="E406" s="61" t="str">
        <x:f>IF(A406&lt;$E$36,ROUNDUP(ROUND($E$33*$E$34^A406,6),0),"")</x:f>
        <x:v/>
      </x:c>
      <x:c r="F406" s="61" t="str">
        <x:f>IF(A406&lt;=$E$36,F405+E405,"")</x:f>
        <x:v/>
      </x:c>
      <x:c r="G406" s="79" t="str">
        <x:f>IF(A406&lt;=$E$36,$E$35^A406,"")</x:f>
        <x:v/>
      </x:c>
      <x:c r="H406" s="61" t="str">
        <x:f>IF(A406&lt;$E$40,ROUNDUP(ROUND($E$37*$E$38^A406,6),0),"")</x:f>
        <x:v/>
      </x:c>
      <x:c r="I406" s="61" t="str">
        <x:f>IF(A406&lt;=$E$40,I405+H405,"")</x:f>
        <x:v/>
      </x:c>
      <x:c r="J406" s="81" t="str">
        <x:f>IF(A406&lt;=$E$40,1+$E$39*A406,"")</x:f>
        <x:v/>
      </x:c>
      <x:c r="K406" s="60"/>
      <x:c r="L406" s="60"/>
      <x:c r="M406" s="60"/>
      <x:c r="N406" s="60"/>
      <x:c r="O406" s="60"/>
      <x:c r="P406" s="60"/>
    </x:row>
    <x:row r="407" ht="30" customHeight="1">
      <x:c r="A407" s="60" t="n">
        <x:v>226</x:v>
      </x:c>
      <x:c r="B407" s="60">
        <x:f>IF(A407&lt;$E$32,ROUNDUP(ROUND($E$29*$E$30^A407,6),0),"")</x:f>
        <x:v>218626983</x:v>
      </x:c>
      <x:c r="C407" s="60">
        <x:f>IF(A407&lt;=$E$32,C406+B406,"")</x:f>
        <x:v>3123242006</x:v>
      </x:c>
      <x:c r="D407" s="78">
        <x:f>IF(A407&lt;=$E$32,$E$31^A407,"")</x:f>
        <x:v>265.21224910503946</x:v>
      </x:c>
      <x:c r="E407" s="60" t="str">
        <x:f>IF(A407&lt;$E$36,ROUNDUP(ROUND($E$33*$E$34^A407,6),0),"")</x:f>
        <x:v/>
      </x:c>
      <x:c r="F407" s="60" t="str">
        <x:f>IF(A407&lt;=$E$36,F406+E406,"")</x:f>
        <x:v/>
      </x:c>
      <x:c r="G407" s="78" t="str">
        <x:f>IF(A407&lt;=$E$36,$E$35^A407,"")</x:f>
        <x:v/>
      </x:c>
      <x:c r="H407" s="60" t="str">
        <x:f>IF(A407&lt;$E$40,ROUNDUP(ROUND($E$37*$E$38^A407,6),0),"")</x:f>
        <x:v/>
      </x:c>
      <x:c r="I407" s="60" t="str">
        <x:f>IF(A407&lt;=$E$40,I406+H406,"")</x:f>
        <x:v/>
      </x:c>
      <x:c r="J407" s="80" t="str">
        <x:f>IF(A407&lt;=$E$40,1+$E$39*A407,"")</x:f>
        <x:v/>
      </x:c>
      <x:c r="K407" s="60"/>
      <x:c r="L407" s="60"/>
      <x:c r="M407" s="60"/>
      <x:c r="N407" s="60"/>
      <x:c r="O407" s="60"/>
      <x:c r="P407" s="60"/>
    </x:row>
    <x:row r="408" ht="30" customHeight="1">
      <x:c r="A408" s="61" t="n">
        <x:v>227</x:v>
      </x:c>
      <x:c r="B408" s="61">
        <x:f>IF(A408&lt;$E$32,ROUNDUP(ROUND($E$29*$E$30^A408,6),0),"")</x:f>
        <x:v>233930872</x:v>
      </x:c>
      <x:c r="C408" s="61">
        <x:f>IF(A408&lt;=$E$32,C407+B407,"")</x:f>
        <x:v>3341868989</x:v>
      </x:c>
      <x:c r="D408" s="79">
        <x:f>IF(A408&lt;=$E$32,$E$31^A408,"")</x:f>
        <x:v>271.84255533266543</x:v>
      </x:c>
      <x:c r="E408" s="61" t="str">
        <x:f>IF(A408&lt;$E$36,ROUNDUP(ROUND($E$33*$E$34^A408,6),0),"")</x:f>
        <x:v/>
      </x:c>
      <x:c r="F408" s="61" t="str">
        <x:f>IF(A408&lt;=$E$36,F407+E407,"")</x:f>
        <x:v/>
      </x:c>
      <x:c r="G408" s="79" t="str">
        <x:f>IF(A408&lt;=$E$36,$E$35^A408,"")</x:f>
        <x:v/>
      </x:c>
      <x:c r="H408" s="61" t="str">
        <x:f>IF(A408&lt;$E$40,ROUNDUP(ROUND($E$37*$E$38^A408,6),0),"")</x:f>
        <x:v/>
      </x:c>
      <x:c r="I408" s="61" t="str">
        <x:f>IF(A408&lt;=$E$40,I407+H407,"")</x:f>
        <x:v/>
      </x:c>
      <x:c r="J408" s="81" t="str">
        <x:f>IF(A408&lt;=$E$40,1+$E$39*A408,"")</x:f>
        <x:v/>
      </x:c>
      <x:c r="K408" s="60"/>
      <x:c r="L408" s="60"/>
      <x:c r="M408" s="60"/>
      <x:c r="N408" s="60"/>
      <x:c r="O408" s="60"/>
      <x:c r="P408" s="60"/>
    </x:row>
    <x:row r="409" ht="30" customHeight="1">
      <x:c r="A409" s="60" t="n">
        <x:v>228</x:v>
      </x:c>
      <x:c r="B409" s="60">
        <x:f>IF(A409&lt;$E$32,ROUNDUP(ROUND($E$29*$E$30^A409,6),0),"")</x:f>
        <x:v>250306033</x:v>
      </x:c>
      <x:c r="C409" s="60">
        <x:f>IF(A409&lt;=$E$32,C408+B408,"")</x:f>
        <x:v>3575799861</x:v>
      </x:c>
      <x:c r="D409" s="78">
        <x:f>IF(A409&lt;=$E$32,$E$31^A409,"")</x:f>
        <x:v>278.63861921598209</x:v>
      </x:c>
      <x:c r="E409" s="60" t="str">
        <x:f>IF(A409&lt;$E$36,ROUNDUP(ROUND($E$33*$E$34^A409,6),0),"")</x:f>
        <x:v/>
      </x:c>
      <x:c r="F409" s="60" t="str">
        <x:f>IF(A409&lt;=$E$36,F408+E408,"")</x:f>
        <x:v/>
      </x:c>
      <x:c r="G409" s="78" t="str">
        <x:f>IF(A409&lt;=$E$36,$E$35^A409,"")</x:f>
        <x:v/>
      </x:c>
      <x:c r="H409" s="60" t="str">
        <x:f>IF(A409&lt;$E$40,ROUNDUP(ROUND($E$37*$E$38^A409,6),0),"")</x:f>
        <x:v/>
      </x:c>
      <x:c r="I409" s="60" t="str">
        <x:f>IF(A409&lt;=$E$40,I408+H408,"")</x:f>
        <x:v/>
      </x:c>
      <x:c r="J409" s="80" t="str">
        <x:f>IF(A409&lt;=$E$40,1+$E$39*A409,"")</x:f>
        <x:v/>
      </x:c>
      <x:c r="K409" s="60"/>
      <x:c r="L409" s="60"/>
      <x:c r="M409" s="60"/>
      <x:c r="N409" s="60"/>
      <x:c r="O409" s="60"/>
      <x:c r="P409" s="60"/>
    </x:row>
    <x:row r="410" ht="30" customHeight="1">
      <x:c r="A410" s="61" t="n">
        <x:v>229</x:v>
      </x:c>
      <x:c r="B410" s="61">
        <x:f>IF(A410&lt;$E$32,ROUNDUP(ROUND($E$29*$E$30^A410,6),0),"")</x:f>
        <x:v>267827455</x:v>
      </x:c>
      <x:c r="C410" s="61">
        <x:f>IF(A410&lt;=$E$32,C409+B409,"")</x:f>
        <x:v>3826105894</x:v>
      </x:c>
      <x:c r="D410" s="79">
        <x:f>IF(A410&lt;=$E$32,$E$31^A410,"")</x:f>
        <x:v>285.60458469638161</x:v>
      </x:c>
      <x:c r="E410" s="61" t="str">
        <x:f>IF(A410&lt;$E$36,ROUNDUP(ROUND($E$33*$E$34^A410,6),0),"")</x:f>
        <x:v/>
      </x:c>
      <x:c r="F410" s="61" t="str">
        <x:f>IF(A410&lt;=$E$36,F409+E409,"")</x:f>
        <x:v/>
      </x:c>
      <x:c r="G410" s="79" t="str">
        <x:f>IF(A410&lt;=$E$36,$E$35^A410,"")</x:f>
        <x:v/>
      </x:c>
      <x:c r="H410" s="61" t="str">
        <x:f>IF(A410&lt;$E$40,ROUNDUP(ROUND($E$37*$E$38^A410,6),0),"")</x:f>
        <x:v/>
      </x:c>
      <x:c r="I410" s="61" t="str">
        <x:f>IF(A410&lt;=$E$40,I409+H409,"")</x:f>
        <x:v/>
      </x:c>
      <x:c r="J410" s="81" t="str">
        <x:f>IF(A410&lt;=$E$40,1+$E$39*A410,"")</x:f>
        <x:v/>
      </x:c>
      <x:c r="K410" s="60"/>
      <x:c r="L410" s="60"/>
      <x:c r="M410" s="60"/>
      <x:c r="N410" s="60"/>
      <x:c r="O410" s="60"/>
      <x:c r="P410" s="60"/>
    </x:row>
    <x:row r="411" ht="30" customHeight="1">
      <x:c r="A411" s="60" t="n">
        <x:v>230</x:v>
      </x:c>
      <x:c r="B411" s="60">
        <x:f>IF(A411&lt;$E$32,ROUNDUP(ROUND($E$29*$E$30^A411,6),0),"")</x:f>
        <x:v>286575377</x:v>
      </x:c>
      <x:c r="C411" s="60">
        <x:f>IF(A411&lt;=$E$32,C410+B410,"")</x:f>
        <x:v>4093933349</x:v>
      </x:c>
      <x:c r="D411" s="78">
        <x:f>IF(A411&lt;=$E$32,$E$31^A411,"")</x:f>
        <x:v>292.74469931379105</x:v>
      </x:c>
      <x:c r="E411" s="60" t="str">
        <x:f>IF(A411&lt;$E$36,ROUNDUP(ROUND($E$33*$E$34^A411,6),0),"")</x:f>
        <x:v/>
      </x:c>
      <x:c r="F411" s="60" t="str">
        <x:f>IF(A411&lt;=$E$36,F410+E410,"")</x:f>
        <x:v/>
      </x:c>
      <x:c r="G411" s="78" t="str">
        <x:f>IF(A411&lt;=$E$36,$E$35^A411,"")</x:f>
        <x:v/>
      </x:c>
      <x:c r="H411" s="60" t="str">
        <x:f>IF(A411&lt;$E$40,ROUNDUP(ROUND($E$37*$E$38^A411,6),0),"")</x:f>
        <x:v/>
      </x:c>
      <x:c r="I411" s="60" t="str">
        <x:f>IF(A411&lt;=$E$40,I410+H410,"")</x:f>
        <x:v/>
      </x:c>
      <x:c r="J411" s="80" t="str">
        <x:f>IF(A411&lt;=$E$40,1+$E$39*A411,"")</x:f>
        <x:v/>
      </x:c>
      <x:c r="K411" s="60"/>
      <x:c r="L411" s="60"/>
      <x:c r="M411" s="60"/>
      <x:c r="N411" s="60"/>
      <x:c r="O411" s="60"/>
      <x:c r="P411" s="60"/>
    </x:row>
    <x:row r="412" ht="30" customHeight="1">
      <x:c r="A412" s="61" t="n">
        <x:v>231</x:v>
      </x:c>
      <x:c r="B412" s="61">
        <x:f>IF(A412&lt;$E$32,ROUNDUP(ROUND($E$29*$E$30^A412,6),0),"")</x:f>
        <x:v>306635654</x:v>
      </x:c>
      <x:c r="C412" s="61">
        <x:f>IF(A412&lt;=$E$32,C411+B411,"")</x:f>
        <x:v>4380508726</x:v>
      </x:c>
      <x:c r="D412" s="79">
        <x:f>IF(A412&lt;=$E$32,$E$31^A412,"")</x:f>
        <x:v>300.06331679663589</x:v>
      </x:c>
      <x:c r="E412" s="61" t="str">
        <x:f>IF(A412&lt;$E$36,ROUNDUP(ROUND($E$33*$E$34^A412,6),0),"")</x:f>
        <x:v/>
      </x:c>
      <x:c r="F412" s="61" t="str">
        <x:f>IF(A412&lt;=$E$36,F411+E411,"")</x:f>
        <x:v/>
      </x:c>
      <x:c r="G412" s="79" t="str">
        <x:f>IF(A412&lt;=$E$36,$E$35^A412,"")</x:f>
        <x:v/>
      </x:c>
      <x:c r="H412" s="61" t="str">
        <x:f>IF(A412&lt;$E$40,ROUNDUP(ROUND($E$37*$E$38^A412,6),0),"")</x:f>
        <x:v/>
      </x:c>
      <x:c r="I412" s="61" t="str">
        <x:f>IF(A412&lt;=$E$40,I411+H411,"")</x:f>
        <x:v/>
      </x:c>
      <x:c r="J412" s="81" t="str">
        <x:f>IF(A412&lt;=$E$40,1+$E$39*A412,"")</x:f>
        <x:v/>
      </x:c>
      <x:c r="K412" s="60"/>
      <x:c r="L412" s="60"/>
      <x:c r="M412" s="60"/>
      <x:c r="N412" s="60"/>
      <x:c r="O412" s="60"/>
      <x:c r="P412" s="60"/>
    </x:row>
    <x:row r="413" ht="30" customHeight="1">
      <x:c r="A413" s="60" t="n">
        <x:v>232</x:v>
      </x:c>
      <x:c r="B413" s="60">
        <x:f>IF(A413&lt;$E$32,ROUNDUP(ROUND($E$29*$E$30^A413,6),0),"")</x:f>
        <x:v>328100149</x:v>
      </x:c>
      <x:c r="C413" s="60">
        <x:f>IF(A413&lt;=$E$32,C412+B412,"")</x:f>
        <x:v>4687144380</x:v>
      </x:c>
      <x:c r="D413" s="78">
        <x:f>IF(A413&lt;=$E$32,$E$31^A413,"")</x:f>
        <x:v>307.56489971655174</x:v>
      </x:c>
      <x:c r="E413" s="60" t="str">
        <x:f>IF(A413&lt;$E$36,ROUNDUP(ROUND($E$33*$E$34^A413,6),0),"")</x:f>
        <x:v/>
      </x:c>
      <x:c r="F413" s="60" t="str">
        <x:f>IF(A413&lt;=$E$36,F412+E412,"")</x:f>
        <x:v/>
      </x:c>
      <x:c r="G413" s="78" t="str">
        <x:f>IF(A413&lt;=$E$36,$E$35^A413,"")</x:f>
        <x:v/>
      </x:c>
      <x:c r="H413" s="60" t="str">
        <x:f>IF(A413&lt;$E$40,ROUNDUP(ROUND($E$37*$E$38^A413,6),0),"")</x:f>
        <x:v/>
      </x:c>
      <x:c r="I413" s="60" t="str">
        <x:f>IF(A413&lt;=$E$40,I412+H412,"")</x:f>
        <x:v/>
      </x:c>
      <x:c r="J413" s="80" t="str">
        <x:f>IF(A413&lt;=$E$40,1+$E$39*A413,"")</x:f>
        <x:v/>
      </x:c>
      <x:c r="K413" s="60"/>
      <x:c r="L413" s="60"/>
      <x:c r="M413" s="60"/>
      <x:c r="N413" s="60"/>
      <x:c r="O413" s="60"/>
      <x:c r="P413" s="60"/>
    </x:row>
    <x:row r="414" ht="30" customHeight="1">
      <x:c r="A414" s="61" t="n">
        <x:v>233</x:v>
      </x:c>
      <x:c r="B414" s="61">
        <x:f>IF(A414&lt;$E$32,ROUNDUP(ROUND($E$29*$E$30^A414,6),0),"")</x:f>
        <x:v>351067160</x:v>
      </x:c>
      <x:c r="C414" s="61">
        <x:f>IF(A414&lt;=$E$32,C413+B413,"")</x:f>
        <x:v>5015244529</x:v>
      </x:c>
      <x:c r="D414" s="79">
        <x:f>IF(A414&lt;=$E$32,$E$31^A414,"")</x:f>
        <x:v>315.25402220946552</x:v>
      </x:c>
      <x:c r="E414" s="61" t="str">
        <x:f>IF(A414&lt;$E$36,ROUNDUP(ROUND($E$33*$E$34^A414,6),0),"")</x:f>
        <x:v/>
      </x:c>
      <x:c r="F414" s="61" t="str">
        <x:f>IF(A414&lt;=$E$36,F413+E413,"")</x:f>
        <x:v/>
      </x:c>
      <x:c r="G414" s="79" t="str">
        <x:f>IF(A414&lt;=$E$36,$E$35^A414,"")</x:f>
        <x:v/>
      </x:c>
      <x:c r="H414" s="61" t="str">
        <x:f>IF(A414&lt;$E$40,ROUNDUP(ROUND($E$37*$E$38^A414,6),0),"")</x:f>
        <x:v/>
      </x:c>
      <x:c r="I414" s="61" t="str">
        <x:f>IF(A414&lt;=$E$40,I413+H413,"")</x:f>
        <x:v/>
      </x:c>
      <x:c r="J414" s="81" t="str">
        <x:f>IF(A414&lt;=$E$40,1+$E$39*A414,"")</x:f>
        <x:v/>
      </x:c>
      <x:c r="K414" s="60"/>
      <x:c r="L414" s="60"/>
      <x:c r="M414" s="60"/>
      <x:c r="N414" s="60"/>
      <x:c r="O414" s="60"/>
      <x:c r="P414" s="60"/>
    </x:row>
    <x:row r="415" ht="30" customHeight="1">
      <x:c r="A415" s="60" t="n">
        <x:v>234</x:v>
      </x:c>
      <x:c r="B415" s="60">
        <x:f>IF(A415&lt;$E$32,ROUNDUP(ROUND($E$29*$E$30^A415,6),0),"")</x:f>
        <x:v>375641861</x:v>
      </x:c>
      <x:c r="C415" s="60">
        <x:f>IF(A415&lt;=$E$32,C414+B414,"")</x:f>
        <x:v>5366311689</x:v>
      </x:c>
      <x:c r="D415" s="78">
        <x:f>IF(A415&lt;=$E$32,$E$31^A415,"")</x:f>
        <x:v>323.13537276470214</x:v>
      </x:c>
      <x:c r="E415" s="60" t="str">
        <x:f>IF(A415&lt;$E$36,ROUNDUP(ROUND($E$33*$E$34^A415,6),0),"")</x:f>
        <x:v/>
      </x:c>
      <x:c r="F415" s="60" t="str">
        <x:f>IF(A415&lt;=$E$36,F414+E414,"")</x:f>
        <x:v/>
      </x:c>
      <x:c r="G415" s="78" t="str">
        <x:f>IF(A415&lt;=$E$36,$E$35^A415,"")</x:f>
        <x:v/>
      </x:c>
      <x:c r="H415" s="60" t="str">
        <x:f>IF(A415&lt;$E$40,ROUNDUP(ROUND($E$37*$E$38^A415,6),0),"")</x:f>
        <x:v/>
      </x:c>
      <x:c r="I415" s="60" t="str">
        <x:f>IF(A415&lt;=$E$40,I414+H414,"")</x:f>
        <x:v/>
      </x:c>
      <x:c r="J415" s="80" t="str">
        <x:f>IF(A415&lt;=$E$40,1+$E$39*A415,"")</x:f>
        <x:v/>
      </x:c>
      <x:c r="K415" s="60"/>
      <x:c r="L415" s="60"/>
      <x:c r="M415" s="60"/>
      <x:c r="N415" s="60"/>
      <x:c r="O415" s="60"/>
      <x:c r="P415" s="60"/>
    </x:row>
    <x:row r="416" ht="30" customHeight="1">
      <x:c r="A416" s="61" t="n">
        <x:v>235</x:v>
      </x:c>
      <x:c r="B416" s="61">
        <x:f>IF(A416&lt;$E$32,ROUNDUP(ROUND($E$29*$E$30^A416,6),0),"")</x:f>
        <x:v>401936791</x:v>
      </x:c>
      <x:c r="C416" s="61">
        <x:f>IF(A416&lt;=$E$32,C415+B415,"")</x:f>
        <x:v>5741953550</x:v>
      </x:c>
      <x:c r="D416" s="79">
        <x:f>IF(A416&lt;=$E$32,$E$31^A416,"")</x:f>
        <x:v>331.2137570838197</x:v>
      </x:c>
      <x:c r="E416" s="61" t="str">
        <x:f>IF(A416&lt;$E$36,ROUNDUP(ROUND($E$33*$E$34^A416,6),0),"")</x:f>
        <x:v/>
      </x:c>
      <x:c r="F416" s="61" t="str">
        <x:f>IF(A416&lt;=$E$36,F415+E415,"")</x:f>
        <x:v/>
      </x:c>
      <x:c r="G416" s="79" t="str">
        <x:f>IF(A416&lt;=$E$36,$E$35^A416,"")</x:f>
        <x:v/>
      </x:c>
      <x:c r="H416" s="61" t="str">
        <x:f>IF(A416&lt;$E$40,ROUNDUP(ROUND($E$37*$E$38^A416,6),0),"")</x:f>
        <x:v/>
      </x:c>
      <x:c r="I416" s="61" t="str">
        <x:f>IF(A416&lt;=$E$40,I415+H415,"")</x:f>
        <x:v/>
      </x:c>
      <x:c r="J416" s="81" t="str">
        <x:f>IF(A416&lt;=$E$40,1+$E$39*A416,"")</x:f>
        <x:v/>
      </x:c>
      <x:c r="K416" s="60"/>
      <x:c r="L416" s="60"/>
      <x:c r="M416" s="60"/>
      <x:c r="N416" s="60"/>
      <x:c r="O416" s="60"/>
      <x:c r="P416" s="60"/>
    </x:row>
    <x:row r="417" ht="30" customHeight="1">
      <x:c r="A417" s="60" t="n">
        <x:v>236</x:v>
      </x:c>
      <x:c r="B417" s="60">
        <x:f>IF(A417&lt;$E$32,ROUNDUP(ROUND($E$29*$E$30^A417,6),0),"")</x:f>
        <x:v>430072366</x:v>
      </x:c>
      <x:c r="C417" s="60">
        <x:f>IF(A417&lt;=$E$32,C416+B416,"")</x:f>
        <x:v>6143890341</x:v>
      </x:c>
      <x:c r="D417" s="78">
        <x:f>IF(A417&lt;=$E$32,$E$31^A417,"")</x:f>
        <x:v>339.49410101091513</x:v>
      </x:c>
      <x:c r="E417" s="60" t="str">
        <x:f>IF(A417&lt;$E$36,ROUNDUP(ROUND($E$33*$E$34^A417,6),0),"")</x:f>
        <x:v/>
      </x:c>
      <x:c r="F417" s="60" t="str">
        <x:f>IF(A417&lt;=$E$36,F416+E416,"")</x:f>
        <x:v/>
      </x:c>
      <x:c r="G417" s="78" t="str">
        <x:f>IF(A417&lt;=$E$36,$E$35^A417,"")</x:f>
        <x:v/>
      </x:c>
      <x:c r="H417" s="60" t="str">
        <x:f>IF(A417&lt;$E$40,ROUNDUP(ROUND($E$37*$E$38^A417,6),0),"")</x:f>
        <x:v/>
      </x:c>
      <x:c r="I417" s="60" t="str">
        <x:f>IF(A417&lt;=$E$40,I416+H416,"")</x:f>
        <x:v/>
      </x:c>
      <x:c r="J417" s="80" t="str">
        <x:f>IF(A417&lt;=$E$40,1+$E$39*A417,"")</x:f>
        <x:v/>
      </x:c>
      <x:c r="K417" s="60"/>
      <x:c r="L417" s="60"/>
      <x:c r="M417" s="60"/>
      <x:c r="N417" s="60"/>
      <x:c r="O417" s="60"/>
      <x:c r="P417" s="60"/>
    </x:row>
    <x:row r="418" ht="30" customHeight="1">
      <x:c r="A418" s="61" t="n">
        <x:v>237</x:v>
      </x:c>
      <x:c r="B418" s="61">
        <x:f>IF(A418&lt;$E$32,ROUNDUP(ROUND($E$29*$E$30^A418,6),0),"")</x:f>
        <x:v>460177432</x:v>
      </x:c>
      <x:c r="C418" s="61">
        <x:f>IF(A418&lt;=$E$32,C417+B417,"")</x:f>
        <x:v>6573962707</x:v>
      </x:c>
      <x:c r="D418" s="79">
        <x:f>IF(A418&lt;=$E$32,$E$31^A418,"")</x:f>
        <x:v>347.98145353618804</x:v>
      </x:c>
      <x:c r="E418" s="61" t="str">
        <x:f>IF(A418&lt;$E$36,ROUNDUP(ROUND($E$33*$E$34^A418,6),0),"")</x:f>
        <x:v/>
      </x:c>
      <x:c r="F418" s="61" t="str">
        <x:f>IF(A418&lt;=$E$36,F417+E417,"")</x:f>
        <x:v/>
      </x:c>
      <x:c r="G418" s="79" t="str">
        <x:f>IF(A418&lt;=$E$36,$E$35^A418,"")</x:f>
        <x:v/>
      </x:c>
      <x:c r="H418" s="61" t="str">
        <x:f>IF(A418&lt;$E$40,ROUNDUP(ROUND($E$37*$E$38^A418,6),0),"")</x:f>
        <x:v/>
      </x:c>
      <x:c r="I418" s="61" t="str">
        <x:f>IF(A418&lt;=$E$40,I417+H417,"")</x:f>
        <x:v/>
      </x:c>
      <x:c r="J418" s="81" t="str">
        <x:f>IF(A418&lt;=$E$40,1+$E$39*A418,"")</x:f>
        <x:v/>
      </x:c>
      <x:c r="K418" s="60"/>
      <x:c r="L418" s="60"/>
      <x:c r="M418" s="60"/>
      <x:c r="N418" s="60"/>
      <x:c r="O418" s="60"/>
      <x:c r="P418" s="60"/>
    </x:row>
    <x:row r="419" ht="30" customHeight="1">
      <x:c r="A419" s="60" t="n">
        <x:v>238</x:v>
      </x:c>
      <x:c r="B419" s="60">
        <x:f>IF(A419&lt;$E$32,ROUNDUP(ROUND($E$29*$E$30^A419,6),0),"")</x:f>
        <x:v>492389852</x:v>
      </x:c>
      <x:c r="C419" s="60">
        <x:f>IF(A419&lt;=$E$32,C418+B418,"")</x:f>
        <x:v>7034140139</x:v>
      </x:c>
      <x:c r="D419" s="78">
        <x:f>IF(A419&lt;=$E$32,$E$31^A419,"")</x:f>
        <x:v>356.68098987459263</x:v>
      </x:c>
      <x:c r="E419" s="60" t="str">
        <x:f>IF(A419&lt;$E$36,ROUNDUP(ROUND($E$33*$E$34^A419,6),0),"")</x:f>
        <x:v/>
      </x:c>
      <x:c r="F419" s="60" t="str">
        <x:f>IF(A419&lt;=$E$36,F418+E418,"")</x:f>
        <x:v/>
      </x:c>
      <x:c r="G419" s="78" t="str">
        <x:f>IF(A419&lt;=$E$36,$E$35^A419,"")</x:f>
        <x:v/>
      </x:c>
      <x:c r="H419" s="60" t="str">
        <x:f>IF(A419&lt;$E$40,ROUNDUP(ROUND($E$37*$E$38^A419,6),0),"")</x:f>
        <x:v/>
      </x:c>
      <x:c r="I419" s="60" t="str">
        <x:f>IF(A419&lt;=$E$40,I418+H418,"")</x:f>
        <x:v/>
      </x:c>
      <x:c r="J419" s="80" t="str">
        <x:f>IF(A419&lt;=$E$40,1+$E$39*A419,"")</x:f>
        <x:v/>
      </x:c>
      <x:c r="K419" s="60"/>
      <x:c r="L419" s="60"/>
      <x:c r="M419" s="60"/>
      <x:c r="N419" s="60"/>
      <x:c r="O419" s="60"/>
      <x:c r="P419" s="60"/>
    </x:row>
    <x:row r="420" ht="30" customHeight="1">
      <x:c r="A420" s="61" t="n">
        <x:v>239</x:v>
      </x:c>
      <x:c r="B420" s="61">
        <x:f>IF(A420&lt;$E$32,ROUNDUP(ROUND($E$29*$E$30^A420,6),0),"")</x:f>
        <x:v>526857142</x:v>
      </x:c>
      <x:c r="C420" s="61">
        <x:f>IF(A420&lt;=$E$32,C419+B419,"")</x:f>
        <x:v>7526529991</x:v>
      </x:c>
      <x:c r="D420" s="79">
        <x:f>IF(A420&lt;=$E$32,$E$31^A420,"")</x:f>
        <x:v>365.59801462145754</x:v>
      </x:c>
      <x:c r="E420" s="61" t="str">
        <x:f>IF(A420&lt;$E$36,ROUNDUP(ROUND($E$33*$E$34^A420,6),0),"")</x:f>
        <x:v/>
      </x:c>
      <x:c r="F420" s="61" t="str">
        <x:f>IF(A420&lt;=$E$36,F419+E419,"")</x:f>
        <x:v/>
      </x:c>
      <x:c r="G420" s="79" t="str">
        <x:f>IF(A420&lt;=$E$36,$E$35^A420,"")</x:f>
        <x:v/>
      </x:c>
      <x:c r="H420" s="61" t="str">
        <x:f>IF(A420&lt;$E$40,ROUNDUP(ROUND($E$37*$E$38^A420,6),0),"")</x:f>
        <x:v/>
      </x:c>
      <x:c r="I420" s="61" t="str">
        <x:f>IF(A420&lt;=$E$40,I419+H419,"")</x:f>
        <x:v/>
      </x:c>
      <x:c r="J420" s="81" t="str">
        <x:f>IF(A420&lt;=$E$40,1+$E$39*A420,"")</x:f>
        <x:v/>
      </x:c>
      <x:c r="K420" s="60"/>
      <x:c r="L420" s="60"/>
      <x:c r="M420" s="60"/>
      <x:c r="N420" s="60"/>
      <x:c r="O420" s="60"/>
      <x:c r="P420" s="60"/>
    </x:row>
    <x:row r="421" ht="30" customHeight="1">
      <x:c r="A421" s="60" t="n">
        <x:v>240</x:v>
      </x:c>
      <x:c r="B421" s="60">
        <x:f>IF(A421&lt;$E$32,ROUNDUP(ROUND($E$29*$E$30^A421,6),0),"")</x:f>
        <x:v>563737142</x:v>
      </x:c>
      <x:c r="C421" s="60">
        <x:f>IF(A421&lt;=$E$32,C420+B420,"")</x:f>
        <x:v>8053387133</x:v>
      </x:c>
      <x:c r="D421" s="78">
        <x:f>IF(A421&lt;=$E$32,$E$31^A421,"")</x:f>
        <x:v>374.73796498699392</x:v>
      </x:c>
      <x:c r="E421" s="60" t="str">
        <x:f>IF(A421&lt;$E$36,ROUNDUP(ROUND($E$33*$E$34^A421,6),0),"")</x:f>
        <x:v/>
      </x:c>
      <x:c r="F421" s="60" t="str">
        <x:f>IF(A421&lt;=$E$36,F420+E420,"")</x:f>
        <x:v/>
      </x:c>
      <x:c r="G421" s="78" t="str">
        <x:f>IF(A421&lt;=$E$36,$E$35^A421,"")</x:f>
        <x:v/>
      </x:c>
      <x:c r="H421" s="60" t="str">
        <x:f>IF(A421&lt;$E$40,ROUNDUP(ROUND($E$37*$E$38^A421,6),0),"")</x:f>
        <x:v/>
      </x:c>
      <x:c r="I421" s="60" t="str">
        <x:f>IF(A421&lt;=$E$40,I420+H420,"")</x:f>
        <x:v/>
      </x:c>
      <x:c r="J421" s="80" t="str">
        <x:f>IF(A421&lt;=$E$40,1+$E$39*A421,"")</x:f>
        <x:v/>
      </x:c>
      <x:c r="K421" s="60"/>
      <x:c r="L421" s="60"/>
      <x:c r="M421" s="60"/>
      <x:c r="N421" s="60"/>
      <x:c r="O421" s="60"/>
      <x:c r="P421" s="60"/>
    </x:row>
    <x:row r="422" ht="30" customHeight="1">
      <x:c r="A422" s="61" t="n">
        <x:v>241</x:v>
      </x:c>
      <x:c r="B422" s="61">
        <x:f>IF(A422&lt;$E$32,ROUNDUP(ROUND($E$29*$E$30^A422,6),0),"")</x:f>
        <x:v>603198742</x:v>
      </x:c>
      <x:c r="C422" s="61">
        <x:f>IF(A422&lt;=$E$32,C421+B421,"")</x:f>
        <x:v>8617124275</x:v>
      </x:c>
      <x:c r="D422" s="79">
        <x:f>IF(A422&lt;=$E$32,$E$31^A422,"")</x:f>
        <x:v>384.10641411166876</x:v>
      </x:c>
      <x:c r="E422" s="61" t="str">
        <x:f>IF(A422&lt;$E$36,ROUNDUP(ROUND($E$33*$E$34^A422,6),0),"")</x:f>
        <x:v/>
      </x:c>
      <x:c r="F422" s="61" t="str">
        <x:f>IF(A422&lt;=$E$36,F421+E421,"")</x:f>
        <x:v/>
      </x:c>
      <x:c r="G422" s="79" t="str">
        <x:f>IF(A422&lt;=$E$36,$E$35^A422,"")</x:f>
        <x:v/>
      </x:c>
      <x:c r="H422" s="61" t="str">
        <x:f>IF(A422&lt;$E$40,ROUNDUP(ROUND($E$37*$E$38^A422,6),0),"")</x:f>
        <x:v/>
      </x:c>
      <x:c r="I422" s="61" t="str">
        <x:f>IF(A422&lt;=$E$40,I421+H421,"")</x:f>
        <x:v/>
      </x:c>
      <x:c r="J422" s="81" t="str">
        <x:f>IF(A422&lt;=$E$40,1+$E$39*A422,"")</x:f>
        <x:v/>
      </x:c>
      <x:c r="K422" s="60"/>
      <x:c r="L422" s="60"/>
      <x:c r="M422" s="60"/>
      <x:c r="N422" s="60"/>
      <x:c r="O422" s="60"/>
      <x:c r="P422" s="60"/>
    </x:row>
    <x:row r="423" ht="30" customHeight="1">
      <x:c r="A423" s="60" t="n">
        <x:v>242</x:v>
      </x:c>
      <x:c r="B423" s="60">
        <x:f>IF(A423&lt;$E$32,ROUNDUP(ROUND($E$29*$E$30^A423,6),0),"")</x:f>
        <x:v>645422653</x:v>
      </x:c>
      <x:c r="C423" s="60">
        <x:f>IF(A423&lt;=$E$32,C422+B422,"")</x:f>
        <x:v>9220323017</x:v>
      </x:c>
      <x:c r="D423" s="78">
        <x:f>IF(A423&lt;=$E$32,$E$31^A423,"")</x:f>
        <x:v>393.70907446446046</x:v>
      </x:c>
      <x:c r="E423" s="60" t="str">
        <x:f>IF(A423&lt;$E$36,ROUNDUP(ROUND($E$33*$E$34^A423,6),0),"")</x:f>
        <x:v/>
      </x:c>
      <x:c r="F423" s="60" t="str">
        <x:f>IF(A423&lt;=$E$36,F422+E422,"")</x:f>
        <x:v/>
      </x:c>
      <x:c r="G423" s="78" t="str">
        <x:f>IF(A423&lt;=$E$36,$E$35^A423,"")</x:f>
        <x:v/>
      </x:c>
      <x:c r="H423" s="60" t="str">
        <x:f>IF(A423&lt;$E$40,ROUNDUP(ROUND($E$37*$E$38^A423,6),0),"")</x:f>
        <x:v/>
      </x:c>
      <x:c r="I423" s="60" t="str">
        <x:f>IF(A423&lt;=$E$40,I422+H422,"")</x:f>
        <x:v/>
      </x:c>
      <x:c r="J423" s="80" t="str">
        <x:f>IF(A423&lt;=$E$40,1+$E$39*A423,"")</x:f>
        <x:v/>
      </x:c>
      <x:c r="K423" s="60"/>
      <x:c r="L423" s="60"/>
      <x:c r="M423" s="60"/>
      <x:c r="N423" s="60"/>
      <x:c r="O423" s="60"/>
      <x:c r="P423" s="60"/>
    </x:row>
    <x:row r="424" ht="30" customHeight="1">
      <x:c r="A424" s="61" t="n">
        <x:v>243</x:v>
      </x:c>
      <x:c r="B424" s="61">
        <x:f>IF(A424&lt;$E$32,ROUNDUP(ROUND($E$29*$E$30^A424,6),0),"")</x:f>
        <x:v>690602239</x:v>
      </x:c>
      <x:c r="C424" s="61">
        <x:f>IF(A424&lt;=$E$32,C423+B423,"")</x:f>
        <x:v>9865745670</x:v>
      </x:c>
      <x:c r="D424" s="79">
        <x:f>IF(A424&lt;=$E$32,$E$31^A424,"")</x:f>
        <x:v>403.55180132607205</x:v>
      </x:c>
      <x:c r="E424" s="61" t="str">
        <x:f>IF(A424&lt;$E$36,ROUNDUP(ROUND($E$33*$E$34^A424,6),0),"")</x:f>
        <x:v/>
      </x:c>
      <x:c r="F424" s="61" t="str">
        <x:f>IF(A424&lt;=$E$36,F423+E423,"")</x:f>
        <x:v/>
      </x:c>
      <x:c r="G424" s="79" t="str">
        <x:f>IF(A424&lt;=$E$36,$E$35^A424,"")</x:f>
        <x:v/>
      </x:c>
      <x:c r="H424" s="61" t="str">
        <x:f>IF(A424&lt;$E$40,ROUNDUP(ROUND($E$37*$E$38^A424,6),0),"")</x:f>
        <x:v/>
      </x:c>
      <x:c r="I424" s="61" t="str">
        <x:f>IF(A424&lt;=$E$40,I423+H423,"")</x:f>
        <x:v/>
      </x:c>
      <x:c r="J424" s="81" t="str">
        <x:f>IF(A424&lt;=$E$40,1+$E$39*A424,"")</x:f>
        <x:v/>
      </x:c>
      <x:c r="K424" s="60"/>
      <x:c r="L424" s="60"/>
      <x:c r="M424" s="60"/>
      <x:c r="N424" s="60"/>
      <x:c r="O424" s="60"/>
      <x:c r="P424" s="60"/>
    </x:row>
    <x:row r="425" ht="30" customHeight="1">
      <x:c r="A425" s="60" t="n">
        <x:v>244</x:v>
      </x:c>
      <x:c r="B425" s="60">
        <x:f>IF(A425&lt;$E$32,ROUNDUP(ROUND($E$29*$E$30^A425,6),0),"")</x:f>
        <x:v>738944396</x:v>
      </x:c>
      <x:c r="C425" s="60">
        <x:f>IF(A425&lt;=$E$32,C424+B424,"")</x:f>
        <x:v>10556347909</x:v>
      </x:c>
      <x:c r="D425" s="78">
        <x:f>IF(A425&lt;=$E$32,$E$31^A425,"")</x:f>
        <x:v>413.64059635922376</x:v>
      </x:c>
      <x:c r="E425" s="60" t="str">
        <x:f>IF(A425&lt;$E$36,ROUNDUP(ROUND($E$33*$E$34^A425,6),0),"")</x:f>
        <x:v/>
      </x:c>
      <x:c r="F425" s="60" t="str">
        <x:f>IF(A425&lt;=$E$36,F424+E424,"")</x:f>
        <x:v/>
      </x:c>
      <x:c r="G425" s="78" t="str">
        <x:f>IF(A425&lt;=$E$36,$E$35^A425,"")</x:f>
        <x:v/>
      </x:c>
      <x:c r="H425" s="60" t="str">
        <x:f>IF(A425&lt;$E$40,ROUNDUP(ROUND($E$37*$E$38^A425,6),0),"")</x:f>
        <x:v/>
      </x:c>
      <x:c r="I425" s="60" t="str">
        <x:f>IF(A425&lt;=$E$40,I424+H424,"")</x:f>
        <x:v/>
      </x:c>
      <x:c r="J425" s="80" t="str">
        <x:f>IF(A425&lt;=$E$40,1+$E$39*A425,"")</x:f>
        <x:v/>
      </x:c>
      <x:c r="K425" s="60"/>
      <x:c r="L425" s="60"/>
      <x:c r="M425" s="60"/>
      <x:c r="N425" s="60"/>
      <x:c r="O425" s="60"/>
      <x:c r="P425" s="60"/>
    </x:row>
    <x:row r="426" ht="30" customHeight="1">
      <x:c r="A426" s="61" t="n">
        <x:v>245</x:v>
      </x:c>
      <x:c r="B426" s="61">
        <x:f>IF(A426&lt;$E$32,ROUNDUP(ROUND($E$29*$E$30^A426,6),0),"")</x:f>
        <x:v>790670504</x:v>
      </x:c>
      <x:c r="C426" s="61">
        <x:f>IF(A426&lt;=$E$32,C425+B425,"")</x:f>
        <x:v>11295292305</x:v>
      </x:c>
      <x:c r="D426" s="79">
        <x:f>IF(A426&lt;=$E$32,$E$31^A426,"")</x:f>
        <x:v>423.98161126820435</x:v>
      </x:c>
      <x:c r="E426" s="61" t="str">
        <x:f>IF(A426&lt;$E$36,ROUNDUP(ROUND($E$33*$E$34^A426,6),0),"")</x:f>
        <x:v/>
      </x:c>
      <x:c r="F426" s="61" t="str">
        <x:f>IF(A426&lt;=$E$36,F425+E425,"")</x:f>
        <x:v/>
      </x:c>
      <x:c r="G426" s="79" t="str">
        <x:f>IF(A426&lt;=$E$36,$E$35^A426,"")</x:f>
        <x:v/>
      </x:c>
      <x:c r="H426" s="61" t="str">
        <x:f>IF(A426&lt;$E$40,ROUNDUP(ROUND($E$37*$E$38^A426,6),0),"")</x:f>
        <x:v/>
      </x:c>
      <x:c r="I426" s="61" t="str">
        <x:f>IF(A426&lt;=$E$40,I425+H425,"")</x:f>
        <x:v/>
      </x:c>
      <x:c r="J426" s="81" t="str">
        <x:f>IF(A426&lt;=$E$40,1+$E$39*A426,"")</x:f>
        <x:v/>
      </x:c>
      <x:c r="K426" s="60"/>
      <x:c r="L426" s="60"/>
      <x:c r="M426" s="60"/>
      <x:c r="N426" s="60"/>
      <x:c r="O426" s="60"/>
      <x:c r="P426" s="60"/>
    </x:row>
    <x:row r="427" ht="30" customHeight="1">
      <x:c r="A427" s="60" t="n">
        <x:v>246</x:v>
      </x:c>
      <x:c r="B427" s="60">
        <x:f>IF(A427&lt;$E$32,ROUNDUP(ROUND($E$29*$E$30^A427,6),0),"")</x:f>
        <x:v>846017439</x:v>
      </x:c>
      <x:c r="C427" s="60">
        <x:f>IF(A427&lt;=$E$32,C426+B426,"")</x:f>
        <x:v>12085962809</x:v>
      </x:c>
      <x:c r="D427" s="78">
        <x:f>IF(A427&lt;=$E$32,$E$31^A427,"")</x:f>
        <x:v>434.58115154990941</x:v>
      </x:c>
      <x:c r="E427" s="60" t="str">
        <x:f>IF(A427&lt;$E$36,ROUNDUP(ROUND($E$33*$E$34^A427,6),0),"")</x:f>
        <x:v/>
      </x:c>
      <x:c r="F427" s="60" t="str">
        <x:f>IF(A427&lt;=$E$36,F426+E426,"")</x:f>
        <x:v/>
      </x:c>
      <x:c r="G427" s="78" t="str">
        <x:f>IF(A427&lt;=$E$36,$E$35^A427,"")</x:f>
        <x:v/>
      </x:c>
      <x:c r="H427" s="60" t="str">
        <x:f>IF(A427&lt;$E$40,ROUNDUP(ROUND($E$37*$E$38^A427,6),0),"")</x:f>
        <x:v/>
      </x:c>
      <x:c r="I427" s="60" t="str">
        <x:f>IF(A427&lt;=$E$40,I426+H426,"")</x:f>
        <x:v/>
      </x:c>
      <x:c r="J427" s="80" t="str">
        <x:f>IF(A427&lt;=$E$40,1+$E$39*A427,"")</x:f>
        <x:v/>
      </x:c>
      <x:c r="K427" s="60"/>
      <x:c r="L427" s="60"/>
      <x:c r="M427" s="60"/>
      <x:c r="N427" s="60"/>
      <x:c r="O427" s="60"/>
      <x:c r="P427" s="60"/>
    </x:row>
    <x:row r="428" ht="30" customHeight="1">
      <x:c r="A428" s="61" t="n">
        <x:v>247</x:v>
      </x:c>
      <x:c r="B428" s="61">
        <x:f>IF(A428&lt;$E$32,ROUNDUP(ROUND($E$29*$E$30^A428,6),0),"")</x:f>
        <x:v>905238659</x:v>
      </x:c>
      <x:c r="C428" s="61">
        <x:f>IF(A428&lt;=$E$32,C427+B427,"")</x:f>
        <x:v>12931980248</x:v>
      </x:c>
      <x:c r="D428" s="79">
        <x:f>IF(A428&lt;=$E$32,$E$31^A428,"")</x:f>
        <x:v>445.4456803386571</x:v>
      </x:c>
      <x:c r="E428" s="61" t="str">
        <x:f>IF(A428&lt;$E$36,ROUNDUP(ROUND($E$33*$E$34^A428,6),0),"")</x:f>
        <x:v/>
      </x:c>
      <x:c r="F428" s="61" t="str">
        <x:f>IF(A428&lt;=$E$36,F427+E427,"")</x:f>
        <x:v/>
      </x:c>
      <x:c r="G428" s="79" t="str">
        <x:f>IF(A428&lt;=$E$36,$E$35^A428,"")</x:f>
        <x:v/>
      </x:c>
      <x:c r="H428" s="61" t="str">
        <x:f>IF(A428&lt;$E$40,ROUNDUP(ROUND($E$37*$E$38^A428,6),0),"")</x:f>
        <x:v/>
      </x:c>
      <x:c r="I428" s="61" t="str">
        <x:f>IF(A428&lt;=$E$40,I427+H427,"")</x:f>
        <x:v/>
      </x:c>
      <x:c r="J428" s="81" t="str">
        <x:f>IF(A428&lt;=$E$40,1+$E$39*A428,"")</x:f>
        <x:v/>
      </x:c>
      <x:c r="K428" s="60"/>
      <x:c r="L428" s="60"/>
      <x:c r="M428" s="60"/>
      <x:c r="N428" s="60"/>
      <x:c r="O428" s="60"/>
      <x:c r="P428" s="60"/>
    </x:row>
    <x:row r="429" ht="30" customHeight="1">
      <x:c r="A429" s="60" t="n">
        <x:v>248</x:v>
      </x:c>
      <x:c r="B429" s="60">
        <x:f>IF(A429&lt;$E$32,ROUNDUP(ROUND($E$29*$E$30^A429,6),0),"")</x:f>
        <x:v>968605366</x:v>
      </x:c>
      <x:c r="C429" s="60">
        <x:f>IF(A429&lt;=$E$32,C428+B428,"")</x:f>
        <x:v>13837218907</x:v>
      </x:c>
      <x:c r="D429" s="78">
        <x:f>IF(A429&lt;=$E$32,$E$31^A429,"")</x:f>
        <x:v>456.58182234712359</x:v>
      </x:c>
      <x:c r="E429" s="60" t="str">
        <x:f>IF(A429&lt;$E$36,ROUNDUP(ROUND($E$33*$E$34^A429,6),0),"")</x:f>
        <x:v/>
      </x:c>
      <x:c r="F429" s="60" t="str">
        <x:f>IF(A429&lt;=$E$36,F428+E428,"")</x:f>
        <x:v/>
      </x:c>
      <x:c r="G429" s="78" t="str">
        <x:f>IF(A429&lt;=$E$36,$E$35^A429,"")</x:f>
        <x:v/>
      </x:c>
      <x:c r="H429" s="60" t="str">
        <x:f>IF(A429&lt;$E$40,ROUNDUP(ROUND($E$37*$E$38^A429,6),0),"")</x:f>
        <x:v/>
      </x:c>
      <x:c r="I429" s="60" t="str">
        <x:f>IF(A429&lt;=$E$40,I428+H428,"")</x:f>
        <x:v/>
      </x:c>
      <x:c r="J429" s="80" t="str">
        <x:f>IF(A429&lt;=$E$40,1+$E$39*A429,"")</x:f>
        <x:v/>
      </x:c>
      <x:c r="K429" s="60"/>
      <x:c r="L429" s="60"/>
      <x:c r="M429" s="60"/>
      <x:c r="N429" s="60"/>
      <x:c r="O429" s="60"/>
      <x:c r="P429" s="60"/>
    </x:row>
    <x:row r="430" ht="30" customHeight="1">
      <x:c r="A430" s="61" t="n">
        <x:v>249</x:v>
      </x:c>
      <x:c r="B430" s="61">
        <x:f>IF(A430&lt;$E$32,ROUNDUP(ROUND($E$29*$E$30^A430,6),0),"")</x:f>
        <x:v>1036407741</x:v>
      </x:c>
      <x:c r="C430" s="61">
        <x:f>IF(A430&lt;=$E$32,C429+B429,"")</x:f>
        <x:v>14805824273</x:v>
      </x:c>
      <x:c r="D430" s="79">
        <x:f>IF(A430&lt;=$E$32,$E$31^A430,"")</x:f>
        <x:v>467.99636790580161</x:v>
      </x:c>
      <x:c r="E430" s="61" t="str">
        <x:f>IF(A430&lt;$E$36,ROUNDUP(ROUND($E$33*$E$34^A430,6),0),"")</x:f>
        <x:v/>
      </x:c>
      <x:c r="F430" s="61" t="str">
        <x:f>IF(A430&lt;=$E$36,F429+E429,"")</x:f>
        <x:v/>
      </x:c>
      <x:c r="G430" s="79" t="str">
        <x:f>IF(A430&lt;=$E$36,$E$35^A430,"")</x:f>
        <x:v/>
      </x:c>
      <x:c r="H430" s="61" t="str">
        <x:f>IF(A430&lt;$E$40,ROUNDUP(ROUND($E$37*$E$38^A430,6),0),"")</x:f>
        <x:v/>
      </x:c>
      <x:c r="I430" s="61" t="str">
        <x:f>IF(A430&lt;=$E$40,I429+H429,"")</x:f>
        <x:v/>
      </x:c>
      <x:c r="J430" s="81" t="str">
        <x:f>IF(A430&lt;=$E$40,1+$E$39*A430,"")</x:f>
        <x:v/>
      </x:c>
      <x:c r="K430" s="60"/>
      <x:c r="L430" s="60"/>
      <x:c r="M430" s="60"/>
      <x:c r="N430" s="60"/>
      <x:c r="O430" s="60"/>
      <x:c r="P430" s="60"/>
    </x:row>
    <x:row r="431" ht="30" customHeight="1">
      <x:c r="A431" s="60" t="n">
        <x:v>250</x:v>
      </x:c>
      <x:c r="B431" s="60">
        <x:f>IF(A431&lt;$E$32,ROUNDUP(ROUND($E$29*$E$30^A431,6),0),"")</x:f>
        <x:v>1108956283</x:v>
      </x:c>
      <x:c r="C431" s="60">
        <x:f>IF(A431&lt;=$E$32,C430+B430,"")</x:f>
        <x:v>15842232014</x:v>
      </x:c>
      <x:c r="D431" s="78">
        <x:f>IF(A431&lt;=$E$32,$E$31^A431,"")</x:f>
        <x:v>479.69627710344662</x:v>
      </x:c>
      <x:c r="E431" s="60" t="str">
        <x:f>IF(A431&lt;$E$36,ROUNDUP(ROUND($E$33*$E$34^A431,6),0),"")</x:f>
        <x:v/>
      </x:c>
      <x:c r="F431" s="60" t="str">
        <x:f>IF(A431&lt;=$E$36,F430+E430,"")</x:f>
        <x:v/>
      </x:c>
      <x:c r="G431" s="78" t="str">
        <x:f>IF(A431&lt;=$E$36,$E$35^A431,"")</x:f>
        <x:v/>
      </x:c>
      <x:c r="H431" s="60" t="str">
        <x:f>IF(A431&lt;$E$40,ROUNDUP(ROUND($E$37*$E$38^A431,6),0),"")</x:f>
        <x:v/>
      </x:c>
      <x:c r="I431" s="60" t="str">
        <x:f>IF(A431&lt;=$E$40,I430+H430,"")</x:f>
        <x:v/>
      </x:c>
      <x:c r="J431" s="80" t="str">
        <x:f>IF(A431&lt;=$E$40,1+$E$39*A431,"")</x:f>
        <x:v/>
      </x:c>
      <x:c r="K431" s="60"/>
      <x:c r="L431" s="60"/>
      <x:c r="M431" s="60"/>
      <x:c r="N431" s="60"/>
      <x:c r="O431" s="60"/>
      <x:c r="P431" s="60"/>
    </x:row>
    <x:row r="432" ht="30" customHeight="1">
      <x:c r="A432" s="61" t="n">
        <x:v>251</x:v>
      </x:c>
      <x:c r="B432" s="61">
        <x:f>IF(A432&lt;$E$32,ROUNDUP(ROUND($E$29*$E$30^A432,6),0),"")</x:f>
        <x:v>1186583223</x:v>
      </x:c>
      <x:c r="C432" s="61">
        <x:f>IF(A432&lt;=$E$32,C431+B431,"")</x:f>
        <x:v>16951188297</x:v>
      </x:c>
      <x:c r="D432" s="79">
        <x:f>IF(A432&lt;=$E$32,$E$31^A432,"")</x:f>
        <x:v>491.68868403103272</x:v>
      </x:c>
      <x:c r="E432" s="61" t="str">
        <x:f>IF(A432&lt;$E$36,ROUNDUP(ROUND($E$33*$E$34^A432,6),0),"")</x:f>
        <x:v/>
      </x:c>
      <x:c r="F432" s="61" t="str">
        <x:f>IF(A432&lt;=$E$36,F431+E431,"")</x:f>
        <x:v/>
      </x:c>
      <x:c r="G432" s="79" t="str">
        <x:f>IF(A432&lt;=$E$36,$E$35^A432,"")</x:f>
        <x:v/>
      </x:c>
      <x:c r="H432" s="61" t="str">
        <x:f>IF(A432&lt;$E$40,ROUNDUP(ROUND($E$37*$E$38^A432,6),0),"")</x:f>
        <x:v/>
      </x:c>
      <x:c r="I432" s="61" t="str">
        <x:f>IF(A432&lt;=$E$40,I431+H431,"")</x:f>
        <x:v/>
      </x:c>
      <x:c r="J432" s="81" t="str">
        <x:f>IF(A432&lt;=$E$40,1+$E$39*A432,"")</x:f>
        <x:v/>
      </x:c>
      <x:c r="K432" s="60"/>
      <x:c r="L432" s="60"/>
      <x:c r="M432" s="60"/>
      <x:c r="N432" s="60"/>
      <x:c r="O432" s="60"/>
      <x:c r="P432" s="60"/>
    </x:row>
    <x:row r="433" ht="30" customHeight="1">
      <x:c r="A433" s="60" t="n">
        <x:v>252</x:v>
      </x:c>
      <x:c r="B433" s="60">
        <x:f>IF(A433&lt;$E$32,ROUNDUP(ROUND($E$29*$E$30^A433,6),0),"")</x:f>
        <x:v>1269644048</x:v>
      </x:c>
      <x:c r="C433" s="60">
        <x:f>IF(A433&lt;=$E$32,C432+B432,"")</x:f>
        <x:v>18137771520</x:v>
      </x:c>
      <x:c r="D433" s="78">
        <x:f>IF(A433&lt;=$E$32,$E$31^A433,"")</x:f>
        <x:v>503.98090113180848</x:v>
      </x:c>
      <x:c r="E433" s="60" t="str">
        <x:f>IF(A433&lt;$E$36,ROUNDUP(ROUND($E$33*$E$34^A433,6),0),"")</x:f>
        <x:v/>
      </x:c>
      <x:c r="F433" s="60" t="str">
        <x:f>IF(A433&lt;=$E$36,F432+E432,"")</x:f>
        <x:v/>
      </x:c>
      <x:c r="G433" s="78" t="str">
        <x:f>IF(A433&lt;=$E$36,$E$35^A433,"")</x:f>
        <x:v/>
      </x:c>
      <x:c r="H433" s="60" t="str">
        <x:f>IF(A433&lt;$E$40,ROUNDUP(ROUND($E$37*$E$38^A433,6),0),"")</x:f>
        <x:v/>
      </x:c>
      <x:c r="I433" s="60" t="str">
        <x:f>IF(A433&lt;=$E$40,I432+H432,"")</x:f>
        <x:v/>
      </x:c>
      <x:c r="J433" s="80" t="str">
        <x:f>IF(A433&lt;=$E$40,1+$E$39*A433,"")</x:f>
        <x:v/>
      </x:c>
      <x:c r="K433" s="60"/>
      <x:c r="L433" s="60"/>
      <x:c r="M433" s="60"/>
      <x:c r="N433" s="60"/>
      <x:c r="O433" s="60"/>
      <x:c r="P433" s="60"/>
    </x:row>
    <x:row r="434" ht="30" customHeight="1">
      <x:c r="A434" s="61" t="n">
        <x:v>253</x:v>
      </x:c>
      <x:c r="B434" s="61">
        <x:f>IF(A434&lt;$E$32,ROUNDUP(ROUND($E$29*$E$30^A434,6),0),"")</x:f>
        <x:v>1358519132</x:v>
      </x:c>
      <x:c r="C434" s="61">
        <x:f>IF(A434&lt;=$E$32,C433+B433,"")</x:f>
        <x:v>19407415568</x:v>
      </x:c>
      <x:c r="D434" s="79">
        <x:f>IF(A434&lt;=$E$32,$E$31^A434,"")</x:f>
        <x:v>516.58042366010386</x:v>
      </x:c>
      <x:c r="E434" s="61" t="str">
        <x:f>IF(A434&lt;$E$36,ROUNDUP(ROUND($E$33*$E$34^A434,6),0),"")</x:f>
        <x:v/>
      </x:c>
      <x:c r="F434" s="61" t="str">
        <x:f>IF(A434&lt;=$E$36,F433+E433,"")</x:f>
        <x:v/>
      </x:c>
      <x:c r="G434" s="79" t="str">
        <x:f>IF(A434&lt;=$E$36,$E$35^A434,"")</x:f>
        <x:v/>
      </x:c>
      <x:c r="H434" s="61" t="str">
        <x:f>IF(A434&lt;$E$40,ROUNDUP(ROUND($E$37*$E$38^A434,6),0),"")</x:f>
        <x:v/>
      </x:c>
      <x:c r="I434" s="61" t="str">
        <x:f>IF(A434&lt;=$E$40,I433+H433,"")</x:f>
        <x:v/>
      </x:c>
      <x:c r="J434" s="81" t="str">
        <x:f>IF(A434&lt;=$E$40,1+$E$39*A434,"")</x:f>
        <x:v/>
      </x:c>
      <x:c r="K434" s="60"/>
      <x:c r="L434" s="60"/>
      <x:c r="M434" s="60"/>
      <x:c r="N434" s="60"/>
      <x:c r="O434" s="60"/>
      <x:c r="P434" s="60"/>
    </x:row>
    <x:row r="435" ht="30" customHeight="1">
      <x:c r="A435" s="60" t="n">
        <x:v>254</x:v>
      </x:c>
      <x:c r="B435" s="60">
        <x:f>IF(A435&lt;$E$32,ROUNDUP(ROUND($E$29*$E$30^A435,6),0),"")</x:f>
        <x:v>1453615471</x:v>
      </x:c>
      <x:c r="C435" s="60">
        <x:f>IF(A435&lt;=$E$32,C434+B434,"")</x:f>
        <x:v>20765934700</x:v>
      </x:c>
      <x:c r="D435" s="78">
        <x:f>IF(A435&lt;=$E$32,$E$31^A435,"")</x:f>
        <x:v>529.49493425160631</x:v>
      </x:c>
      <x:c r="E435" s="60" t="str">
        <x:f>IF(A435&lt;$E$36,ROUNDUP(ROUND($E$33*$E$34^A435,6),0),"")</x:f>
        <x:v/>
      </x:c>
      <x:c r="F435" s="60" t="str">
        <x:f>IF(A435&lt;=$E$36,F434+E434,"")</x:f>
        <x:v/>
      </x:c>
      <x:c r="G435" s="78" t="str">
        <x:f>IF(A435&lt;=$E$36,$E$35^A435,"")</x:f>
        <x:v/>
      </x:c>
      <x:c r="H435" s="60" t="str">
        <x:f>IF(A435&lt;$E$40,ROUNDUP(ROUND($E$37*$E$38^A435,6),0),"")</x:f>
        <x:v/>
      </x:c>
      <x:c r="I435" s="60" t="str">
        <x:f>IF(A435&lt;=$E$40,I434+H434,"")</x:f>
        <x:v/>
      </x:c>
      <x:c r="J435" s="80" t="str">
        <x:f>IF(A435&lt;=$E$40,1+$E$39*A435,"")</x:f>
        <x:v/>
      </x:c>
      <x:c r="K435" s="60"/>
      <x:c r="L435" s="60"/>
      <x:c r="M435" s="60"/>
      <x:c r="N435" s="60"/>
      <x:c r="O435" s="60"/>
      <x:c r="P435" s="60"/>
    </x:row>
    <x:row r="436" ht="30" customHeight="1">
      <x:c r="A436" s="61" t="n">
        <x:v>255</x:v>
      </x:c>
      <x:c r="B436" s="61">
        <x:f>IF(A436&lt;$E$32,ROUNDUP(ROUND($E$29*$E$30^A436,6),0),"")</x:f>
        <x:v>1555368554</x:v>
      </x:c>
      <x:c r="C436" s="61">
        <x:f>IF(A436&lt;=$E$32,C435+B435,"")</x:f>
        <x:v>22219550171</x:v>
      </x:c>
      <x:c r="D436" s="79">
        <x:f>IF(A436&lt;=$E$32,$E$31^A436,"")</x:f>
        <x:v>542.73230760789659</x:v>
      </x:c>
      <x:c r="E436" s="61" t="str">
        <x:f>IF(A436&lt;$E$36,ROUNDUP(ROUND($E$33*$E$34^A436,6),0),"")</x:f>
        <x:v/>
      </x:c>
      <x:c r="F436" s="61" t="str">
        <x:f>IF(A436&lt;=$E$36,F435+E435,"")</x:f>
        <x:v/>
      </x:c>
      <x:c r="G436" s="79" t="str">
        <x:f>IF(A436&lt;=$E$36,$E$35^A436,"")</x:f>
        <x:v/>
      </x:c>
      <x:c r="H436" s="61" t="str">
        <x:f>IF(A436&lt;$E$40,ROUNDUP(ROUND($E$37*$E$38^A436,6),0),"")</x:f>
        <x:v/>
      </x:c>
      <x:c r="I436" s="61" t="str">
        <x:f>IF(A436&lt;=$E$40,I435+H435,"")</x:f>
        <x:v/>
      </x:c>
      <x:c r="J436" s="81" t="str">
        <x:f>IF(A436&lt;=$E$40,1+$E$39*A436,"")</x:f>
        <x:v/>
      </x:c>
      <x:c r="K436" s="60"/>
      <x:c r="L436" s="60"/>
      <x:c r="M436" s="60"/>
      <x:c r="N436" s="60"/>
      <x:c r="O436" s="60"/>
      <x:c r="P436" s="60"/>
    </x:row>
    <x:row r="437" ht="30" customHeight="1">
      <x:c r="A437" s="60" t="n">
        <x:v>256</x:v>
      </x:c>
      <x:c r="B437" s="60">
        <x:f>IF(A437&lt;$E$32,ROUNDUP(ROUND($E$29*$E$30^A437,6),0),"")</x:f>
        <x:v>1664244353</x:v>
      </x:c>
      <x:c r="C437" s="60">
        <x:f>IF(A437&lt;=$E$32,C436+B436,"")</x:f>
        <x:v>23774918725</x:v>
      </x:c>
      <x:c r="D437" s="78">
        <x:f>IF(A437&lt;=$E$32,$E$31^A437,"")</x:f>
        <x:v>556.30061529809382</x:v>
      </x:c>
      <x:c r="E437" s="60" t="str">
        <x:f>IF(A437&lt;$E$36,ROUNDUP(ROUND($E$33*$E$34^A437,6),0),"")</x:f>
        <x:v/>
      </x:c>
      <x:c r="F437" s="60" t="str">
        <x:f>IF(A437&lt;=$E$36,F436+E436,"")</x:f>
        <x:v/>
      </x:c>
      <x:c r="G437" s="78" t="str">
        <x:f>IF(A437&lt;=$E$36,$E$35^A437,"")</x:f>
        <x:v/>
      </x:c>
      <x:c r="H437" s="60" t="str">
        <x:f>IF(A437&lt;$E$40,ROUNDUP(ROUND($E$37*$E$38^A437,6),0),"")</x:f>
        <x:v/>
      </x:c>
      <x:c r="I437" s="60" t="str">
        <x:f>IF(A437&lt;=$E$40,I436+H436,"")</x:f>
        <x:v/>
      </x:c>
      <x:c r="J437" s="80" t="str">
        <x:f>IF(A437&lt;=$E$40,1+$E$39*A437,"")</x:f>
        <x:v/>
      </x:c>
      <x:c r="K437" s="60"/>
      <x:c r="L437" s="60"/>
      <x:c r="M437" s="60"/>
      <x:c r="N437" s="60"/>
      <x:c r="O437" s="60"/>
      <x:c r="P437" s="60"/>
    </x:row>
    <x:row r="438" ht="30" customHeight="1">
      <x:c r="A438" s="61" t="n">
        <x:v>257</x:v>
      </x:c>
      <x:c r="B438" s="61">
        <x:f>IF(A438&lt;$E$32,ROUNDUP(ROUND($E$29*$E$30^A438,6),0),"")</x:f>
        <x:v>1780741457</x:v>
      </x:c>
      <x:c r="C438" s="61">
        <x:f>IF(A438&lt;=$E$32,C437+B437,"")</x:f>
        <x:v>25439163078</x:v>
      </x:c>
      <x:c r="D438" s="79">
        <x:f>IF(A438&lt;=$E$32,$E$31^A438,"")</x:f>
        <x:v>570.20813068054611</x:v>
      </x:c>
      <x:c r="E438" s="61" t="str">
        <x:f>IF(A438&lt;$E$36,ROUNDUP(ROUND($E$33*$E$34^A438,6),0),"")</x:f>
        <x:v/>
      </x:c>
      <x:c r="F438" s="61" t="str">
        <x:f>IF(A438&lt;=$E$36,F437+E437,"")</x:f>
        <x:v/>
      </x:c>
      <x:c r="G438" s="79" t="str">
        <x:f>IF(A438&lt;=$E$36,$E$35^A438,"")</x:f>
        <x:v/>
      </x:c>
      <x:c r="H438" s="61" t="str">
        <x:f>IF(A438&lt;$E$40,ROUNDUP(ROUND($E$37*$E$38^A438,6),0),"")</x:f>
        <x:v/>
      </x:c>
      <x:c r="I438" s="61" t="str">
        <x:f>IF(A438&lt;=$E$40,I437+H437,"")</x:f>
        <x:v/>
      </x:c>
      <x:c r="J438" s="81" t="str">
        <x:f>IF(A438&lt;=$E$40,1+$E$39*A438,"")</x:f>
        <x:v/>
      </x:c>
      <x:c r="K438" s="60"/>
      <x:c r="L438" s="60"/>
      <x:c r="M438" s="60"/>
      <x:c r="N438" s="60"/>
      <x:c r="O438" s="60"/>
      <x:c r="P438" s="60"/>
    </x:row>
    <x:row r="439" ht="30" customHeight="1">
      <x:c r="A439" s="60" t="n">
        <x:v>258</x:v>
      </x:c>
      <x:c r="B439" s="60">
        <x:f>IF(A439&lt;$E$32,ROUNDUP(ROUND($E$29*$E$30^A439,6),0),"")</x:f>
        <x:v>1905393359</x:v>
      </x:c>
      <x:c r="C439" s="60">
        <x:f>IF(A439&lt;=$E$32,C438+B438,"")</x:f>
        <x:v>27219904535</x:v>
      </x:c>
      <x:c r="D439" s="78">
        <x:f>IF(A439&lt;=$E$32,$E$31^A439,"")</x:f>
        <x:v>584.46333394755982</x:v>
      </x:c>
      <x:c r="E439" s="60" t="str">
        <x:f>IF(A439&lt;$E$36,ROUNDUP(ROUND($E$33*$E$34^A439,6),0),"")</x:f>
        <x:v/>
      </x:c>
      <x:c r="F439" s="60" t="str">
        <x:f>IF(A439&lt;=$E$36,F438+E438,"")</x:f>
        <x:v/>
      </x:c>
      <x:c r="G439" s="78" t="str">
        <x:f>IF(A439&lt;=$E$36,$E$35^A439,"")</x:f>
        <x:v/>
      </x:c>
      <x:c r="H439" s="60" t="str">
        <x:f>IF(A439&lt;$E$40,ROUNDUP(ROUND($E$37*$E$38^A439,6),0),"")</x:f>
        <x:v/>
      </x:c>
      <x:c r="I439" s="60" t="str">
        <x:f>IF(A439&lt;=$E$40,I438+H438,"")</x:f>
        <x:v/>
      </x:c>
      <x:c r="J439" s="80" t="str">
        <x:f>IF(A439&lt;=$E$40,1+$E$39*A439,"")</x:f>
        <x:v/>
      </x:c>
      <x:c r="K439" s="60"/>
      <x:c r="L439" s="60"/>
      <x:c r="M439" s="60"/>
      <x:c r="N439" s="60"/>
      <x:c r="O439" s="60"/>
      <x:c r="P439" s="60"/>
    </x:row>
    <x:row r="440" ht="30" customHeight="1">
      <x:c r="A440" s="61" t="n">
        <x:v>259</x:v>
      </x:c>
      <x:c r="B440" s="61">
        <x:f>IF(A440&lt;$E$32,ROUNDUP(ROUND($E$29*$E$30^A440,6),0),"")</x:f>
        <x:v>2038770894</x:v>
      </x:c>
      <x:c r="C440" s="61">
        <x:f>IF(A440&lt;=$E$32,C439+B439,"")</x:f>
        <x:v>29125297894</x:v>
      </x:c>
      <x:c r="D440" s="79">
        <x:f>IF(A440&lt;=$E$32,$E$31^A440,"")</x:f>
        <x:v>599.07491729624871</x:v>
      </x:c>
      <x:c r="E440" s="61" t="str">
        <x:f>IF(A440&lt;$E$36,ROUNDUP(ROUND($E$33*$E$34^A440,6),0),"")</x:f>
        <x:v/>
      </x:c>
      <x:c r="F440" s="61" t="str">
        <x:f>IF(A440&lt;=$E$36,F439+E439,"")</x:f>
        <x:v/>
      </x:c>
      <x:c r="G440" s="79" t="str">
        <x:f>IF(A440&lt;=$E$36,$E$35^A440,"")</x:f>
        <x:v/>
      </x:c>
      <x:c r="H440" s="61" t="str">
        <x:f>IF(A440&lt;$E$40,ROUNDUP(ROUND($E$37*$E$38^A440,6),0),"")</x:f>
        <x:v/>
      </x:c>
      <x:c r="I440" s="61" t="str">
        <x:f>IF(A440&lt;=$E$40,I439+H439,"")</x:f>
        <x:v/>
      </x:c>
      <x:c r="J440" s="81" t="str">
        <x:f>IF(A440&lt;=$E$40,1+$E$39*A440,"")</x:f>
        <x:v/>
      </x:c>
      <x:c r="K440" s="60"/>
      <x:c r="L440" s="60"/>
      <x:c r="M440" s="60"/>
      <x:c r="N440" s="60"/>
      <x:c r="O440" s="60"/>
      <x:c r="P440" s="60"/>
    </x:row>
    <x:row r="441" ht="30" customHeight="1">
      <x:c r="A441" s="60" t="n">
        <x:v>260</x:v>
      </x:c>
      <x:c r="B441" s="60">
        <x:f>IF(A441&lt;$E$32,ROUNDUP(ROUND($E$29*$E$30^A441,6),0),"")</x:f>
        <x:v>2181484857</x:v>
      </x:c>
      <x:c r="C441" s="60">
        <x:f>IF(A441&lt;=$E$32,C440+B440,"")</x:f>
        <x:v>31164068788</x:v>
      </x:c>
      <x:c r="D441" s="78">
        <x:f>IF(A441&lt;=$E$32,$E$31^A441,"")</x:f>
        <x:v>614.05179022865491</x:v>
      </x:c>
      <x:c r="E441" s="60" t="str">
        <x:f>IF(A441&lt;$E$36,ROUNDUP(ROUND($E$33*$E$34^A441,6),0),"")</x:f>
        <x:v/>
      </x:c>
      <x:c r="F441" s="60" t="str">
        <x:f>IF(A441&lt;=$E$36,F440+E440,"")</x:f>
        <x:v/>
      </x:c>
      <x:c r="G441" s="78" t="str">
        <x:f>IF(A441&lt;=$E$36,$E$35^A441,"")</x:f>
        <x:v/>
      </x:c>
      <x:c r="H441" s="60" t="str">
        <x:f>IF(A441&lt;$E$40,ROUNDUP(ROUND($E$37*$E$38^A441,6),0),"")</x:f>
        <x:v/>
      </x:c>
      <x:c r="I441" s="60" t="str">
        <x:f>IF(A441&lt;=$E$40,I440+H440,"")</x:f>
        <x:v/>
      </x:c>
      <x:c r="J441" s="80" t="str">
        <x:f>IF(A441&lt;=$E$40,1+$E$39*A441,"")</x:f>
        <x:v/>
      </x:c>
      <x:c r="K441" s="60"/>
      <x:c r="L441" s="60"/>
      <x:c r="M441" s="60"/>
      <x:c r="N441" s="60"/>
      <x:c r="O441" s="60"/>
      <x:c r="P441" s="60"/>
    </x:row>
    <x:row r="442" ht="30" customHeight="1">
      <x:c r="A442" s="61" t="n">
        <x:v>261</x:v>
      </x:c>
      <x:c r="B442" s="61">
        <x:f>IF(A442&lt;$E$32,ROUNDUP(ROUND($E$29*$E$30^A442,6),0),"")</x:f>
        <x:v>2334188797</x:v>
      </x:c>
      <x:c r="C442" s="61">
        <x:f>IF(A442&lt;=$E$32,C441+B441,"")</x:f>
        <x:v>33345553645</x:v>
      </x:c>
      <x:c r="D442" s="79">
        <x:f>IF(A442&lt;=$E$32,$E$31^A442,"")</x:f>
        <x:v>629.40308498437116</x:v>
      </x:c>
      <x:c r="E442" s="61" t="str">
        <x:f>IF(A442&lt;$E$36,ROUNDUP(ROUND($E$33*$E$34^A442,6),0),"")</x:f>
        <x:v/>
      </x:c>
      <x:c r="F442" s="61" t="str">
        <x:f>IF(A442&lt;=$E$36,F441+E441,"")</x:f>
        <x:v/>
      </x:c>
      <x:c r="G442" s="79" t="str">
        <x:f>IF(A442&lt;=$E$36,$E$35^A442,"")</x:f>
        <x:v/>
      </x:c>
      <x:c r="H442" s="61" t="str">
        <x:f>IF(A442&lt;$E$40,ROUNDUP(ROUND($E$37*$E$38^A442,6),0),"")</x:f>
        <x:v/>
      </x:c>
      <x:c r="I442" s="61" t="str">
        <x:f>IF(A442&lt;=$E$40,I441+H441,"")</x:f>
        <x:v/>
      </x:c>
      <x:c r="J442" s="81" t="str">
        <x:f>IF(A442&lt;=$E$40,1+$E$39*A442,"")</x:f>
        <x:v/>
      </x:c>
      <x:c r="K442" s="60"/>
      <x:c r="L442" s="60"/>
      <x:c r="M442" s="60"/>
      <x:c r="N442" s="60"/>
      <x:c r="O442" s="60"/>
      <x:c r="P442" s="60"/>
    </x:row>
    <x:row r="443" ht="30" customHeight="1">
      <x:c r="A443" s="60" t="n">
        <x:v>262</x:v>
      </x:c>
      <x:c r="B443" s="60">
        <x:f>IF(A443&lt;$E$32,ROUNDUP(ROUND($E$29*$E$30^A443,6),0),"")</x:f>
        <x:v>2497582012</x:v>
      </x:c>
      <x:c r="C443" s="60">
        <x:f>IF(A443&lt;=$E$32,C442+B442,"")</x:f>
        <x:v>35679742442</x:v>
      </x:c>
      <x:c r="D443" s="78">
        <x:f>IF(A443&lt;=$E$32,$E$31^A443,"")</x:f>
        <x:v>645.1381621089804</x:v>
      </x:c>
      <x:c r="E443" s="60" t="str">
        <x:f>IF(A443&lt;$E$36,ROUNDUP(ROUND($E$33*$E$34^A443,6),0),"")</x:f>
        <x:v/>
      </x:c>
      <x:c r="F443" s="60" t="str">
        <x:f>IF(A443&lt;=$E$36,F442+E442,"")</x:f>
        <x:v/>
      </x:c>
      <x:c r="G443" s="78" t="str">
        <x:f>IF(A443&lt;=$E$36,$E$35^A443,"")</x:f>
        <x:v/>
      </x:c>
      <x:c r="H443" s="60" t="str">
        <x:f>IF(A443&lt;$E$40,ROUNDUP(ROUND($E$37*$E$38^A443,6),0),"")</x:f>
        <x:v/>
      </x:c>
      <x:c r="I443" s="60" t="str">
        <x:f>IF(A443&lt;=$E$40,I442+H442,"")</x:f>
        <x:v/>
      </x:c>
      <x:c r="J443" s="80" t="str">
        <x:f>IF(A443&lt;=$E$40,1+$E$39*A443,"")</x:f>
        <x:v/>
      </x:c>
      <x:c r="K443" s="60"/>
      <x:c r="L443" s="60"/>
      <x:c r="M443" s="60"/>
      <x:c r="N443" s="60"/>
      <x:c r="O443" s="60"/>
      <x:c r="P443" s="60"/>
    </x:row>
    <x:row r="444" ht="30" customHeight="1">
      <x:c r="A444" s="61" t="n">
        <x:v>263</x:v>
      </x:c>
      <x:c r="B444" s="61">
        <x:f>IF(A444&lt;$E$32,ROUNDUP(ROUND($E$29*$E$30^A444,6),0),"")</x:f>
        <x:v>2672412753</x:v>
      </x:c>
      <x:c r="C444" s="61">
        <x:f>IF(A444&lt;=$E$32,C443+B443,"")</x:f>
        <x:v>38177324454</x:v>
      </x:c>
      <x:c r="D444" s="79">
        <x:f>IF(A444&lt;=$E$32,$E$31^A444,"")</x:f>
        <x:v>661.26661616170497</x:v>
      </x:c>
      <x:c r="E444" s="61" t="str">
        <x:f>IF(A444&lt;$E$36,ROUNDUP(ROUND($E$33*$E$34^A444,6),0),"")</x:f>
        <x:v/>
      </x:c>
      <x:c r="F444" s="61" t="str">
        <x:f>IF(A444&lt;=$E$36,F443+E443,"")</x:f>
        <x:v/>
      </x:c>
      <x:c r="G444" s="79" t="str">
        <x:f>IF(A444&lt;=$E$36,$E$35^A444,"")</x:f>
        <x:v/>
      </x:c>
      <x:c r="H444" s="61" t="str">
        <x:f>IF(A444&lt;$E$40,ROUNDUP(ROUND($E$37*$E$38^A444,6),0),"")</x:f>
        <x:v/>
      </x:c>
      <x:c r="I444" s="61" t="str">
        <x:f>IF(A444&lt;=$E$40,I443+H443,"")</x:f>
        <x:v/>
      </x:c>
      <x:c r="J444" s="81" t="str">
        <x:f>IF(A444&lt;=$E$40,1+$E$39*A444,"")</x:f>
        <x:v/>
      </x:c>
      <x:c r="K444" s="60"/>
      <x:c r="L444" s="60"/>
      <x:c r="M444" s="60"/>
      <x:c r="N444" s="60"/>
      <x:c r="O444" s="60"/>
      <x:c r="P444" s="60"/>
    </x:row>
    <x:row r="445" ht="30" customHeight="1">
      <x:c r="A445" s="60" t="n">
        <x:v>264</x:v>
      </x:c>
      <x:c r="B445" s="60">
        <x:f>IF(A445&lt;$E$32,ROUNDUP(ROUND($E$29*$E$30^A445,6),0),"")</x:f>
        <x:v>2859481646</x:v>
      </x:c>
      <x:c r="C445" s="60">
        <x:f>IF(A445&lt;=$E$32,C444+B444,"")</x:f>
        <x:v>40849737207</x:v>
      </x:c>
      <x:c r="D445" s="78">
        <x:f>IF(A445&lt;=$E$32,$E$31^A445,"")</x:f>
        <x:v>677.79828156574752</x:v>
      </x:c>
      <x:c r="E445" s="60" t="str">
        <x:f>IF(A445&lt;$E$36,ROUNDUP(ROUND($E$33*$E$34^A445,6),0),"")</x:f>
        <x:v/>
      </x:c>
      <x:c r="F445" s="60" t="str">
        <x:f>IF(A445&lt;=$E$36,F444+E444,"")</x:f>
        <x:v/>
      </x:c>
      <x:c r="G445" s="78" t="str">
        <x:f>IF(A445&lt;=$E$36,$E$35^A445,"")</x:f>
        <x:v/>
      </x:c>
      <x:c r="H445" s="60" t="str">
        <x:f>IF(A445&lt;$E$40,ROUNDUP(ROUND($E$37*$E$38^A445,6),0),"")</x:f>
        <x:v/>
      </x:c>
      <x:c r="I445" s="60" t="str">
        <x:f>IF(A445&lt;=$E$40,I444+H444,"")</x:f>
        <x:v/>
      </x:c>
      <x:c r="J445" s="80" t="str">
        <x:f>IF(A445&lt;=$E$40,1+$E$39*A445,"")</x:f>
        <x:v/>
      </x:c>
      <x:c r="K445" s="60"/>
      <x:c r="L445" s="60"/>
      <x:c r="M445" s="60"/>
      <x:c r="N445" s="60"/>
      <x:c r="O445" s="60"/>
      <x:c r="P445" s="60"/>
    </x:row>
    <x:row r="446" ht="30" customHeight="1">
      <x:c r="A446" s="61" t="n">
        <x:v>265</x:v>
      </x:c>
      <x:c r="B446" s="61">
        <x:f>IF(A446&lt;$E$32,ROUNDUP(ROUND($E$29*$E$30^A446,6),0),"")</x:f>
        <x:v>3059645361</x:v>
      </x:c>
      <x:c r="C446" s="61">
        <x:f>IF(A446&lt;=$E$32,C445+B445,"")</x:f>
        <x:v>43709218853</x:v>
      </x:c>
      <x:c r="D446" s="79">
        <x:f>IF(A446&lt;=$E$32,$E$31^A446,"")</x:f>
        <x:v>694.74323860489108</x:v>
      </x:c>
      <x:c r="E446" s="61" t="str">
        <x:f>IF(A446&lt;$E$36,ROUNDUP(ROUND($E$33*$E$34^A446,6),0),"")</x:f>
        <x:v/>
      </x:c>
      <x:c r="F446" s="61" t="str">
        <x:f>IF(A446&lt;=$E$36,F445+E445,"")</x:f>
        <x:v/>
      </x:c>
      <x:c r="G446" s="79" t="str">
        <x:f>IF(A446&lt;=$E$36,$E$35^A446,"")</x:f>
        <x:v/>
      </x:c>
      <x:c r="H446" s="61" t="str">
        <x:f>IF(A446&lt;$E$40,ROUNDUP(ROUND($E$37*$E$38^A446,6),0),"")</x:f>
        <x:v/>
      </x:c>
      <x:c r="I446" s="61" t="str">
        <x:f>IF(A446&lt;=$E$40,I445+H445,"")</x:f>
        <x:v/>
      </x:c>
      <x:c r="J446" s="81" t="str">
        <x:f>IF(A446&lt;=$E$40,1+$E$39*A446,"")</x:f>
        <x:v/>
      </x:c>
      <x:c r="K446" s="60"/>
      <x:c r="L446" s="60"/>
      <x:c r="M446" s="60"/>
      <x:c r="N446" s="60"/>
      <x:c r="O446" s="60"/>
      <x:c r="P446" s="60"/>
    </x:row>
    <x:row r="447" ht="30" customHeight="1">
      <x:c r="A447" s="60" t="n">
        <x:v>266</x:v>
      </x:c>
      <x:c r="B447" s="60">
        <x:f>IF(A447&lt;$E$32,ROUNDUP(ROUND($E$29*$E$30^A447,6),0),"")</x:f>
        <x:v>3273820536</x:v>
      </x:c>
      <x:c r="C447" s="60">
        <x:f>IF(A447&lt;=$E$32,C446+B446,"")</x:f>
        <x:v>46768864214</x:v>
      </x:c>
      <x:c r="D447" s="78">
        <x:f>IF(A447&lt;=$E$32,$E$31^A447,"")</x:f>
        <x:v>712.11181957001338</x:v>
      </x:c>
      <x:c r="E447" s="60" t="str">
        <x:f>IF(A447&lt;$E$36,ROUNDUP(ROUND($E$33*$E$34^A447,6),0),"")</x:f>
        <x:v/>
      </x:c>
      <x:c r="F447" s="60" t="str">
        <x:f>IF(A447&lt;=$E$36,F446+E446,"")</x:f>
        <x:v/>
      </x:c>
      <x:c r="G447" s="78" t="str">
        <x:f>IF(A447&lt;=$E$36,$E$35^A447,"")</x:f>
        <x:v/>
      </x:c>
      <x:c r="H447" s="60" t="str">
        <x:f>IF(A447&lt;$E$40,ROUNDUP(ROUND($E$37*$E$38^A447,6),0),"")</x:f>
        <x:v/>
      </x:c>
      <x:c r="I447" s="60" t="str">
        <x:f>IF(A447&lt;=$E$40,I446+H446,"")</x:f>
        <x:v/>
      </x:c>
      <x:c r="J447" s="80" t="str">
        <x:f>IF(A447&lt;=$E$40,1+$E$39*A447,"")</x:f>
        <x:v/>
      </x:c>
      <x:c r="K447" s="60"/>
      <x:c r="L447" s="60"/>
      <x:c r="M447" s="60"/>
      <x:c r="N447" s="60"/>
      <x:c r="O447" s="60"/>
      <x:c r="P447" s="60"/>
    </x:row>
    <x:row r="448" ht="30" customHeight="1">
      <x:c r="A448" s="61" t="n">
        <x:v>267</x:v>
      </x:c>
      <x:c r="B448" s="61">
        <x:f>IF(A448&lt;$E$32,ROUNDUP(ROUND($E$29*$E$30^A448,6),0),"")</x:f>
        <x:v>3502987974</x:v>
      </x:c>
      <x:c r="C448" s="61">
        <x:f>IF(A448&lt;=$E$32,C447+B447,"")</x:f>
        <x:v>50042684750</x:v>
      </x:c>
      <x:c r="D448" s="79">
        <x:f>IF(A448&lt;=$E$32,$E$31^A448,"")</x:f>
        <x:v>729.91461505926372</x:v>
      </x:c>
      <x:c r="E448" s="61" t="str">
        <x:f>IF(A448&lt;$E$36,ROUNDUP(ROUND($E$33*$E$34^A448,6),0),"")</x:f>
        <x:v/>
      </x:c>
      <x:c r="F448" s="61" t="str">
        <x:f>IF(A448&lt;=$E$36,F447+E447,"")</x:f>
        <x:v/>
      </x:c>
      <x:c r="G448" s="79" t="str">
        <x:f>IF(A448&lt;=$E$36,$E$35^A448,"")</x:f>
        <x:v/>
      </x:c>
      <x:c r="H448" s="61" t="str">
        <x:f>IF(A448&lt;$E$40,ROUNDUP(ROUND($E$37*$E$38^A448,6),0),"")</x:f>
        <x:v/>
      </x:c>
      <x:c r="I448" s="61" t="str">
        <x:f>IF(A448&lt;=$E$40,I447+H447,"")</x:f>
        <x:v/>
      </x:c>
      <x:c r="J448" s="81" t="str">
        <x:f>IF(A448&lt;=$E$40,1+$E$39*A448,"")</x:f>
        <x:v/>
      </x:c>
      <x:c r="K448" s="60"/>
      <x:c r="L448" s="60"/>
      <x:c r="M448" s="60"/>
      <x:c r="N448" s="60"/>
      <x:c r="O448" s="60"/>
      <x:c r="P448" s="60"/>
    </x:row>
    <x:row r="449" ht="30" customHeight="1">
      <x:c r="A449" s="60" t="n">
        <x:v>268</x:v>
      </x:c>
      <x:c r="B449" s="60">
        <x:f>IF(A449&lt;$E$32,ROUNDUP(ROUND($E$29*$E$30^A449,6),0),"")</x:f>
        <x:v>3748197132</x:v>
      </x:c>
      <x:c r="C449" s="60">
        <x:f>IF(A449&lt;=$E$32,C448+B448,"")</x:f>
        <x:v>53545672724</x:v>
      </x:c>
      <x:c r="D449" s="78">
        <x:f>IF(A449&lt;=$E$32,$E$31^A449,"")</x:f>
        <x:v>748.16248043574524</x:v>
      </x:c>
      <x:c r="E449" s="60" t="str">
        <x:f>IF(A449&lt;$E$36,ROUNDUP(ROUND($E$33*$E$34^A449,6),0),"")</x:f>
        <x:v/>
      </x:c>
      <x:c r="F449" s="60" t="str">
        <x:f>IF(A449&lt;=$E$36,F448+E448,"")</x:f>
        <x:v/>
      </x:c>
      <x:c r="G449" s="78" t="str">
        <x:f>IF(A449&lt;=$E$36,$E$35^A449,"")</x:f>
        <x:v/>
      </x:c>
      <x:c r="H449" s="60" t="str">
        <x:f>IF(A449&lt;$E$40,ROUNDUP(ROUND($E$37*$E$38^A449,6),0),"")</x:f>
        <x:v/>
      </x:c>
      <x:c r="I449" s="60" t="str">
        <x:f>IF(A449&lt;=$E$40,I448+H448,"")</x:f>
        <x:v/>
      </x:c>
      <x:c r="J449" s="80" t="str">
        <x:f>IF(A449&lt;=$E$40,1+$E$39*A449,"")</x:f>
        <x:v/>
      </x:c>
      <x:c r="K449" s="60"/>
      <x:c r="L449" s="60"/>
      <x:c r="M449" s="60"/>
      <x:c r="N449" s="60"/>
      <x:c r="O449" s="60"/>
      <x:c r="P449" s="60"/>
    </x:row>
    <x:row r="450" ht="30" customHeight="1">
      <x:c r="A450" s="61" t="n">
        <x:v>269</x:v>
      </x:c>
      <x:c r="B450" s="61">
        <x:f>IF(A450&lt;$E$32,ROUNDUP(ROUND($E$29*$E$30^A450,6),0),"")</x:f>
        <x:v>4010570931</x:v>
      </x:c>
      <x:c r="C450" s="61">
        <x:f>IF(A450&lt;=$E$32,C449+B449,"")</x:f>
        <x:v>57293869856</x:v>
      </x:c>
      <x:c r="D450" s="79">
        <x:f>IF(A450&lt;=$E$32,$E$31^A450,"")</x:f>
        <x:v>766.86654244663885</x:v>
      </x:c>
      <x:c r="E450" s="61" t="str">
        <x:f>IF(A450&lt;$E$36,ROUNDUP(ROUND($E$33*$E$34^A450,6),0),"")</x:f>
        <x:v/>
      </x:c>
      <x:c r="F450" s="61" t="str">
        <x:f>IF(A450&lt;=$E$36,F449+E449,"")</x:f>
        <x:v/>
      </x:c>
      <x:c r="G450" s="79" t="str">
        <x:f>IF(A450&lt;=$E$36,$E$35^A450,"")</x:f>
        <x:v/>
      </x:c>
      <x:c r="H450" s="61" t="str">
        <x:f>IF(A450&lt;$E$40,ROUNDUP(ROUND($E$37*$E$38^A450,6),0),"")</x:f>
        <x:v/>
      </x:c>
      <x:c r="I450" s="61" t="str">
        <x:f>IF(A450&lt;=$E$40,I449+H449,"")</x:f>
        <x:v/>
      </x:c>
      <x:c r="J450" s="81" t="str">
        <x:f>IF(A450&lt;=$E$40,1+$E$39*A450,"")</x:f>
        <x:v/>
      </x:c>
      <x:c r="K450" s="60"/>
      <x:c r="L450" s="60"/>
      <x:c r="M450" s="60"/>
      <x:c r="N450" s="60"/>
      <x:c r="O450" s="60"/>
      <x:c r="P450" s="60"/>
    </x:row>
    <x:row r="451" ht="30" customHeight="1">
      <x:c r="A451" s="60" t="n">
        <x:v>270</x:v>
      </x:c>
      <x:c r="B451" s="60">
        <x:f>IF(A451&lt;$E$32,ROUNDUP(ROUND($E$29*$E$30^A451,6),0),"")</x:f>
        <x:v>4291310896</x:v>
      </x:c>
      <x:c r="C451" s="60">
        <x:f>IF(A451&lt;=$E$32,C450+B450,"")</x:f>
        <x:v>61304440787</x:v>
      </x:c>
      <x:c r="D451" s="78">
        <x:f>IF(A451&lt;=$E$32,$E$31^A451,"")</x:f>
        <x:v>786.03820600780477</x:v>
      </x:c>
      <x:c r="E451" s="60" t="str">
        <x:f>IF(A451&lt;$E$36,ROUNDUP(ROUND($E$33*$E$34^A451,6),0),"")</x:f>
        <x:v/>
      </x:c>
      <x:c r="F451" s="60" t="str">
        <x:f>IF(A451&lt;=$E$36,F450+E450,"")</x:f>
        <x:v/>
      </x:c>
      <x:c r="G451" s="78" t="str">
        <x:f>IF(A451&lt;=$E$36,$E$35^A451,"")</x:f>
        <x:v/>
      </x:c>
      <x:c r="H451" s="60" t="str">
        <x:f>IF(A451&lt;$E$40,ROUNDUP(ROUND($E$37*$E$38^A451,6),0),"")</x:f>
        <x:v/>
      </x:c>
      <x:c r="I451" s="60" t="str">
        <x:f>IF(A451&lt;=$E$40,I450+H450,"")</x:f>
        <x:v/>
      </x:c>
      <x:c r="J451" s="80" t="str">
        <x:f>IF(A451&lt;=$E$40,1+$E$39*A451,"")</x:f>
        <x:v/>
      </x:c>
      <x:c r="K451" s="60"/>
      <x:c r="L451" s="60"/>
      <x:c r="M451" s="60"/>
      <x:c r="N451" s="60"/>
      <x:c r="O451" s="60"/>
      <x:c r="P451" s="60"/>
    </x:row>
    <x:row r="452" ht="30" customHeight="1">
      <x:c r="A452" s="61" t="n">
        <x:v>271</x:v>
      </x:c>
      <x:c r="B452" s="61">
        <x:f>IF(A452&lt;$E$32,ROUNDUP(ROUND($E$29*$E$30^A452,6),0),"")</x:f>
        <x:v>4591702659</x:v>
      </x:c>
      <x:c r="C452" s="61">
        <x:f>IF(A452&lt;=$E$32,C451+B451,"")</x:f>
        <x:v>65595751683</x:v>
      </x:c>
      <x:c r="D452" s="79">
        <x:f>IF(A452&lt;=$E$32,$E$31^A452,"")</x:f>
        <x:v>805.68916115800005</x:v>
      </x:c>
      <x:c r="E452" s="61" t="str">
        <x:f>IF(A452&lt;$E$36,ROUNDUP(ROUND($E$33*$E$34^A452,6),0),"")</x:f>
        <x:v/>
      </x:c>
      <x:c r="F452" s="61" t="str">
        <x:f>IF(A452&lt;=$E$36,F451+E451,"")</x:f>
        <x:v/>
      </x:c>
      <x:c r="G452" s="79" t="str">
        <x:f>IF(A452&lt;=$E$36,$E$35^A452,"")</x:f>
        <x:v/>
      </x:c>
      <x:c r="H452" s="61" t="str">
        <x:f>IF(A452&lt;$E$40,ROUNDUP(ROUND($E$37*$E$38^A452,6),0),"")</x:f>
        <x:v/>
      </x:c>
      <x:c r="I452" s="61" t="str">
        <x:f>IF(A452&lt;=$E$40,I451+H451,"")</x:f>
        <x:v/>
      </x:c>
      <x:c r="J452" s="81" t="str">
        <x:f>IF(A452&lt;=$E$40,1+$E$39*A452,"")</x:f>
        <x:v/>
      </x:c>
      <x:c r="K452" s="60"/>
      <x:c r="L452" s="60"/>
      <x:c r="M452" s="60"/>
      <x:c r="N452" s="60"/>
      <x:c r="O452" s="60"/>
      <x:c r="P452" s="60"/>
    </x:row>
    <x:row r="453" ht="30" customHeight="1">
      <x:c r="A453" s="60" t="n">
        <x:v>272</x:v>
      </x:c>
      <x:c r="B453" s="60">
        <x:f>IF(A453&lt;$E$32,ROUNDUP(ROUND($E$29*$E$30^A453,6),0),"")</x:f>
        <x:v>4913121845</x:v>
      </x:c>
      <x:c r="C453" s="60">
        <x:f>IF(A453&lt;=$E$32,C452+B452,"")</x:f>
        <x:v>70187454342</x:v>
      </x:c>
      <x:c r="D453" s="78">
        <x:f>IF(A453&lt;=$E$32,$E$31^A453,"")</x:f>
        <x:v>825.83139018694987</x:v>
      </x:c>
      <x:c r="E453" s="60" t="str">
        <x:f>IF(A453&lt;$E$36,ROUNDUP(ROUND($E$33*$E$34^A453,6),0),"")</x:f>
        <x:v/>
      </x:c>
      <x:c r="F453" s="60" t="str">
        <x:f>IF(A453&lt;=$E$36,F452+E452,"")</x:f>
        <x:v/>
      </x:c>
      <x:c r="G453" s="78" t="str">
        <x:f>IF(A453&lt;=$E$36,$E$35^A453,"")</x:f>
        <x:v/>
      </x:c>
      <x:c r="H453" s="60" t="str">
        <x:f>IF(A453&lt;$E$40,ROUNDUP(ROUND($E$37*$E$38^A453,6),0),"")</x:f>
        <x:v/>
      </x:c>
      <x:c r="I453" s="60" t="str">
        <x:f>IF(A453&lt;=$E$40,I452+H452,"")</x:f>
        <x:v/>
      </x:c>
      <x:c r="J453" s="80" t="str">
        <x:f>IF(A453&lt;=$E$40,1+$E$39*A453,"")</x:f>
        <x:v/>
      </x:c>
      <x:c r="K453" s="60"/>
      <x:c r="L453" s="60"/>
      <x:c r="M453" s="60"/>
      <x:c r="N453" s="60"/>
      <x:c r="O453" s="60"/>
      <x:c r="P453" s="60"/>
    </x:row>
    <x:row r="454" ht="30" customHeight="1">
      <x:c r="A454" s="61" t="n">
        <x:v>273</x:v>
      </x:c>
      <x:c r="B454" s="61">
        <x:f>IF(A454&lt;$E$32,ROUNDUP(ROUND($E$29*$E$30^A454,6),0),"")</x:f>
        <x:v>5257040374</x:v>
      </x:c>
      <x:c r="C454" s="61">
        <x:f>IF(A454&lt;=$E$32,C453+B453,"")</x:f>
        <x:v>75100576187</x:v>
      </x:c>
      <x:c r="D454" s="79">
        <x:f>IF(A454&lt;=$E$32,$E$31^A454,"")</x:f>
        <x:v>846.4771749416235</x:v>
      </x:c>
      <x:c r="E454" s="61" t="str">
        <x:f>IF(A454&lt;$E$36,ROUNDUP(ROUND($E$33*$E$34^A454,6),0),"")</x:f>
        <x:v/>
      </x:c>
      <x:c r="F454" s="61" t="str">
        <x:f>IF(A454&lt;=$E$36,F453+E453,"")</x:f>
        <x:v/>
      </x:c>
      <x:c r="G454" s="79" t="str">
        <x:f>IF(A454&lt;=$E$36,$E$35^A454,"")</x:f>
        <x:v/>
      </x:c>
      <x:c r="H454" s="61" t="str">
        <x:f>IF(A454&lt;$E$40,ROUNDUP(ROUND($E$37*$E$38^A454,6),0),"")</x:f>
        <x:v/>
      </x:c>
      <x:c r="I454" s="61" t="str">
        <x:f>IF(A454&lt;=$E$40,I453+H453,"")</x:f>
        <x:v/>
      </x:c>
      <x:c r="J454" s="81" t="str">
        <x:f>IF(A454&lt;=$E$40,1+$E$39*A454,"")</x:f>
        <x:v/>
      </x:c>
      <x:c r="K454" s="60"/>
      <x:c r="L454" s="60"/>
      <x:c r="M454" s="60"/>
      <x:c r="N454" s="60"/>
      <x:c r="O454" s="60"/>
      <x:c r="P454" s="60"/>
    </x:row>
    <x:row r="455" ht="30" customHeight="1">
      <x:c r="A455" s="60" t="n">
        <x:v>274</x:v>
      </x:c>
      <x:c r="B455" s="60">
        <x:f>IF(A455&lt;$E$32,ROUNDUP(ROUND($E$29*$E$30^A455,6),0),"")</x:f>
        <x:v>5625033201</x:v>
      </x:c>
      <x:c r="C455" s="60">
        <x:f>IF(A455&lt;=$E$32,C454+B454,"")</x:f>
        <x:v>80357616561</x:v>
      </x:c>
      <x:c r="D455" s="78">
        <x:f>IF(A455&lt;=$E$32,$E$31^A455,"")</x:f>
        <x:v>867.63910431516422</x:v>
      </x:c>
      <x:c r="E455" s="60" t="str">
        <x:f>IF(A455&lt;$E$36,ROUNDUP(ROUND($E$33*$E$34^A455,6),0),"")</x:f>
        <x:v/>
      </x:c>
      <x:c r="F455" s="60" t="str">
        <x:f>IF(A455&lt;=$E$36,F454+E454,"")</x:f>
        <x:v/>
      </x:c>
      <x:c r="G455" s="78" t="str">
        <x:f>IF(A455&lt;=$E$36,$E$35^A455,"")</x:f>
        <x:v/>
      </x:c>
      <x:c r="H455" s="60" t="str">
        <x:f>IF(A455&lt;$E$40,ROUNDUP(ROUND($E$37*$E$38^A455,6),0),"")</x:f>
        <x:v/>
      </x:c>
      <x:c r="I455" s="60" t="str">
        <x:f>IF(A455&lt;=$E$40,I454+H454,"")</x:f>
        <x:v/>
      </x:c>
      <x:c r="J455" s="80" t="str">
        <x:f>IF(A455&lt;=$E$40,1+$E$39*A455,"")</x:f>
        <x:v/>
      </x:c>
      <x:c r="K455" s="60"/>
      <x:c r="L455" s="60"/>
      <x:c r="M455" s="60"/>
      <x:c r="N455" s="60"/>
      <x:c r="O455" s="60"/>
      <x:c r="P455" s="60"/>
    </x:row>
    <x:row r="456" ht="30" customHeight="1">
      <x:c r="A456" s="61" t="n">
        <x:v>275</x:v>
      </x:c>
      <x:c r="B456" s="61">
        <x:f>IF(A456&lt;$E$32,ROUNDUP(ROUND($E$29*$E$30^A456,6),0),"")</x:f>
        <x:v>6018785525</x:v>
      </x:c>
      <x:c r="C456" s="61">
        <x:f>IF(A456&lt;=$E$32,C455+B455,"")</x:f>
        <x:v>85982649762</x:v>
      </x:c>
      <x:c r="D456" s="79">
        <x:f>IF(A456&lt;=$E$32,$E$31^A456,"")</x:f>
        <x:v>889.33008192304328</x:v>
      </x:c>
      <x:c r="E456" s="61" t="str">
        <x:f>IF(A456&lt;$E$36,ROUNDUP(ROUND($E$33*$E$34^A456,6),0),"")</x:f>
        <x:v/>
      </x:c>
      <x:c r="F456" s="61" t="str">
        <x:f>IF(A456&lt;=$E$36,F455+E455,"")</x:f>
        <x:v/>
      </x:c>
      <x:c r="G456" s="79" t="str">
        <x:f>IF(A456&lt;=$E$36,$E$35^A456,"")</x:f>
        <x:v/>
      </x:c>
      <x:c r="H456" s="61" t="str">
        <x:f>IF(A456&lt;$E$40,ROUNDUP(ROUND($E$37*$E$38^A456,6),0),"")</x:f>
        <x:v/>
      </x:c>
      <x:c r="I456" s="61" t="str">
        <x:f>IF(A456&lt;=$E$40,I455+H455,"")</x:f>
        <x:v/>
      </x:c>
      <x:c r="J456" s="81" t="str">
        <x:f>IF(A456&lt;=$E$40,1+$E$39*A456,"")</x:f>
        <x:v/>
      </x:c>
      <x:c r="K456" s="60"/>
      <x:c r="L456" s="60"/>
      <x:c r="M456" s="60"/>
      <x:c r="N456" s="60"/>
      <x:c r="O456" s="60"/>
      <x:c r="P456" s="60"/>
    </x:row>
    <x:row r="457" ht="30" customHeight="1">
      <x:c r="A457" s="60" t="n">
        <x:v>276</x:v>
      </x:c>
      <x:c r="B457" s="60">
        <x:f>IF(A457&lt;$E$32,ROUNDUP(ROUND($E$29*$E$30^A457,6),0),"")</x:f>
        <x:v>6440100511</x:v>
      </x:c>
      <x:c r="C457" s="60">
        <x:f>IF(A457&lt;=$E$32,C456+B456,"")</x:f>
        <x:v>92001435287</x:v>
      </x:c>
      <x:c r="D457" s="78">
        <x:f>IF(A457&lt;=$E$32,$E$31^A457,"")</x:f>
        <x:v>911.56333397111928</x:v>
      </x:c>
      <x:c r="E457" s="60" t="str">
        <x:f>IF(A457&lt;$E$36,ROUNDUP(ROUND($E$33*$E$34^A457,6),0),"")</x:f>
        <x:v/>
      </x:c>
      <x:c r="F457" s="60" t="str">
        <x:f>IF(A457&lt;=$E$36,F456+E456,"")</x:f>
        <x:v/>
      </x:c>
      <x:c r="G457" s="78" t="str">
        <x:f>IF(A457&lt;=$E$36,$E$35^A457,"")</x:f>
        <x:v/>
      </x:c>
      <x:c r="H457" s="60" t="str">
        <x:f>IF(A457&lt;$E$40,ROUNDUP(ROUND($E$37*$E$38^A457,6),0),"")</x:f>
        <x:v/>
      </x:c>
      <x:c r="I457" s="60" t="str">
        <x:f>IF(A457&lt;=$E$40,I456+H456,"")</x:f>
        <x:v/>
      </x:c>
      <x:c r="J457" s="80" t="str">
        <x:f>IF(A457&lt;=$E$40,1+$E$39*A457,"")</x:f>
        <x:v/>
      </x:c>
      <x:c r="K457" s="60"/>
      <x:c r="L457" s="60"/>
      <x:c r="M457" s="60"/>
      <x:c r="N457" s="60"/>
      <x:c r="O457" s="60"/>
      <x:c r="P457" s="60"/>
    </x:row>
    <x:row r="458" ht="30" customHeight="1">
      <x:c r="A458" s="61" t="n">
        <x:v>277</x:v>
      </x:c>
      <x:c r="B458" s="61">
        <x:f>IF(A458&lt;$E$32,ROUNDUP(ROUND($E$29*$E$30^A458,6),0),"")</x:f>
        <x:v>6890907547</x:v>
      </x:c>
      <x:c r="C458" s="61">
        <x:f>IF(A458&lt;=$E$32,C457+B457,"")</x:f>
        <x:v>98441535798</x:v>
      </x:c>
      <x:c r="D458" s="79">
        <x:f>IF(A458&lt;=$E$32,$E$31^A458,"")</x:f>
        <x:v>934.35241732039708</x:v>
      </x:c>
      <x:c r="E458" s="61" t="str">
        <x:f>IF(A458&lt;$E$36,ROUNDUP(ROUND($E$33*$E$34^A458,6),0),"")</x:f>
        <x:v/>
      </x:c>
      <x:c r="F458" s="61" t="str">
        <x:f>IF(A458&lt;=$E$36,F457+E457,"")</x:f>
        <x:v/>
      </x:c>
      <x:c r="G458" s="79" t="str">
        <x:f>IF(A458&lt;=$E$36,$E$35^A458,"")</x:f>
        <x:v/>
      </x:c>
      <x:c r="H458" s="61" t="str">
        <x:f>IF(A458&lt;$E$40,ROUNDUP(ROUND($E$37*$E$38^A458,6),0),"")</x:f>
        <x:v/>
      </x:c>
      <x:c r="I458" s="61" t="str">
        <x:f>IF(A458&lt;=$E$40,I457+H457,"")</x:f>
        <x:v/>
      </x:c>
      <x:c r="J458" s="81" t="str">
        <x:f>IF(A458&lt;=$E$40,1+$E$39*A458,"")</x:f>
        <x:v/>
      </x:c>
      <x:c r="K458" s="60"/>
      <x:c r="L458" s="60"/>
      <x:c r="M458" s="60"/>
      <x:c r="N458" s="60"/>
      <x:c r="O458" s="60"/>
      <x:c r="P458" s="60"/>
    </x:row>
    <x:row r="459" ht="30" customHeight="1">
      <x:c r="A459" s="60" t="n">
        <x:v>278</x:v>
      </x:c>
      <x:c r="B459" s="60">
        <x:f>IF(A459&lt;$E$32,ROUNDUP(ROUND($E$29*$E$30^A459,6),0),"")</x:f>
        <x:v>7373271075</x:v>
      </x:c>
      <x:c r="C459" s="60">
        <x:f>IF(A459&lt;=$E$32,C458+B458,"")</x:f>
        <x:v>105332443345</x:v>
      </x:c>
      <x:c r="D459" s="78">
        <x:f>IF(A459&lt;=$E$32,$E$31^A459,"")</x:f>
        <x:v>957.711227753407</x:v>
      </x:c>
      <x:c r="E459" s="60" t="str">
        <x:f>IF(A459&lt;$E$36,ROUNDUP(ROUND($E$33*$E$34^A459,6),0),"")</x:f>
        <x:v/>
      </x:c>
      <x:c r="F459" s="60" t="str">
        <x:f>IF(A459&lt;=$E$36,F458+E458,"")</x:f>
        <x:v/>
      </x:c>
      <x:c r="G459" s="78" t="str">
        <x:f>IF(A459&lt;=$E$36,$E$35^A459,"")</x:f>
        <x:v/>
      </x:c>
      <x:c r="H459" s="60" t="str">
        <x:f>IF(A459&lt;$E$40,ROUNDUP(ROUND($E$37*$E$38^A459,6),0),"")</x:f>
        <x:v/>
      </x:c>
      <x:c r="I459" s="60" t="str">
        <x:f>IF(A459&lt;=$E$40,I458+H458,"")</x:f>
        <x:v/>
      </x:c>
      <x:c r="J459" s="80" t="str">
        <x:f>IF(A459&lt;=$E$40,1+$E$39*A459,"")</x:f>
        <x:v/>
      </x:c>
      <x:c r="K459" s="60"/>
      <x:c r="L459" s="60"/>
      <x:c r="M459" s="60"/>
      <x:c r="N459" s="60"/>
      <x:c r="O459" s="60"/>
      <x:c r="P459" s="60"/>
    </x:row>
    <x:row r="460" ht="30" customHeight="1">
      <x:c r="A460" s="61" t="n">
        <x:v>279</x:v>
      </x:c>
      <x:c r="B460" s="61">
        <x:f>IF(A460&lt;$E$32,ROUNDUP(ROUND($E$29*$E$30^A460,6),0),"")</x:f>
        <x:v>7889400050</x:v>
      </x:c>
      <x:c r="C460" s="61">
        <x:f>IF(A460&lt;=$E$32,C459+B459,"")</x:f>
        <x:v>112705714420</x:v>
      </x:c>
      <x:c r="D460" s="79">
        <x:f>IF(A460&lt;=$E$32,$E$31^A460,"")</x:f>
        <x:v>981.65400844724229</x:v>
      </x:c>
      <x:c r="E460" s="61" t="str">
        <x:f>IF(A460&lt;$E$36,ROUNDUP(ROUND($E$33*$E$34^A460,6),0),"")</x:f>
        <x:v/>
      </x:c>
      <x:c r="F460" s="61" t="str">
        <x:f>IF(A460&lt;=$E$36,F459+E459,"")</x:f>
        <x:v/>
      </x:c>
      <x:c r="G460" s="79" t="str">
        <x:f>IF(A460&lt;=$E$36,$E$35^A460,"")</x:f>
        <x:v/>
      </x:c>
      <x:c r="H460" s="61" t="str">
        <x:f>IF(A460&lt;$E$40,ROUNDUP(ROUND($E$37*$E$38^A460,6),0),"")</x:f>
        <x:v/>
      </x:c>
      <x:c r="I460" s="61" t="str">
        <x:f>IF(A460&lt;=$E$40,I459+H459,"")</x:f>
        <x:v/>
      </x:c>
      <x:c r="J460" s="81" t="str">
        <x:f>IF(A460&lt;=$E$40,1+$E$39*A460,"")</x:f>
        <x:v/>
      </x:c>
      <x:c r="K460" s="60"/>
      <x:c r="L460" s="60"/>
      <x:c r="M460" s="60"/>
      <x:c r="N460" s="60"/>
      <x:c r="O460" s="60"/>
      <x:c r="P460" s="60"/>
    </x:row>
    <x:row r="461" ht="30" customHeight="1">
      <x:c r="A461" s="60" t="n">
        <x:v>280</x:v>
      </x:c>
      <x:c r="B461" s="60">
        <x:f>IF(A461&lt;$E$32,ROUNDUP(ROUND($E$29*$E$30^A461,6),0),"")</x:f>
        <x:v>8441658054</x:v>
      </x:c>
      <x:c r="C461" s="60">
        <x:f>IF(A461&lt;=$E$32,C460+B460,"")</x:f>
        <x:v>120595114470</x:v>
      </x:c>
      <x:c r="D461" s="78">
        <x:f>IF(A461&lt;=$E$32,$E$31^A461,"")</x:f>
        <x:v>1006.1953586584233</x:v>
      </x:c>
      <x:c r="E461" s="60" t="str">
        <x:f>IF(A461&lt;$E$36,ROUNDUP(ROUND($E$33*$E$34^A461,6),0),"")</x:f>
        <x:v/>
      </x:c>
      <x:c r="F461" s="60" t="str">
        <x:f>IF(A461&lt;=$E$36,F460+E460,"")</x:f>
        <x:v/>
      </x:c>
      <x:c r="G461" s="78" t="str">
        <x:f>IF(A461&lt;=$E$36,$E$35^A461,"")</x:f>
        <x:v/>
      </x:c>
      <x:c r="H461" s="60" t="str">
        <x:f>IF(A461&lt;$E$40,ROUNDUP(ROUND($E$37*$E$38^A461,6),0),"")</x:f>
        <x:v/>
      </x:c>
      <x:c r="I461" s="60" t="str">
        <x:f>IF(A461&lt;=$E$40,I460+H460,"")</x:f>
        <x:v/>
      </x:c>
      <x:c r="J461" s="80" t="str">
        <x:f>IF(A461&lt;=$E$40,1+$E$39*A461,"")</x:f>
        <x:v/>
      </x:c>
      <x:c r="K461" s="60"/>
      <x:c r="L461" s="60"/>
      <x:c r="M461" s="60"/>
      <x:c r="N461" s="60"/>
      <x:c r="O461" s="60"/>
      <x:c r="P461" s="60"/>
    </x:row>
    <x:row r="462" ht="30" customHeight="1">
      <x:c r="A462" s="61" t="n">
        <x:v>281</x:v>
      </x:c>
      <x:c r="B462" s="61">
        <x:f>IF(A462&lt;$E$32,ROUNDUP(ROUND($E$29*$E$30^A462,6),0),"")</x:f>
        <x:v>9032574118</x:v>
      </x:c>
      <x:c r="C462" s="61">
        <x:f>IF(A462&lt;=$E$32,C461+B461,"")</x:f>
        <x:v>129036772524</x:v>
      </x:c>
      <x:c r="D462" s="79">
        <x:f>IF(A462&lt;=$E$32,$E$31^A462,"")</x:f>
        <x:v>1031.3502426248835</x:v>
      </x:c>
      <x:c r="E462" s="61" t="str">
        <x:f>IF(A462&lt;$E$36,ROUNDUP(ROUND($E$33*$E$34^A462,6),0),"")</x:f>
        <x:v/>
      </x:c>
      <x:c r="F462" s="61" t="str">
        <x:f>IF(A462&lt;=$E$36,F461+E461,"")</x:f>
        <x:v/>
      </x:c>
      <x:c r="G462" s="79" t="str">
        <x:f>IF(A462&lt;=$E$36,$E$35^A462,"")</x:f>
        <x:v/>
      </x:c>
      <x:c r="H462" s="61" t="str">
        <x:f>IF(A462&lt;$E$40,ROUNDUP(ROUND($E$37*$E$38^A462,6),0),"")</x:f>
        <x:v/>
      </x:c>
      <x:c r="I462" s="61" t="str">
        <x:f>IF(A462&lt;=$E$40,I461+H461,"")</x:f>
        <x:v/>
      </x:c>
      <x:c r="J462" s="81" t="str">
        <x:f>IF(A462&lt;=$E$40,1+$E$39*A462,"")</x:f>
        <x:v/>
      </x:c>
      <x:c r="K462" s="60"/>
      <x:c r="L462" s="60"/>
      <x:c r="M462" s="60"/>
      <x:c r="N462" s="60"/>
      <x:c r="O462" s="60"/>
      <x:c r="P462" s="60"/>
    </x:row>
    <x:row r="463" ht="30" customHeight="1">
      <x:c r="A463" s="60" t="n">
        <x:v>282</x:v>
      </x:c>
      <x:c r="B463" s="60">
        <x:f>IF(A463&lt;$E$32,ROUNDUP(ROUND($E$29*$E$30^A463,6),0),"")</x:f>
        <x:v>9664854306</x:v>
      </x:c>
      <x:c r="C463" s="60">
        <x:f>IF(A463&lt;=$E$32,C462+B462,"")</x:f>
        <x:v>138069346642</x:v>
      </x:c>
      <x:c r="D463" s="78">
        <x:f>IF(A463&lt;=$E$32,$E$31^A463,"")</x:f>
        <x:v>1057.1339986905057</x:v>
      </x:c>
      <x:c r="E463" s="60" t="str">
        <x:f>IF(A463&lt;$E$36,ROUNDUP(ROUND($E$33*$E$34^A463,6),0),"")</x:f>
        <x:v/>
      </x:c>
      <x:c r="F463" s="60" t="str">
        <x:f>IF(A463&lt;=$E$36,F462+E462,"")</x:f>
        <x:v/>
      </x:c>
      <x:c r="G463" s="78" t="str">
        <x:f>IF(A463&lt;=$E$36,$E$35^A463,"")</x:f>
        <x:v/>
      </x:c>
      <x:c r="H463" s="60" t="str">
        <x:f>IF(A463&lt;$E$40,ROUNDUP(ROUND($E$37*$E$38^A463,6),0),"")</x:f>
        <x:v/>
      </x:c>
      <x:c r="I463" s="60" t="str">
        <x:f>IF(A463&lt;=$E$40,I462+H462,"")</x:f>
        <x:v/>
      </x:c>
      <x:c r="J463" s="80" t="str">
        <x:f>IF(A463&lt;=$E$40,1+$E$39*A463,"")</x:f>
        <x:v/>
      </x:c>
      <x:c r="K463" s="60"/>
      <x:c r="L463" s="60"/>
      <x:c r="M463" s="60"/>
      <x:c r="N463" s="60"/>
      <x:c r="O463" s="60"/>
      <x:c r="P463" s="60"/>
    </x:row>
    <x:row r="464" ht="30" customHeight="1">
      <x:c r="A464" s="61" t="n">
        <x:v>283</x:v>
      </x:c>
      <x:c r="B464" s="61">
        <x:f>IF(A464&lt;$E$32,ROUNDUP(ROUND($E$29*$E$30^A464,6),0),"")</x:f>
        <x:v>10341394107</x:v>
      </x:c>
      <x:c r="C464" s="61">
        <x:f>IF(A464&lt;=$E$32,C463+B463,"")</x:f>
        <x:v>147734200948</x:v>
      </x:c>
      <x:c r="D464" s="79">
        <x:f>IF(A464&lt;=$E$32,$E$31^A464,"")</x:f>
        <x:v>1083.5623486577683</x:v>
      </x:c>
      <x:c r="E464" s="61" t="str">
        <x:f>IF(A464&lt;$E$36,ROUNDUP(ROUND($E$33*$E$34^A464,6),0),"")</x:f>
        <x:v/>
      </x:c>
      <x:c r="F464" s="61" t="str">
        <x:f>IF(A464&lt;=$E$36,F463+E463,"")</x:f>
        <x:v/>
      </x:c>
      <x:c r="G464" s="79" t="str">
        <x:f>IF(A464&lt;=$E$36,$E$35^A464,"")</x:f>
        <x:v/>
      </x:c>
      <x:c r="H464" s="61" t="str">
        <x:f>IF(A464&lt;$E$40,ROUNDUP(ROUND($E$37*$E$38^A464,6),0),"")</x:f>
        <x:v/>
      </x:c>
      <x:c r="I464" s="61" t="str">
        <x:f>IF(A464&lt;=$E$40,I463+H463,"")</x:f>
        <x:v/>
      </x:c>
      <x:c r="J464" s="81" t="str">
        <x:f>IF(A464&lt;=$E$40,1+$E$39*A464,"")</x:f>
        <x:v/>
      </x:c>
      <x:c r="K464" s="60"/>
      <x:c r="L464" s="60"/>
      <x:c r="M464" s="60"/>
      <x:c r="N464" s="60"/>
      <x:c r="O464" s="60"/>
      <x:c r="P464" s="60"/>
    </x:row>
    <x:row r="465" ht="30" customHeight="1">
      <x:c r="A465" s="60" t="n">
        <x:v>284</x:v>
      </x:c>
      <x:c r="B465" s="60">
        <x:f>IF(A465&lt;$E$32,ROUNDUP(ROUND($E$29*$E$30^A465,6),0),"")</x:f>
        <x:v>11065291695</x:v>
      </x:c>
      <x:c r="C465" s="60">
        <x:f>IF(A465&lt;=$E$32,C464+B464,"")</x:f>
        <x:v>158075595055</x:v>
      </x:c>
      <x:c r="D465" s="78">
        <x:f>IF(A465&lt;=$E$32,$E$31^A465,"")</x:f>
        <x:v>1110.6514073742123</x:v>
      </x:c>
      <x:c r="E465" s="60" t="str">
        <x:f>IF(A465&lt;$E$36,ROUNDUP(ROUND($E$33*$E$34^A465,6),0),"")</x:f>
        <x:v/>
      </x:c>
      <x:c r="F465" s="60" t="str">
        <x:f>IF(A465&lt;=$E$36,F464+E464,"")</x:f>
        <x:v/>
      </x:c>
      <x:c r="G465" s="78" t="str">
        <x:f>IF(A465&lt;=$E$36,$E$35^A465,"")</x:f>
        <x:v/>
      </x:c>
      <x:c r="H465" s="60" t="str">
        <x:f>IF(A465&lt;$E$40,ROUNDUP(ROUND($E$37*$E$38^A465,6),0),"")</x:f>
        <x:v/>
      </x:c>
      <x:c r="I465" s="60" t="str">
        <x:f>IF(A465&lt;=$E$40,I464+H464,"")</x:f>
        <x:v/>
      </x:c>
      <x:c r="J465" s="80" t="str">
        <x:f>IF(A465&lt;=$E$40,1+$E$39*A465,"")</x:f>
        <x:v/>
      </x:c>
      <x:c r="K465" s="60"/>
      <x:c r="L465" s="60"/>
      <x:c r="M465" s="60"/>
      <x:c r="N465" s="60"/>
      <x:c r="O465" s="60"/>
      <x:c r="P465" s="60"/>
    </x:row>
    <x:row r="466" ht="30" customHeight="1">
      <x:c r="A466" s="61" t="n">
        <x:v>285</x:v>
      </x:c>
      <x:c r="B466" s="61">
        <x:f>IF(A466&lt;$E$32,ROUNDUP(ROUND($E$29*$E$30^A466,6),0),"")</x:f>
        <x:v>11839862113</x:v>
      </x:c>
      <x:c r="C466" s="61">
        <x:f>IF(A466&lt;=$E$32,C465+B465,"")</x:f>
        <x:v>169140886750</x:v>
      </x:c>
      <x:c r="D466" s="79">
        <x:f>IF(A466&lt;=$E$32,$E$31^A466,"")</x:f>
        <x:v>1138.4176925585678</x:v>
      </x:c>
      <x:c r="E466" s="61" t="str">
        <x:f>IF(A466&lt;$E$36,ROUNDUP(ROUND($E$33*$E$34^A466,6),0),"")</x:f>
        <x:v/>
      </x:c>
      <x:c r="F466" s="61" t="str">
        <x:f>IF(A466&lt;=$E$36,F465+E465,"")</x:f>
        <x:v/>
      </x:c>
      <x:c r="G466" s="79" t="str">
        <x:f>IF(A466&lt;=$E$36,$E$35^A466,"")</x:f>
        <x:v/>
      </x:c>
      <x:c r="H466" s="61" t="str">
        <x:f>IF(A466&lt;$E$40,ROUNDUP(ROUND($E$37*$E$38^A466,6),0),"")</x:f>
        <x:v/>
      </x:c>
      <x:c r="I466" s="61" t="str">
        <x:f>IF(A466&lt;=$E$40,I465+H465,"")</x:f>
        <x:v/>
      </x:c>
      <x:c r="J466" s="81" t="str">
        <x:f>IF(A466&lt;=$E$40,1+$E$39*A466,"")</x:f>
        <x:v/>
      </x:c>
      <x:c r="K466" s="60"/>
      <x:c r="L466" s="60"/>
      <x:c r="M466" s="60"/>
      <x:c r="N466" s="60"/>
      <x:c r="O466" s="60"/>
      <x:c r="P466" s="60"/>
    </x:row>
    <x:row r="467" ht="30" customHeight="1">
      <x:c r="A467" s="60" t="n">
        <x:v>286</x:v>
      </x:c>
      <x:c r="B467" s="60">
        <x:f>IF(A467&lt;$E$32,ROUNDUP(ROUND($E$29*$E$30^A467,6),0),"")</x:f>
        <x:v>12668652461</x:v>
      </x:c>
      <x:c r="C467" s="60">
        <x:f>IF(A467&lt;=$E$32,C466+B466,"")</x:f>
        <x:v>180980748863</x:v>
      </x:c>
      <x:c r="D467" s="78">
        <x:f>IF(A467&lt;=$E$32,$E$31^A467,"")</x:f>
        <x:v>1166.8781348725317</x:v>
      </x:c>
      <x:c r="E467" s="60" t="str">
        <x:f>IF(A467&lt;$E$36,ROUNDUP(ROUND($E$33*$E$34^A467,6),0),"")</x:f>
        <x:v/>
      </x:c>
      <x:c r="F467" s="60" t="str">
        <x:f>IF(A467&lt;=$E$36,F466+E466,"")</x:f>
        <x:v/>
      </x:c>
      <x:c r="G467" s="78" t="str">
        <x:f>IF(A467&lt;=$E$36,$E$35^A467,"")</x:f>
        <x:v/>
      </x:c>
      <x:c r="H467" s="60" t="str">
        <x:f>IF(A467&lt;$E$40,ROUNDUP(ROUND($E$37*$E$38^A467,6),0),"")</x:f>
        <x:v/>
      </x:c>
      <x:c r="I467" s="60" t="str">
        <x:f>IF(A467&lt;=$E$40,I466+H466,"")</x:f>
        <x:v/>
      </x:c>
      <x:c r="J467" s="80" t="str">
        <x:f>IF(A467&lt;=$E$40,1+$E$39*A467,"")</x:f>
        <x:v/>
      </x:c>
      <x:c r="K467" s="60"/>
      <x:c r="L467" s="60"/>
      <x:c r="M467" s="60"/>
      <x:c r="N467" s="60"/>
      <x:c r="O467" s="60"/>
      <x:c r="P467" s="60"/>
    </x:row>
    <x:row r="468" ht="30" customHeight="1">
      <x:c r="A468" s="61" t="n">
        <x:v>287</x:v>
      </x:c>
      <x:c r="B468" s="61">
        <x:f>IF(A468&lt;$E$32,ROUNDUP(ROUND($E$29*$E$30^A468,6),0),"")</x:f>
        <x:v>13555458134</x:v>
      </x:c>
      <x:c r="C468" s="61">
        <x:f>IF(A468&lt;=$E$32,C467+B467,"")</x:f>
        <x:v>193649401324</x:v>
      </x:c>
      <x:c r="D468" s="79">
        <x:f>IF(A468&lt;=$E$32,$E$31^A468,"")</x:f>
        <x:v>1196.0500882443453</x:v>
      </x:c>
      <x:c r="E468" s="61" t="str">
        <x:f>IF(A468&lt;$E$36,ROUNDUP(ROUND($E$33*$E$34^A468,6),0),"")</x:f>
        <x:v/>
      </x:c>
      <x:c r="F468" s="61" t="str">
        <x:f>IF(A468&lt;=$E$36,F467+E467,"")</x:f>
        <x:v/>
      </x:c>
      <x:c r="G468" s="79" t="str">
        <x:f>IF(A468&lt;=$E$36,$E$35^A468,"")</x:f>
        <x:v/>
      </x:c>
      <x:c r="H468" s="61" t="str">
        <x:f>IF(A468&lt;$E$40,ROUNDUP(ROUND($E$37*$E$38^A468,6),0),"")</x:f>
        <x:v/>
      </x:c>
      <x:c r="I468" s="61" t="str">
        <x:f>IF(A468&lt;=$E$40,I467+H467,"")</x:f>
        <x:v/>
      </x:c>
      <x:c r="J468" s="81" t="str">
        <x:f>IF(A468&lt;=$E$40,1+$E$39*A468,"")</x:f>
        <x:v/>
      </x:c>
      <x:c r="K468" s="60"/>
      <x:c r="L468" s="60"/>
      <x:c r="M468" s="60"/>
      <x:c r="N468" s="60"/>
      <x:c r="O468" s="60"/>
      <x:c r="P468" s="60"/>
    </x:row>
    <x:row r="469" ht="30" customHeight="1">
      <x:c r="A469" s="60" t="n">
        <x:v>288</x:v>
      </x:c>
      <x:c r="B469" s="60">
        <x:f>IF(A469&lt;$E$32,ROUNDUP(ROUND($E$29*$E$30^A469,6),0),"")</x:f>
        <x:v>14504340203</x:v>
      </x:c>
      <x:c r="C469" s="60">
        <x:f>IF(A469&lt;=$E$32,C468+B468,"")</x:f>
        <x:v>207204859458</x:v>
      </x:c>
      <x:c r="D469" s="78">
        <x:f>IF(A469&lt;=$E$32,$E$31^A469,"")</x:f>
        <x:v>1225.9513404504537</x:v>
      </x:c>
      <x:c r="E469" s="60" t="str">
        <x:f>IF(A469&lt;$E$36,ROUNDUP(ROUND($E$33*$E$34^A469,6),0),"")</x:f>
        <x:v/>
      </x:c>
      <x:c r="F469" s="60" t="str">
        <x:f>IF(A469&lt;=$E$36,F468+E468,"")</x:f>
        <x:v/>
      </x:c>
      <x:c r="G469" s="78" t="str">
        <x:f>IF(A469&lt;=$E$36,$E$35^A469,"")</x:f>
        <x:v/>
      </x:c>
      <x:c r="H469" s="60" t="str">
        <x:f>IF(A469&lt;$E$40,ROUNDUP(ROUND($E$37*$E$38^A469,6),0),"")</x:f>
        <x:v/>
      </x:c>
      <x:c r="I469" s="60" t="str">
        <x:f>IF(A469&lt;=$E$40,I468+H468,"")</x:f>
        <x:v/>
      </x:c>
      <x:c r="J469" s="80" t="str">
        <x:f>IF(A469&lt;=$E$40,1+$E$39*A469,"")</x:f>
        <x:v/>
      </x:c>
      <x:c r="K469" s="60"/>
      <x:c r="L469" s="60"/>
      <x:c r="M469" s="60"/>
      <x:c r="N469" s="60"/>
      <x:c r="O469" s="60"/>
      <x:c r="P469" s="60"/>
    </x:row>
    <x:row r="470" ht="30" customHeight="1">
      <x:c r="A470" s="61" t="n">
        <x:v>289</x:v>
      </x:c>
      <x:c r="B470" s="61">
        <x:f>IF(A470&lt;$E$32,ROUNDUP(ROUND($E$29*$E$30^A470,6),0),"")</x:f>
        <x:v>15519644017</x:v>
      </x:c>
      <x:c r="C470" s="61">
        <x:f>IF(A470&lt;=$E$32,C469+B469,"")</x:f>
        <x:v>221709199661</x:v>
      </x:c>
      <x:c r="D470" s="79">
        <x:f>IF(A470&lt;=$E$32,$E$31^A470,"")</x:f>
        <x:v>1256.6001239617151</x:v>
      </x:c>
      <x:c r="E470" s="61" t="str">
        <x:f>IF(A470&lt;$E$36,ROUNDUP(ROUND($E$33*$E$34^A470,6),0),"")</x:f>
        <x:v/>
      </x:c>
      <x:c r="F470" s="61" t="str">
        <x:f>IF(A470&lt;=$E$36,F469+E469,"")</x:f>
        <x:v/>
      </x:c>
      <x:c r="G470" s="79" t="str">
        <x:f>IF(A470&lt;=$E$36,$E$35^A470,"")</x:f>
        <x:v/>
      </x:c>
      <x:c r="H470" s="61" t="str">
        <x:f>IF(A470&lt;$E$40,ROUNDUP(ROUND($E$37*$E$38^A470,6),0),"")</x:f>
        <x:v/>
      </x:c>
      <x:c r="I470" s="61" t="str">
        <x:f>IF(A470&lt;=$E$40,I469+H469,"")</x:f>
        <x:v/>
      </x:c>
      <x:c r="J470" s="81" t="str">
        <x:f>IF(A470&lt;=$E$40,1+$E$39*A470,"")</x:f>
        <x:v/>
      </x:c>
      <x:c r="K470" s="60"/>
      <x:c r="L470" s="60"/>
      <x:c r="M470" s="60"/>
      <x:c r="N470" s="60"/>
      <x:c r="O470" s="60"/>
      <x:c r="P470" s="60"/>
    </x:row>
    <x:row r="471" ht="30" customHeight="1">
      <x:c r="A471" s="60" t="n">
        <x:v>290</x:v>
      </x:c>
      <x:c r="B471" s="60">
        <x:f>IF(A471&lt;$E$32,ROUNDUP(ROUND($E$29*$E$30^A471,6),0),"")</x:f>
        <x:v>16606019098</x:v>
      </x:c>
      <x:c r="C471" s="60">
        <x:f>IF(A471&lt;=$E$32,C470+B470,"")</x:f>
        <x:v>237228843678</x:v>
      </x:c>
      <x:c r="D471" s="78">
        <x:f>IF(A471&lt;=$E$32,$E$31^A471,"")</x:f>
        <x:v>1288.0151270607578</x:v>
      </x:c>
      <x:c r="E471" s="60" t="str">
        <x:f>IF(A471&lt;$E$36,ROUNDUP(ROUND($E$33*$E$34^A471,6),0),"")</x:f>
        <x:v/>
      </x:c>
      <x:c r="F471" s="60" t="str">
        <x:f>IF(A471&lt;=$E$36,F470+E470,"")</x:f>
        <x:v/>
      </x:c>
      <x:c r="G471" s="78" t="str">
        <x:f>IF(A471&lt;=$E$36,$E$35^A471,"")</x:f>
        <x:v/>
      </x:c>
      <x:c r="H471" s="60" t="str">
        <x:f>IF(A471&lt;$E$40,ROUNDUP(ROUND($E$37*$E$38^A471,6),0),"")</x:f>
        <x:v/>
      </x:c>
      <x:c r="I471" s="60" t="str">
        <x:f>IF(A471&lt;=$E$40,I470+H470,"")</x:f>
        <x:v/>
      </x:c>
      <x:c r="J471" s="80" t="str">
        <x:f>IF(A471&lt;=$E$40,1+$E$39*A471,"")</x:f>
        <x:v/>
      </x:c>
      <x:c r="K471" s="60"/>
      <x:c r="L471" s="60"/>
      <x:c r="M471" s="60"/>
      <x:c r="N471" s="60"/>
      <x:c r="O471" s="60"/>
      <x:c r="P471" s="60"/>
    </x:row>
    <x:row r="472" ht="30" customHeight="1">
      <x:c r="A472" s="61" t="n">
        <x:v>291</x:v>
      </x:c>
      <x:c r="B472" s="61">
        <x:f>IF(A472&lt;$E$32,ROUNDUP(ROUND($E$29*$E$30^A472,6),0),"")</x:f>
        <x:v>17768440435</x:v>
      </x:c>
      <x:c r="C472" s="61">
        <x:f>IF(A472&lt;=$E$32,C471+B471,"")</x:f>
        <x:v>253834862776</x:v>
      </x:c>
      <x:c r="D472" s="79">
        <x:f>IF(A472&lt;=$E$32,$E$31^A472,"")</x:f>
        <x:v>1320.2155052372766</x:v>
      </x:c>
      <x:c r="E472" s="61" t="str">
        <x:f>IF(A472&lt;$E$36,ROUNDUP(ROUND($E$33*$E$34^A472,6),0),"")</x:f>
        <x:v/>
      </x:c>
      <x:c r="F472" s="61" t="str">
        <x:f>IF(A472&lt;=$E$36,F471+E471,"")</x:f>
        <x:v/>
      </x:c>
      <x:c r="G472" s="79" t="str">
        <x:f>IF(A472&lt;=$E$36,$E$35^A472,"")</x:f>
        <x:v/>
      </x:c>
      <x:c r="H472" s="61" t="str">
        <x:f>IF(A472&lt;$E$40,ROUNDUP(ROUND($E$37*$E$38^A472,6),0),"")</x:f>
        <x:v/>
      </x:c>
      <x:c r="I472" s="61" t="str">
        <x:f>IF(A472&lt;=$E$40,I471+H471,"")</x:f>
        <x:v/>
      </x:c>
      <x:c r="J472" s="81" t="str">
        <x:f>IF(A472&lt;=$E$40,1+$E$39*A472,"")</x:f>
        <x:v/>
      </x:c>
      <x:c r="K472" s="60"/>
      <x:c r="L472" s="60"/>
      <x:c r="M472" s="60"/>
      <x:c r="N472" s="60"/>
      <x:c r="O472" s="60"/>
      <x:c r="P472" s="60"/>
    </x:row>
    <x:row r="473" ht="30" customHeight="1">
      <x:c r="A473" s="60" t="n">
        <x:v>292</x:v>
      </x:c>
      <x:c r="B473" s="60">
        <x:f>IF(A473&lt;$E$32,ROUNDUP(ROUND($E$29*$E$30^A473,6),0),"")</x:f>
        <x:v>19012231265</x:v>
      </x:c>
      <x:c r="C473" s="60">
        <x:f>IF(A473&lt;=$E$32,C472+B472,"")</x:f>
        <x:v>271603303211</x:v>
      </x:c>
      <x:c r="D473" s="78">
        <x:f>IF(A473&lt;=$E$32,$E$31^A473,"")</x:f>
        <x:v>1353.2208928682087</x:v>
      </x:c>
      <x:c r="E473" s="60" t="str">
        <x:f>IF(A473&lt;$E$36,ROUNDUP(ROUND($E$33*$E$34^A473,6),0),"")</x:f>
        <x:v/>
      </x:c>
      <x:c r="F473" s="60" t="str">
        <x:f>IF(A473&lt;=$E$36,F472+E472,"")</x:f>
        <x:v/>
      </x:c>
      <x:c r="G473" s="78" t="str">
        <x:f>IF(A473&lt;=$E$36,$E$35^A473,"")</x:f>
        <x:v/>
      </x:c>
      <x:c r="H473" s="60" t="str">
        <x:f>IF(A473&lt;$E$40,ROUNDUP(ROUND($E$37*$E$38^A473,6),0),"")</x:f>
        <x:v/>
      </x:c>
      <x:c r="I473" s="60" t="str">
        <x:f>IF(A473&lt;=$E$40,I472+H472,"")</x:f>
        <x:v/>
      </x:c>
      <x:c r="J473" s="80" t="str">
        <x:f>IF(A473&lt;=$E$40,1+$E$39*A473,"")</x:f>
        <x:v/>
      </x:c>
      <x:c r="K473" s="60"/>
      <x:c r="L473" s="60"/>
      <x:c r="M473" s="60"/>
      <x:c r="N473" s="60"/>
      <x:c r="O473" s="60"/>
      <x:c r="P473" s="60"/>
    </x:row>
    <x:row r="474" ht="30" customHeight="1">
      <x:c r="A474" s="61" t="n">
        <x:v>293</x:v>
      </x:c>
      <x:c r="B474" s="61">
        <x:f>IF(A474&lt;$E$32,ROUNDUP(ROUND($E$29*$E$30^A474,6),0),"")</x:f>
        <x:v>20343087454</x:v>
      </x:c>
      <x:c r="C474" s="61">
        <x:f>IF(A474&lt;=$E$32,C473+B473,"")</x:f>
        <x:v>290615534476</x:v>
      </x:c>
      <x:c r="D474" s="79">
        <x:f>IF(A474&lt;=$E$32,$E$31^A474,"")</x:f>
        <x:v>1387.0514151899138</x:v>
      </x:c>
      <x:c r="E474" s="61" t="str">
        <x:f>IF(A474&lt;$E$36,ROUNDUP(ROUND($E$33*$E$34^A474,6),0),"")</x:f>
        <x:v/>
      </x:c>
      <x:c r="F474" s="61" t="str">
        <x:f>IF(A474&lt;=$E$36,F473+E473,"")</x:f>
        <x:v/>
      </x:c>
      <x:c r="G474" s="79" t="str">
        <x:f>IF(A474&lt;=$E$36,$E$35^A474,"")</x:f>
        <x:v/>
      </x:c>
      <x:c r="H474" s="61" t="str">
        <x:f>IF(A474&lt;$E$40,ROUNDUP(ROUND($E$37*$E$38^A474,6),0),"")</x:f>
        <x:v/>
      </x:c>
      <x:c r="I474" s="61" t="str">
        <x:f>IF(A474&lt;=$E$40,I473+H473,"")</x:f>
        <x:v/>
      </x:c>
      <x:c r="J474" s="81" t="str">
        <x:f>IF(A474&lt;=$E$40,1+$E$39*A474,"")</x:f>
        <x:v/>
      </x:c>
      <x:c r="K474" s="60"/>
      <x:c r="L474" s="60"/>
      <x:c r="M474" s="60"/>
      <x:c r="N474" s="60"/>
      <x:c r="O474" s="60"/>
      <x:c r="P474" s="60"/>
    </x:row>
    <x:row r="475" ht="30" customHeight="1">
      <x:c r="A475" s="60" t="n">
        <x:v>294</x:v>
      </x:c>
      <x:c r="B475" s="60">
        <x:f>IF(A475&lt;$E$32,ROUNDUP(ROUND($E$29*$E$30^A475,6),0),"")</x:f>
        <x:v>21767103576</x:v>
      </x:c>
      <x:c r="C475" s="60">
        <x:f>IF(A475&lt;=$E$32,C474+B474,"")</x:f>
        <x:v>310958621930</x:v>
      </x:c>
      <x:c r="D475" s="78">
        <x:f>IF(A475&lt;=$E$32,$E$31^A475,"")</x:f>
        <x:v>1421.7277005696612</x:v>
      </x:c>
      <x:c r="E475" s="60" t="str">
        <x:f>IF(A475&lt;$E$36,ROUNDUP(ROUND($E$33*$E$34^A475,6),0),"")</x:f>
        <x:v/>
      </x:c>
      <x:c r="F475" s="60" t="str">
        <x:f>IF(A475&lt;=$E$36,F474+E474,"")</x:f>
        <x:v/>
      </x:c>
      <x:c r="G475" s="78" t="str">
        <x:f>IF(A475&lt;=$E$36,$E$35^A475,"")</x:f>
        <x:v/>
      </x:c>
      <x:c r="H475" s="60" t="str">
        <x:f>IF(A475&lt;$E$40,ROUNDUP(ROUND($E$37*$E$38^A475,6),0),"")</x:f>
        <x:v/>
      </x:c>
      <x:c r="I475" s="60" t="str">
        <x:f>IF(A475&lt;=$E$40,I474+H474,"")</x:f>
        <x:v/>
      </x:c>
      <x:c r="J475" s="80" t="str">
        <x:f>IF(A475&lt;=$E$40,1+$E$39*A475,"")</x:f>
        <x:v/>
      </x:c>
      <x:c r="K475" s="60"/>
      <x:c r="L475" s="60"/>
      <x:c r="M475" s="60"/>
      <x:c r="N475" s="60"/>
      <x:c r="O475" s="60"/>
      <x:c r="P475" s="60"/>
    </x:row>
    <x:row r="476" ht="30" customHeight="1">
      <x:c r="A476" s="61" t="n">
        <x:v>295</x:v>
      </x:c>
      <x:c r="B476" s="61">
        <x:f>IF(A476&lt;$E$32,ROUNDUP(ROUND($E$29*$E$30^A476,6),0),"")</x:f>
        <x:v>23290800826</x:v>
      </x:c>
      <x:c r="C476" s="61">
        <x:f>IF(A476&lt;=$E$32,C475+B475,"")</x:f>
        <x:v>332725725506</x:v>
      </x:c>
      <x:c r="D476" s="79">
        <x:f>IF(A476&lt;=$E$32,$E$31^A476,"")</x:f>
        <x:v>1457.2708930839028</x:v>
      </x:c>
      <x:c r="E476" s="61" t="str">
        <x:f>IF(A476&lt;$E$36,ROUNDUP(ROUND($E$33*$E$34^A476,6),0),"")</x:f>
        <x:v/>
      </x:c>
      <x:c r="F476" s="61" t="str">
        <x:f>IF(A476&lt;=$E$36,F475+E475,"")</x:f>
        <x:v/>
      </x:c>
      <x:c r="G476" s="79" t="str">
        <x:f>IF(A476&lt;=$E$36,$E$35^A476,"")</x:f>
        <x:v/>
      </x:c>
      <x:c r="H476" s="61" t="str">
        <x:f>IF(A476&lt;$E$40,ROUNDUP(ROUND($E$37*$E$38^A476,6),0),"")</x:f>
        <x:v/>
      </x:c>
      <x:c r="I476" s="61" t="str">
        <x:f>IF(A476&lt;=$E$40,I475+H475,"")</x:f>
        <x:v/>
      </x:c>
      <x:c r="J476" s="81" t="str">
        <x:f>IF(A476&lt;=$E$40,1+$E$39*A476,"")</x:f>
        <x:v/>
      </x:c>
      <x:c r="K476" s="60"/>
      <x:c r="L476" s="60"/>
      <x:c r="M476" s="60"/>
      <x:c r="N476" s="60"/>
      <x:c r="O476" s="60"/>
      <x:c r="P476" s="60"/>
    </x:row>
    <x:row r="477" ht="30" customHeight="1">
      <x:c r="A477" s="60" t="n">
        <x:v>296</x:v>
      </x:c>
      <x:c r="B477" s="60">
        <x:f>IF(A477&lt;$E$32,ROUNDUP(ROUND($E$29*$E$30^A477,6),0),"")</x:f>
        <x:v>24921156884</x:v>
      </x:c>
      <x:c r="C477" s="60">
        <x:f>IF(A477&lt;=$E$32,C476+B476,"")</x:f>
        <x:v>356016526332</x:v>
      </x:c>
      <x:c r="D477" s="78">
        <x:f>IF(A477&lt;=$E$32,$E$31^A477,"")</x:f>
        <x:v>1493.7026654110002</x:v>
      </x:c>
      <x:c r="E477" s="60" t="str">
        <x:f>IF(A477&lt;$E$36,ROUNDUP(ROUND($E$33*$E$34^A477,6),0),"")</x:f>
        <x:v/>
      </x:c>
      <x:c r="F477" s="60" t="str">
        <x:f>IF(A477&lt;=$E$36,F476+E476,"")</x:f>
        <x:v/>
      </x:c>
      <x:c r="G477" s="78" t="str">
        <x:f>IF(A477&lt;=$E$36,$E$35^A477,"")</x:f>
        <x:v/>
      </x:c>
      <x:c r="H477" s="60" t="str">
        <x:f>IF(A477&lt;$E$40,ROUNDUP(ROUND($E$37*$E$38^A477,6),0),"")</x:f>
        <x:v/>
      </x:c>
      <x:c r="I477" s="60" t="str">
        <x:f>IF(A477&lt;=$E$40,I476+H476,"")</x:f>
        <x:v/>
      </x:c>
      <x:c r="J477" s="80" t="str">
        <x:f>IF(A477&lt;=$E$40,1+$E$39*A477,"")</x:f>
        <x:v/>
      </x:c>
      <x:c r="K477" s="60"/>
      <x:c r="L477" s="60"/>
      <x:c r="M477" s="60"/>
      <x:c r="N477" s="60"/>
      <x:c r="O477" s="60"/>
      <x:c r="P477" s="60"/>
    </x:row>
    <x:row r="478" ht="30" customHeight="1">
      <x:c r="A478" s="61" t="n">
        <x:v>297</x:v>
      </x:c>
      <x:c r="B478" s="61">
        <x:f>IF(A478&lt;$E$32,ROUNDUP(ROUND($E$29*$E$30^A478,6),0),"")</x:f>
        <x:v>26665637866</x:v>
      </x:c>
      <x:c r="C478" s="61">
        <x:f>IF(A478&lt;=$E$32,C477+B477,"")</x:f>
        <x:v>380937683216</x:v>
      </x:c>
      <x:c r="D478" s="79">
        <x:f>IF(A478&lt;=$E$32,$E$31^A478,"")</x:f>
        <x:v>1531.0452320462753</x:v>
      </x:c>
      <x:c r="E478" s="61" t="str">
        <x:f>IF(A478&lt;$E$36,ROUNDUP(ROUND($E$33*$E$34^A478,6),0),"")</x:f>
        <x:v/>
      </x:c>
      <x:c r="F478" s="61" t="str">
        <x:f>IF(A478&lt;=$E$36,F477+E477,"")</x:f>
        <x:v/>
      </x:c>
      <x:c r="G478" s="79" t="str">
        <x:f>IF(A478&lt;=$E$36,$E$35^A478,"")</x:f>
        <x:v/>
      </x:c>
      <x:c r="H478" s="61" t="str">
        <x:f>IF(A478&lt;$E$40,ROUNDUP(ROUND($E$37*$E$38^A478,6),0),"")</x:f>
        <x:v/>
      </x:c>
      <x:c r="I478" s="61" t="str">
        <x:f>IF(A478&lt;=$E$40,I477+H477,"")</x:f>
        <x:v/>
      </x:c>
      <x:c r="J478" s="81" t="str">
        <x:f>IF(A478&lt;=$E$40,1+$E$39*A478,"")</x:f>
        <x:v/>
      </x:c>
      <x:c r="K478" s="60"/>
      <x:c r="L478" s="60"/>
      <x:c r="M478" s="60"/>
      <x:c r="N478" s="60"/>
      <x:c r="O478" s="60"/>
      <x:c r="P478" s="60"/>
    </x:row>
    <x:row r="479" ht="30" customHeight="1">
      <x:c r="A479" s="60" t="n">
        <x:v>298</x:v>
      </x:c>
      <x:c r="B479" s="60">
        <x:f>IF(A479&lt;$E$32,ROUNDUP(ROUND($E$29*$E$30^A479,6),0),"")</x:f>
        <x:v>28532232516</x:v>
      </x:c>
      <x:c r="C479" s="60">
        <x:f>IF(A479&lt;=$E$32,C478+B478,"")</x:f>
        <x:v>407603321082</x:v>
      </x:c>
      <x:c r="D479" s="78">
        <x:f>IF(A479&lt;=$E$32,$E$31^A479,"")</x:f>
        <x:v>1569.3213628474321</x:v>
      </x:c>
      <x:c r="E479" s="60" t="str">
        <x:f>IF(A479&lt;$E$36,ROUNDUP(ROUND($E$33*$E$34^A479,6),0),"")</x:f>
        <x:v/>
      </x:c>
      <x:c r="F479" s="60" t="str">
        <x:f>IF(A479&lt;=$E$36,F478+E478,"")</x:f>
        <x:v/>
      </x:c>
      <x:c r="G479" s="78" t="str">
        <x:f>IF(A479&lt;=$E$36,$E$35^A479,"")</x:f>
        <x:v/>
      </x:c>
      <x:c r="H479" s="60" t="str">
        <x:f>IF(A479&lt;$E$40,ROUNDUP(ROUND($E$37*$E$38^A479,6),0),"")</x:f>
        <x:v/>
      </x:c>
      <x:c r="I479" s="60" t="str">
        <x:f>IF(A479&lt;=$E$40,I478+H478,"")</x:f>
        <x:v/>
      </x:c>
      <x:c r="J479" s="80" t="str">
        <x:f>IF(A479&lt;=$E$40,1+$E$39*A479,"")</x:f>
        <x:v/>
      </x:c>
      <x:c r="K479" s="60"/>
      <x:c r="L479" s="60"/>
      <x:c r="M479" s="60"/>
      <x:c r="N479" s="60"/>
      <x:c r="O479" s="60"/>
      <x:c r="P479" s="60"/>
    </x:row>
    <x:row r="480" ht="30" customHeight="1">
      <x:c r="A480" s="61" t="n">
        <x:v>299</x:v>
      </x:c>
      <x:c r="B480" s="61">
        <x:f>IF(A480&lt;$E$32,ROUNDUP(ROUND($E$29*$E$30^A480,6),0),"")</x:f>
        <x:v>30529488792</x:v>
      </x:c>
      <x:c r="C480" s="61">
        <x:f>IF(A480&lt;=$E$32,C479+B479,"")</x:f>
        <x:v>436135553598</x:v>
      </x:c>
      <x:c r="D480" s="79">
        <x:f>IF(A480&lt;=$E$32,$E$31^A480,"")</x:f>
        <x:v>1608.5543969186178</x:v>
      </x:c>
      <x:c r="E480" s="61" t="str">
        <x:f>IF(A480&lt;$E$36,ROUNDUP(ROUND($E$33*$E$34^A480,6),0),"")</x:f>
        <x:v/>
      </x:c>
      <x:c r="F480" s="61" t="str">
        <x:f>IF(A480&lt;=$E$36,F479+E479,"")</x:f>
        <x:v/>
      </x:c>
      <x:c r="G480" s="79" t="str">
        <x:f>IF(A480&lt;=$E$36,$E$35^A480,"")</x:f>
        <x:v/>
      </x:c>
      <x:c r="H480" s="61" t="str">
        <x:f>IF(A480&lt;$E$40,ROUNDUP(ROUND($E$37*$E$38^A480,6),0),"")</x:f>
        <x:v/>
      </x:c>
      <x:c r="I480" s="61" t="str">
        <x:f>IF(A480&lt;=$E$40,I479+H479,"")</x:f>
        <x:v/>
      </x:c>
      <x:c r="J480" s="81" t="str">
        <x:f>IF(A480&lt;=$E$40,1+$E$39*A480,"")</x:f>
        <x:v/>
      </x:c>
      <x:c r="K480" s="60"/>
      <x:c r="L480" s="60"/>
      <x:c r="M480" s="60"/>
      <x:c r="N480" s="60"/>
      <x:c r="O480" s="60"/>
      <x:c r="P480" s="60"/>
    </x:row>
    <x:row r="481" ht="30" customHeight="1">
      <x:c r="A481" s="60" t="n">
        <x:v>300</x:v>
      </x:c>
      <x:c r="B481" s="60" t="str">
        <x:f>IF(A481&lt;$E$32,ROUNDUP(ROUND($E$29*$E$30^A481,6),0),"")</x:f>
        <x:v/>
      </x:c>
      <x:c r="C481" s="60">
        <x:f>IF(A481&lt;=$E$32,C480+B480,"")</x:f>
        <x:v>466665042390</x:v>
      </x:c>
      <x:c r="D481" s="78">
        <x:f>IF(A481&lt;=$E$32,$E$31^A481,"")</x:f>
        <x:v>1648.768256841583</x:v>
      </x:c>
      <x:c r="E481" s="60" t="str">
        <x:f>IF(A481&lt;$E$36,ROUNDUP(ROUND($E$33*$E$34^A481,6),0),"")</x:f>
        <x:v/>
      </x:c>
      <x:c r="F481" s="60" t="str">
        <x:f>IF(A481&lt;=$E$36,F480+E480,"")</x:f>
        <x:v/>
      </x:c>
      <x:c r="G481" s="78" t="str">
        <x:f>IF(A481&lt;=$E$36,$E$35^A481,"")</x:f>
        <x:v/>
      </x:c>
      <x:c r="H481" s="60" t="str">
        <x:f>IF(A481&lt;$E$40,ROUNDUP(ROUND($E$37*$E$38^A481,6),0),"")</x:f>
        <x:v/>
      </x:c>
      <x:c r="I481" s="60" t="str">
        <x:f>IF(A481&lt;=$E$40,I480+H480,"")</x:f>
        <x:v/>
      </x:c>
      <x:c r="J481" s="80" t="str">
        <x:f>IF(A481&lt;=$E$40,1+$E$39*A481,"")</x:f>
        <x:v/>
      </x:c>
      <x:c r="K481" s="60"/>
      <x:c r="L481" s="60"/>
      <x:c r="M481" s="60"/>
      <x:c r="N481" s="60"/>
      <x:c r="O481" s="60"/>
      <x:c r="P481" s="60"/>
    </x:row>
    <x:row r="482">
      <x:c r="A482" s="60"/>
      <x:c r="B482" s="60"/>
      <x:c r="C482" s="60"/>
      <x:c r="D482" s="60"/>
      <x:c r="E482" s="60"/>
      <x:c r="F482" s="60"/>
      <x:c r="G482" s="60"/>
      <x:c r="H482" s="60"/>
      <x:c r="I482" s="60"/>
      <x:c r="J482" s="60"/>
      <x:c r="K482" s="60"/>
      <x:c r="L482" s="60"/>
      <x:c r="M482" s="60"/>
      <x:c r="N482" s="60"/>
      <x:c r="O482" s="60"/>
      <x:c r="P482" s="60"/>
    </x:row>
    <x:row r="483">
      <x:c r="A483" s="60"/>
      <x:c r="B483" s="60"/>
      <x:c r="C483" s="60"/>
      <x:c r="D483" s="60"/>
      <x:c r="E483" s="60"/>
      <x:c r="F483" s="60"/>
      <x:c r="G483" s="60"/>
      <x:c r="H483" s="60"/>
      <x:c r="I483" s="60"/>
      <x:c r="J483" s="60"/>
      <x:c r="K483" s="60"/>
      <x:c r="L483" s="60"/>
      <x:c r="M483" s="60"/>
      <x:c r="N483" s="60"/>
      <x:c r="O483" s="60"/>
      <x:c r="P483" s="60"/>
    </x:row>
    <x:row r="484" ht="34" customHeight="1">
      <x:c r="A484" s="53" t="str">
        <x:v>원본에 없는 미믹·신규 보스·계정 보상과 신규 타이머를 기존6개 시트로 억지 변환하지 않습니다. 폐기/보류·서버 인수 기준의 전체 설명은 동봉 기획서에 있습니다.</x:v>
      </x:c>
      <x:c r="B484" s="53"/>
      <x:c r="C484" s="53"/>
      <x:c r="D484" s="53"/>
      <x:c r="E484" s="53"/>
      <x:c r="F484" s="53"/>
      <x:c r="G484" s="53"/>
      <x:c r="H484" s="53"/>
      <x:c r="I484" s="53"/>
      <x:c r="J484" s="53"/>
      <x:c r="K484" s="53"/>
      <x:c r="L484" s="53"/>
      <x:c r="M484" s="53"/>
      <x:c r="N484" s="53"/>
      <x:c r="O484" s="53"/>
      <x:c r="P484" s="53"/>
    </x:row>
    <x:row r="485">
      <x:c r="A485" s="60"/>
      <x:c r="B485" s="60"/>
      <x:c r="C485" s="60"/>
      <x:c r="D485" s="60"/>
      <x:c r="E485" s="60"/>
      <x:c r="F485" s="60"/>
      <x:c r="G485" s="60"/>
      <x:c r="H485" s="60"/>
      <x:c r="I485" s="60"/>
      <x:c r="J485" s="60"/>
      <x:c r="K485" s="60"/>
      <x:c r="L485" s="60"/>
      <x:c r="M485" s="60"/>
      <x:c r="N485" s="60"/>
      <x:c r="O485" s="60"/>
      <x:c r="P485" s="60"/>
    </x:row>
    <x:row r="486">
      <x:c r="A486" s="49"/>
      <x:c r="B486" s="49"/>
      <x:c r="C486" s="49"/>
      <x:c r="D486" s="49"/>
      <x:c r="E486" s="49"/>
      <x:c r="F486" s="49"/>
      <x:c r="G486" s="49"/>
      <x:c r="H486" s="49"/>
      <x:c r="I486" s="49"/>
      <x:c r="J486" s="49"/>
      <x:c r="K486" s="49"/>
      <x:c r="L486" s="49"/>
      <x:c r="M486" s="49"/>
      <x:c r="N486" s="49"/>
      <x:c r="O486" s="49"/>
      <x:c r="P486" s="49"/>
    </x:row>
    <x:row r="487">
      <x:c r="A487" s="49"/>
      <x:c r="B487" s="49"/>
      <x:c r="C487" s="49"/>
      <x:c r="D487" s="49"/>
      <x:c r="E487" s="49"/>
      <x:c r="F487" s="49"/>
      <x:c r="G487" s="49"/>
      <x:c r="H487" s="49"/>
      <x:c r="I487" s="49"/>
      <x:c r="J487" s="49"/>
      <x:c r="K487" s="49"/>
      <x:c r="L487" s="49"/>
      <x:c r="M487" s="49"/>
      <x:c r="N487" s="49"/>
      <x:c r="O487" s="49"/>
      <x:c r="P487" s="49"/>
    </x:row>
    <x:row r="488">
      <x:c r="A488" s="49"/>
      <x:c r="B488" s="49"/>
      <x:c r="C488" s="49"/>
      <x:c r="D488" s="49"/>
      <x:c r="E488" s="49"/>
      <x:c r="F488" s="49"/>
      <x:c r="G488" s="49"/>
      <x:c r="H488" s="49"/>
      <x:c r="I488" s="49"/>
      <x:c r="J488" s="49"/>
      <x:c r="K488" s="49"/>
      <x:c r="L488" s="49"/>
      <x:c r="M488" s="49"/>
      <x:c r="N488" s="49"/>
      <x:c r="O488" s="49"/>
      <x:c r="P488" s="49"/>
    </x:row>
    <x:row r="489">
      <x:c r="A489" s="49"/>
      <x:c r="B489" s="49"/>
      <x:c r="C489" s="49"/>
      <x:c r="D489" s="49"/>
      <x:c r="E489" s="49"/>
      <x:c r="F489" s="49"/>
      <x:c r="G489" s="49"/>
      <x:c r="H489" s="49"/>
      <x:c r="I489" s="49"/>
      <x:c r="J489" s="49"/>
      <x:c r="K489" s="49"/>
      <x:c r="L489" s="49"/>
      <x:c r="M489" s="49"/>
      <x:c r="N489" s="49"/>
      <x:c r="O489" s="49"/>
      <x:c r="P489" s="49"/>
    </x:row>
    <x:row r="490">
      <x:c r="A490" s="49"/>
      <x:c r="B490" s="49"/>
      <x:c r="C490" s="49"/>
      <x:c r="D490" s="49"/>
      <x:c r="E490" s="49"/>
      <x:c r="F490" s="49"/>
      <x:c r="G490" s="49"/>
      <x:c r="H490" s="49"/>
      <x:c r="I490" s="49"/>
      <x:c r="J490" s="49"/>
      <x:c r="K490" s="49"/>
      <x:c r="L490" s="49"/>
      <x:c r="M490" s="49"/>
      <x:c r="N490" s="49"/>
      <x:c r="O490" s="49"/>
      <x:c r="P490" s="49"/>
    </x:row>
    <x:row r="491">
      <x:c r="A491" s="49"/>
      <x:c r="B491" s="49"/>
      <x:c r="C491" s="49"/>
      <x:c r="D491" s="49"/>
      <x:c r="E491" s="49"/>
      <x:c r="F491" s="49"/>
      <x:c r="G491" s="49"/>
      <x:c r="H491" s="49"/>
      <x:c r="I491" s="49"/>
      <x:c r="J491" s="49"/>
      <x:c r="K491" s="49"/>
      <x:c r="L491" s="49"/>
      <x:c r="M491" s="49"/>
      <x:c r="N491" s="49"/>
      <x:c r="O491" s="49"/>
      <x:c r="P491" s="49"/>
    </x:row>
    <x:row r="492">
      <x:c r="A492" s="49"/>
      <x:c r="B492" s="49"/>
      <x:c r="C492" s="49"/>
      <x:c r="D492" s="49"/>
      <x:c r="E492" s="49"/>
      <x:c r="F492" s="49"/>
      <x:c r="G492" s="49"/>
      <x:c r="H492" s="49"/>
      <x:c r="I492" s="49"/>
      <x:c r="J492" s="49"/>
      <x:c r="K492" s="49"/>
      <x:c r="L492" s="49"/>
      <x:c r="M492" s="49"/>
      <x:c r="N492" s="49"/>
      <x:c r="O492" s="49"/>
      <x:c r="P492" s="49"/>
    </x:row>
    <x:row r="493">
      <x:c r="A493" s="49"/>
      <x:c r="B493" s="49"/>
      <x:c r="C493" s="49"/>
      <x:c r="D493" s="49"/>
      <x:c r="E493" s="49"/>
      <x:c r="F493" s="49"/>
      <x:c r="G493" s="49"/>
      <x:c r="H493" s="49"/>
      <x:c r="I493" s="49"/>
      <x:c r="J493" s="49"/>
      <x:c r="K493" s="49"/>
      <x:c r="L493" s="49"/>
      <x:c r="M493" s="49"/>
      <x:c r="N493" s="49"/>
      <x:c r="O493" s="49"/>
      <x:c r="P493" s="49"/>
    </x:row>
    <x:row r="494">
      <x:c r="A494" s="49"/>
      <x:c r="B494" s="49"/>
      <x:c r="C494" s="49"/>
      <x:c r="D494" s="49"/>
      <x:c r="E494" s="49"/>
      <x:c r="F494" s="49"/>
      <x:c r="G494" s="49"/>
      <x:c r="H494" s="49"/>
      <x:c r="I494" s="49"/>
      <x:c r="J494" s="49"/>
      <x:c r="K494" s="49"/>
      <x:c r="L494" s="49"/>
      <x:c r="M494" s="49"/>
      <x:c r="N494" s="49"/>
      <x:c r="O494" s="49"/>
      <x:c r="P494" s="49"/>
    </x:row>
    <x:row r="495">
      <x:c r="A495" s="49"/>
      <x:c r="B495" s="49"/>
      <x:c r="C495" s="49"/>
      <x:c r="D495" s="49"/>
      <x:c r="E495" s="49"/>
      <x:c r="F495" s="49"/>
      <x:c r="G495" s="49"/>
      <x:c r="H495" s="49"/>
      <x:c r="I495" s="49"/>
      <x:c r="J495" s="49"/>
      <x:c r="K495" s="49"/>
      <x:c r="L495" s="49"/>
      <x:c r="M495" s="49"/>
      <x:c r="N495" s="49"/>
      <x:c r="O495" s="49"/>
      <x:c r="P495" s="49"/>
    </x:row>
    <x:row r="496">
      <x:c r="A496" s="49"/>
      <x:c r="B496" s="49"/>
      <x:c r="C496" s="49"/>
      <x:c r="D496" s="49"/>
      <x:c r="E496" s="49"/>
      <x:c r="F496" s="49"/>
      <x:c r="G496" s="49"/>
      <x:c r="H496" s="49"/>
      <x:c r="I496" s="49"/>
      <x:c r="J496" s="49"/>
      <x:c r="K496" s="49"/>
      <x:c r="L496" s="49"/>
      <x:c r="M496" s="49"/>
      <x:c r="N496" s="49"/>
      <x:c r="O496" s="49"/>
      <x:c r="P496" s="49"/>
    </x:row>
    <x:row r="497">
      <x:c r="A497" s="49"/>
      <x:c r="B497" s="49"/>
      <x:c r="C497" s="49"/>
      <x:c r="D497" s="49"/>
      <x:c r="E497" s="49"/>
      <x:c r="F497" s="49"/>
      <x:c r="G497" s="49"/>
      <x:c r="H497" s="49"/>
      <x:c r="I497" s="49"/>
      <x:c r="J497" s="49"/>
      <x:c r="K497" s="49"/>
      <x:c r="L497" s="49"/>
      <x:c r="M497" s="49"/>
      <x:c r="N497" s="49"/>
      <x:c r="O497" s="49"/>
      <x:c r="P497" s="49"/>
    </x:row>
    <x:row r="498">
      <x:c r="A498" s="49"/>
      <x:c r="B498" s="49"/>
      <x:c r="C498" s="49"/>
      <x:c r="D498" s="49"/>
      <x:c r="E498" s="49"/>
      <x:c r="F498" s="49"/>
      <x:c r="G498" s="49"/>
      <x:c r="H498" s="49"/>
      <x:c r="I498" s="49"/>
      <x:c r="J498" s="49"/>
      <x:c r="K498" s="49"/>
      <x:c r="L498" s="49"/>
      <x:c r="M498" s="49"/>
      <x:c r="N498" s="49"/>
      <x:c r="O498" s="49"/>
      <x:c r="P498" s="49"/>
    </x:row>
    <x:row r="499">
      <x:c r="A499" s="49"/>
      <x:c r="B499" s="49"/>
      <x:c r="C499" s="49"/>
      <x:c r="D499" s="49"/>
      <x:c r="E499" s="49"/>
      <x:c r="F499" s="49"/>
      <x:c r="G499" s="49"/>
      <x:c r="H499" s="49"/>
      <x:c r="I499" s="49"/>
      <x:c r="J499" s="49"/>
      <x:c r="K499" s="49"/>
      <x:c r="L499" s="49"/>
      <x:c r="M499" s="49"/>
      <x:c r="N499" s="49"/>
      <x:c r="O499" s="49"/>
      <x:c r="P499" s="49"/>
    </x:row>
    <x:row r="500">
      <x:c r="A500" s="49"/>
      <x:c r="B500" s="49"/>
      <x:c r="C500" s="49"/>
      <x:c r="D500" s="49"/>
      <x:c r="E500" s="49"/>
      <x:c r="F500" s="49"/>
      <x:c r="G500" s="49"/>
      <x:c r="H500" s="49"/>
      <x:c r="I500" s="49"/>
      <x:c r="J500" s="49"/>
      <x:c r="K500" s="49"/>
      <x:c r="L500" s="49"/>
      <x:c r="M500" s="49"/>
      <x:c r="N500" s="49"/>
      <x:c r="O500" s="49"/>
      <x:c r="P500" s="49"/>
    </x:row>
    <x:row r="501">
      <x:c r="A501" s="49"/>
      <x:c r="B501" s="49"/>
      <x:c r="C501" s="49"/>
      <x:c r="D501" s="49"/>
      <x:c r="E501" s="49"/>
      <x:c r="F501" s="49"/>
      <x:c r="G501" s="49"/>
      <x:c r="H501" s="49"/>
      <x:c r="I501" s="49"/>
      <x:c r="J501" s="49"/>
      <x:c r="K501" s="49"/>
      <x:c r="L501" s="49"/>
      <x:c r="M501" s="49"/>
      <x:c r="N501" s="49"/>
      <x:c r="O501" s="49"/>
      <x:c r="P501" s="49"/>
    </x:row>
    <x:row r="502">
      <x:c r="A502" s="49"/>
      <x:c r="B502" s="49"/>
      <x:c r="C502" s="49"/>
      <x:c r="D502" s="49"/>
      <x:c r="E502" s="49"/>
      <x:c r="F502" s="49"/>
      <x:c r="G502" s="49"/>
      <x:c r="H502" s="49"/>
      <x:c r="I502" s="49"/>
      <x:c r="J502" s="49"/>
      <x:c r="K502" s="49"/>
      <x:c r="L502" s="49"/>
      <x:c r="M502" s="49"/>
      <x:c r="N502" s="49"/>
      <x:c r="O502" s="49"/>
      <x:c r="P502" s="49"/>
    </x:row>
    <x:row r="503">
      <x:c r="A503" s="49"/>
      <x:c r="B503" s="49"/>
      <x:c r="C503" s="49"/>
      <x:c r="D503" s="49"/>
      <x:c r="E503" s="49"/>
      <x:c r="F503" s="49"/>
      <x:c r="G503" s="49"/>
      <x:c r="H503" s="49"/>
      <x:c r="I503" s="49"/>
      <x:c r="J503" s="49"/>
      <x:c r="K503" s="49"/>
      <x:c r="L503" s="49"/>
      <x:c r="M503" s="49"/>
      <x:c r="N503" s="49"/>
      <x:c r="O503" s="49"/>
      <x:c r="P503" s="49"/>
    </x:row>
    <x:row r="504">
      <x:c r="A504" s="49"/>
      <x:c r="B504" s="49"/>
      <x:c r="C504" s="49"/>
      <x:c r="D504" s="49"/>
      <x:c r="E504" s="49"/>
      <x:c r="F504" s="49"/>
      <x:c r="G504" s="49"/>
      <x:c r="H504" s="49"/>
      <x:c r="I504" s="49"/>
      <x:c r="J504" s="49"/>
      <x:c r="K504" s="49"/>
      <x:c r="L504" s="49"/>
      <x:c r="M504" s="49"/>
      <x:c r="N504" s="49"/>
      <x:c r="O504" s="49"/>
      <x:c r="P504" s="49"/>
    </x:row>
    <x:row r="505">
      <x:c r="A505" s="49"/>
      <x:c r="B505" s="49"/>
      <x:c r="C505" s="49"/>
      <x:c r="D505" s="49"/>
      <x:c r="E505" s="49"/>
      <x:c r="F505" s="49"/>
      <x:c r="G505" s="49"/>
      <x:c r="H505" s="49"/>
      <x:c r="I505" s="49"/>
      <x:c r="J505" s="49"/>
      <x:c r="K505" s="49"/>
      <x:c r="L505" s="49"/>
      <x:c r="M505" s="49"/>
      <x:c r="N505" s="49"/>
      <x:c r="O505" s="49"/>
      <x:c r="P505" s="49"/>
    </x:row>
    <x:row r="506">
      <x:c r="A506" s="49"/>
      <x:c r="B506" s="49"/>
      <x:c r="C506" s="49"/>
      <x:c r="D506" s="49"/>
      <x:c r="E506" s="49"/>
      <x:c r="F506" s="49"/>
      <x:c r="G506" s="49"/>
      <x:c r="H506" s="49"/>
      <x:c r="I506" s="49"/>
      <x:c r="J506" s="49"/>
      <x:c r="K506" s="49"/>
      <x:c r="L506" s="49"/>
      <x:c r="M506" s="49"/>
      <x:c r="N506" s="49"/>
      <x:c r="O506" s="49"/>
      <x:c r="P506" s="49"/>
    </x:row>
    <x:row r="507">
      <x:c r="A507" s="49"/>
      <x:c r="B507" s="49"/>
      <x:c r="C507" s="49"/>
      <x:c r="D507" s="49"/>
      <x:c r="E507" s="49"/>
      <x:c r="F507" s="49"/>
      <x:c r="G507" s="49"/>
      <x:c r="H507" s="49"/>
      <x:c r="I507" s="49"/>
      <x:c r="J507" s="49"/>
      <x:c r="K507" s="49"/>
      <x:c r="L507" s="49"/>
      <x:c r="M507" s="49"/>
      <x:c r="N507" s="49"/>
      <x:c r="O507" s="49"/>
      <x:c r="P507" s="49"/>
    </x:row>
    <x:row r="508">
      <x:c r="A508" s="49"/>
      <x:c r="B508" s="49"/>
      <x:c r="C508" s="49"/>
      <x:c r="D508" s="49"/>
      <x:c r="E508" s="49"/>
      <x:c r="F508" s="49"/>
      <x:c r="G508" s="49"/>
      <x:c r="H508" s="49"/>
      <x:c r="I508" s="49"/>
      <x:c r="J508" s="49"/>
      <x:c r="K508" s="49"/>
      <x:c r="L508" s="49"/>
      <x:c r="M508" s="49"/>
      <x:c r="N508" s="49"/>
      <x:c r="O508" s="49"/>
      <x:c r="P508" s="49"/>
    </x:row>
    <x:row r="509">
      <x:c r="A509" s="49"/>
      <x:c r="B509" s="49"/>
      <x:c r="C509" s="49"/>
      <x:c r="D509" s="49"/>
      <x:c r="E509" s="49"/>
      <x:c r="F509" s="49"/>
      <x:c r="G509" s="49"/>
      <x:c r="H509" s="49"/>
      <x:c r="I509" s="49"/>
      <x:c r="J509" s="49"/>
      <x:c r="K509" s="49"/>
      <x:c r="L509" s="49"/>
      <x:c r="M509" s="49"/>
      <x:c r="N509" s="49"/>
      <x:c r="O509" s="49"/>
      <x:c r="P509" s="49"/>
    </x:row>
    <x:row r="510">
      <x:c r="A510" s="49"/>
      <x:c r="B510" s="49"/>
      <x:c r="C510" s="49"/>
      <x:c r="D510" s="49"/>
      <x:c r="E510" s="49"/>
      <x:c r="F510" s="49"/>
      <x:c r="G510" s="49"/>
      <x:c r="H510" s="49"/>
      <x:c r="I510" s="49"/>
      <x:c r="J510" s="49"/>
      <x:c r="K510" s="49"/>
      <x:c r="L510" s="49"/>
      <x:c r="M510" s="49"/>
      <x:c r="N510" s="49"/>
      <x:c r="O510" s="49"/>
      <x:c r="P510" s="49"/>
    </x:row>
    <x:row r="511">
      <x:c r="A511" s="49"/>
      <x:c r="B511" s="49"/>
      <x:c r="C511" s="49"/>
      <x:c r="D511" s="49"/>
      <x:c r="E511" s="49"/>
      <x:c r="F511" s="49"/>
      <x:c r="G511" s="49"/>
      <x:c r="H511" s="49"/>
      <x:c r="I511" s="49"/>
      <x:c r="J511" s="49"/>
      <x:c r="K511" s="49"/>
      <x:c r="L511" s="49"/>
      <x:c r="M511" s="49"/>
      <x:c r="N511" s="49"/>
      <x:c r="O511" s="49"/>
      <x:c r="P511" s="49"/>
    </x:row>
    <x:row r="512">
      <x:c r="A512" s="49"/>
      <x:c r="B512" s="49"/>
      <x:c r="C512" s="49"/>
      <x:c r="D512" s="49"/>
      <x:c r="E512" s="49"/>
      <x:c r="F512" s="49"/>
      <x:c r="G512" s="49"/>
      <x:c r="H512" s="49"/>
      <x:c r="I512" s="49"/>
      <x:c r="J512" s="49"/>
      <x:c r="K512" s="49"/>
      <x:c r="L512" s="49"/>
      <x:c r="M512" s="49"/>
      <x:c r="N512" s="49"/>
      <x:c r="O512" s="49"/>
      <x:c r="P512" s="49"/>
    </x:row>
    <x:row r="513">
      <x:c r="A513" s="49"/>
      <x:c r="B513" s="49"/>
      <x:c r="C513" s="49"/>
      <x:c r="D513" s="49"/>
      <x:c r="E513" s="49"/>
      <x:c r="F513" s="49"/>
      <x:c r="G513" s="49"/>
      <x:c r="H513" s="49"/>
      <x:c r="I513" s="49"/>
      <x:c r="J513" s="49"/>
      <x:c r="K513" s="49"/>
      <x:c r="L513" s="49"/>
      <x:c r="M513" s="49"/>
      <x:c r="N513" s="49"/>
      <x:c r="O513" s="49"/>
      <x:c r="P513" s="49"/>
    </x:row>
    <x:row r="514">
      <x:c r="A514" s="49"/>
      <x:c r="B514" s="49"/>
      <x:c r="C514" s="49"/>
      <x:c r="D514" s="49"/>
      <x:c r="E514" s="49"/>
      <x:c r="F514" s="49"/>
      <x:c r="G514" s="49"/>
      <x:c r="H514" s="49"/>
      <x:c r="I514" s="49"/>
      <x:c r="J514" s="49"/>
      <x:c r="K514" s="49"/>
      <x:c r="L514" s="49"/>
      <x:c r="M514" s="49"/>
      <x:c r="N514" s="49"/>
      <x:c r="O514" s="49"/>
      <x:c r="P514" s="49"/>
    </x:row>
    <x:row r="515">
      <x:c r="A515" s="49"/>
      <x:c r="B515" s="49"/>
      <x:c r="C515" s="49"/>
      <x:c r="D515" s="49"/>
      <x:c r="E515" s="49"/>
      <x:c r="F515" s="49"/>
      <x:c r="G515" s="49"/>
      <x:c r="H515" s="49"/>
      <x:c r="I515" s="49"/>
      <x:c r="J515" s="49"/>
      <x:c r="K515" s="49"/>
      <x:c r="L515" s="49"/>
      <x:c r="M515" s="49"/>
      <x:c r="N515" s="49"/>
      <x:c r="O515" s="49"/>
      <x:c r="P515" s="49"/>
    </x:row>
    <x:row r="516">
      <x:c r="A516" s="49"/>
      <x:c r="B516" s="49"/>
      <x:c r="C516" s="49"/>
      <x:c r="D516" s="49"/>
      <x:c r="E516" s="49"/>
      <x:c r="F516" s="49"/>
      <x:c r="G516" s="49"/>
      <x:c r="H516" s="49"/>
      <x:c r="I516" s="49"/>
      <x:c r="J516" s="49"/>
      <x:c r="K516" s="49"/>
      <x:c r="L516" s="49"/>
      <x:c r="M516" s="49"/>
      <x:c r="N516" s="49"/>
      <x:c r="O516" s="49"/>
      <x:c r="P516" s="49"/>
    </x:row>
    <x:row r="517">
      <x:c r="A517" s="49"/>
      <x:c r="B517" s="49"/>
      <x:c r="C517" s="49"/>
      <x:c r="D517" s="49"/>
      <x:c r="E517" s="49"/>
      <x:c r="F517" s="49"/>
      <x:c r="G517" s="49"/>
      <x:c r="H517" s="49"/>
      <x:c r="I517" s="49"/>
      <x:c r="J517" s="49"/>
      <x:c r="K517" s="49"/>
      <x:c r="L517" s="49"/>
      <x:c r="M517" s="49"/>
      <x:c r="N517" s="49"/>
      <x:c r="O517" s="49"/>
      <x:c r="P517" s="49"/>
    </x:row>
    <x:row r="518">
      <x:c r="A518" s="49"/>
      <x:c r="B518" s="49"/>
      <x:c r="C518" s="49"/>
      <x:c r="D518" s="49"/>
      <x:c r="E518" s="49"/>
      <x:c r="F518" s="49"/>
      <x:c r="G518" s="49"/>
      <x:c r="H518" s="49"/>
      <x:c r="I518" s="49"/>
      <x:c r="J518" s="49"/>
      <x:c r="K518" s="49"/>
      <x:c r="L518" s="49"/>
      <x:c r="M518" s="49"/>
      <x:c r="N518" s="49"/>
      <x:c r="O518" s="49"/>
      <x:c r="P518" s="49"/>
    </x:row>
    <x:row r="519">
      <x:c r="A519" s="49"/>
      <x:c r="B519" s="49"/>
      <x:c r="C519" s="49"/>
      <x:c r="D519" s="49"/>
      <x:c r="E519" s="49"/>
      <x:c r="F519" s="49"/>
      <x:c r="G519" s="49"/>
      <x:c r="H519" s="49"/>
      <x:c r="I519" s="49"/>
      <x:c r="J519" s="49"/>
      <x:c r="K519" s="49"/>
      <x:c r="L519" s="49"/>
      <x:c r="M519" s="49"/>
      <x:c r="N519" s="49"/>
      <x:c r="O519" s="49"/>
      <x:c r="P519" s="49"/>
    </x:row>
    <x:row r="520">
      <x:c r="A520" s="49"/>
      <x:c r="B520" s="49"/>
      <x:c r="C520" s="49"/>
      <x:c r="D520" s="49"/>
      <x:c r="E520" s="49"/>
      <x:c r="F520" s="49"/>
      <x:c r="G520" s="49"/>
      <x:c r="H520" s="49"/>
      <x:c r="I520" s="49"/>
      <x:c r="J520" s="49"/>
      <x:c r="K520" s="49"/>
      <x:c r="L520" s="49"/>
      <x:c r="M520" s="49"/>
      <x:c r="N520" s="49"/>
      <x:c r="O520" s="49"/>
      <x:c r="P520" s="49"/>
    </x:row>
    <x:row r="521">
      <x:c r="A521" s="49"/>
      <x:c r="B521" s="49"/>
      <x:c r="C521" s="49"/>
      <x:c r="D521" s="49"/>
      <x:c r="E521" s="49"/>
      <x:c r="F521" s="49"/>
      <x:c r="G521" s="49"/>
      <x:c r="H521" s="49"/>
      <x:c r="I521" s="49"/>
      <x:c r="J521" s="49"/>
      <x:c r="K521" s="49"/>
      <x:c r="L521" s="49"/>
      <x:c r="M521" s="49"/>
      <x:c r="N521" s="49"/>
      <x:c r="O521" s="49"/>
      <x:c r="P521" s="49"/>
    </x:row>
    <x:row r="522">
      <x:c r="A522" s="49"/>
      <x:c r="B522" s="49"/>
      <x:c r="C522" s="49"/>
      <x:c r="D522" s="49"/>
      <x:c r="E522" s="49"/>
      <x:c r="F522" s="49"/>
      <x:c r="G522" s="49"/>
      <x:c r="H522" s="49"/>
      <x:c r="I522" s="49"/>
      <x:c r="J522" s="49"/>
      <x:c r="K522" s="49"/>
      <x:c r="L522" s="49"/>
      <x:c r="M522" s="49"/>
      <x:c r="N522" s="49"/>
      <x:c r="O522" s="49"/>
      <x:c r="P522" s="49"/>
    </x:row>
    <x:row r="523">
      <x:c r="A523" s="49"/>
      <x:c r="B523" s="49"/>
      <x:c r="C523" s="49"/>
      <x:c r="D523" s="49"/>
      <x:c r="E523" s="49"/>
      <x:c r="F523" s="49"/>
      <x:c r="G523" s="49"/>
      <x:c r="H523" s="49"/>
      <x:c r="I523" s="49"/>
      <x:c r="J523" s="49"/>
      <x:c r="K523" s="49"/>
      <x:c r="L523" s="49"/>
      <x:c r="M523" s="49"/>
      <x:c r="N523" s="49"/>
      <x:c r="O523" s="49"/>
      <x:c r="P523" s="49"/>
    </x:row>
    <x:row r="524">
      <x:c r="A524" s="49"/>
      <x:c r="B524" s="49"/>
      <x:c r="C524" s="49"/>
      <x:c r="D524" s="49"/>
      <x:c r="E524" s="49"/>
      <x:c r="F524" s="49"/>
      <x:c r="G524" s="49"/>
      <x:c r="H524" s="49"/>
      <x:c r="I524" s="49"/>
      <x:c r="J524" s="49"/>
      <x:c r="K524" s="49"/>
      <x:c r="L524" s="49"/>
      <x:c r="M524" s="49"/>
      <x:c r="N524" s="49"/>
      <x:c r="O524" s="49"/>
      <x:c r="P524" s="49"/>
    </x:row>
    <x:row r="525">
      <x:c r="A525" s="49"/>
      <x:c r="B525" s="49"/>
      <x:c r="C525" s="49"/>
      <x:c r="D525" s="49"/>
      <x:c r="E525" s="49"/>
      <x:c r="F525" s="49"/>
      <x:c r="G525" s="49"/>
      <x:c r="H525" s="49"/>
      <x:c r="I525" s="49"/>
      <x:c r="J525" s="49"/>
      <x:c r="K525" s="49"/>
      <x:c r="L525" s="49"/>
      <x:c r="M525" s="49"/>
      <x:c r="N525" s="49"/>
      <x:c r="O525" s="49"/>
      <x:c r="P525" s="49"/>
    </x:row>
    <x:row r="526">
      <x:c r="A526" s="49"/>
      <x:c r="B526" s="49"/>
      <x:c r="C526" s="49"/>
      <x:c r="D526" s="49"/>
      <x:c r="E526" s="49"/>
      <x:c r="F526" s="49"/>
      <x:c r="G526" s="49"/>
      <x:c r="H526" s="49"/>
      <x:c r="I526" s="49"/>
      <x:c r="J526" s="49"/>
      <x:c r="K526" s="49"/>
      <x:c r="L526" s="49"/>
      <x:c r="M526" s="49"/>
      <x:c r="N526" s="49"/>
      <x:c r="O526" s="49"/>
      <x:c r="P526" s="49"/>
    </x:row>
    <x:row r="527">
      <x:c r="A527" s="49"/>
      <x:c r="B527" s="49"/>
      <x:c r="C527" s="49"/>
      <x:c r="D527" s="49"/>
      <x:c r="E527" s="49"/>
      <x:c r="F527" s="49"/>
      <x:c r="G527" s="49"/>
      <x:c r="H527" s="49"/>
      <x:c r="I527" s="49"/>
      <x:c r="J527" s="49"/>
      <x:c r="K527" s="49"/>
      <x:c r="L527" s="49"/>
      <x:c r="M527" s="49"/>
      <x:c r="N527" s="49"/>
      <x:c r="O527" s="49"/>
      <x:c r="P527" s="49"/>
    </x:row>
    <x:row r="528">
      <x:c r="A528" s="49"/>
      <x:c r="B528" s="49"/>
      <x:c r="C528" s="49"/>
      <x:c r="D528" s="49"/>
      <x:c r="E528" s="49"/>
      <x:c r="F528" s="49"/>
      <x:c r="G528" s="49"/>
      <x:c r="H528" s="49"/>
      <x:c r="I528" s="49"/>
      <x:c r="J528" s="49"/>
      <x:c r="K528" s="49"/>
      <x:c r="L528" s="49"/>
      <x:c r="M528" s="49"/>
      <x:c r="N528" s="49"/>
      <x:c r="O528" s="49"/>
      <x:c r="P528" s="49"/>
    </x:row>
    <x:row r="529">
      <x:c r="A529" s="49"/>
      <x:c r="B529" s="49"/>
      <x:c r="C529" s="49"/>
      <x:c r="D529" s="49"/>
      <x:c r="E529" s="49"/>
      <x:c r="F529" s="49"/>
      <x:c r="G529" s="49"/>
      <x:c r="H529" s="49"/>
      <x:c r="I529" s="49"/>
      <x:c r="J529" s="49"/>
      <x:c r="K529" s="49"/>
      <x:c r="L529" s="49"/>
      <x:c r="M529" s="49"/>
      <x:c r="N529" s="49"/>
      <x:c r="O529" s="49"/>
      <x:c r="P529" s="49"/>
    </x:row>
    <x:row r="530">
      <x:c r="A530" s="49"/>
      <x:c r="B530" s="49"/>
      <x:c r="C530" s="49"/>
      <x:c r="D530" s="49"/>
      <x:c r="E530" s="49"/>
      <x:c r="F530" s="49"/>
      <x:c r="G530" s="49"/>
      <x:c r="H530" s="49"/>
      <x:c r="I530" s="49"/>
      <x:c r="J530" s="49"/>
      <x:c r="K530" s="49"/>
      <x:c r="L530" s="49"/>
      <x:c r="M530" s="49"/>
      <x:c r="N530" s="49"/>
      <x:c r="O530" s="49"/>
      <x:c r="P530" s="49"/>
    </x:row>
    <x:row r="531">
      <x:c r="A531" s="49"/>
      <x:c r="B531" s="49"/>
      <x:c r="C531" s="49"/>
      <x:c r="D531" s="49"/>
      <x:c r="E531" s="49"/>
      <x:c r="F531" s="49"/>
      <x:c r="G531" s="49"/>
      <x:c r="H531" s="49"/>
      <x:c r="I531" s="49"/>
      <x:c r="J531" s="49"/>
      <x:c r="K531" s="49"/>
      <x:c r="L531" s="49"/>
      <x:c r="M531" s="49"/>
      <x:c r="N531" s="49"/>
      <x:c r="O531" s="49"/>
      <x:c r="P531" s="49"/>
    </x:row>
    <x:row r="532">
      <x:c r="A532" s="49"/>
      <x:c r="B532" s="49"/>
      <x:c r="C532" s="49"/>
      <x:c r="D532" s="49"/>
      <x:c r="E532" s="49"/>
      <x:c r="F532" s="49"/>
      <x:c r="G532" s="49"/>
      <x:c r="H532" s="49"/>
      <x:c r="I532" s="49"/>
      <x:c r="J532" s="49"/>
      <x:c r="K532" s="49"/>
      <x:c r="L532" s="49"/>
      <x:c r="M532" s="49"/>
      <x:c r="N532" s="49"/>
      <x:c r="O532" s="49"/>
      <x:c r="P532" s="49"/>
    </x:row>
    <x:row r="533">
      <x:c r="A533" s="49"/>
      <x:c r="B533" s="49"/>
      <x:c r="C533" s="49"/>
      <x:c r="D533" s="49"/>
      <x:c r="E533" s="49"/>
      <x:c r="F533" s="49"/>
      <x:c r="G533" s="49"/>
      <x:c r="H533" s="49"/>
      <x:c r="I533" s="49"/>
      <x:c r="J533" s="49"/>
      <x:c r="K533" s="49"/>
      <x:c r="L533" s="49"/>
      <x:c r="M533" s="49"/>
      <x:c r="N533" s="49"/>
      <x:c r="O533" s="49"/>
      <x:c r="P533" s="49"/>
    </x:row>
    <x:row r="534">
      <x:c r="A534" s="49"/>
      <x:c r="B534" s="49"/>
      <x:c r="C534" s="49"/>
      <x:c r="D534" s="49"/>
      <x:c r="E534" s="49"/>
      <x:c r="F534" s="49"/>
      <x:c r="G534" s="49"/>
      <x:c r="H534" s="49"/>
      <x:c r="I534" s="49"/>
      <x:c r="J534" s="49"/>
      <x:c r="K534" s="49"/>
      <x:c r="L534" s="49"/>
      <x:c r="M534" s="49"/>
      <x:c r="N534" s="49"/>
      <x:c r="O534" s="49"/>
      <x:c r="P534" s="49"/>
    </x:row>
    <x:row r="535">
      <x:c r="A535" s="49"/>
      <x:c r="B535" s="49"/>
      <x:c r="C535" s="49"/>
      <x:c r="D535" s="49"/>
      <x:c r="E535" s="49"/>
      <x:c r="F535" s="49"/>
      <x:c r="G535" s="49"/>
      <x:c r="H535" s="49"/>
      <x:c r="I535" s="49"/>
      <x:c r="J535" s="49"/>
      <x:c r="K535" s="49"/>
      <x:c r="L535" s="49"/>
      <x:c r="M535" s="49"/>
      <x:c r="N535" s="49"/>
      <x:c r="O535" s="49"/>
      <x:c r="P535" s="49"/>
    </x:row>
    <x:row r="536">
      <x:c r="A536" s="49"/>
      <x:c r="B536" s="49"/>
      <x:c r="C536" s="49"/>
      <x:c r="D536" s="49"/>
      <x:c r="E536" s="49"/>
      <x:c r="F536" s="49"/>
      <x:c r="G536" s="49"/>
      <x:c r="H536" s="49"/>
      <x:c r="I536" s="49"/>
      <x:c r="J536" s="49"/>
      <x:c r="K536" s="49"/>
      <x:c r="L536" s="49"/>
      <x:c r="M536" s="49"/>
      <x:c r="N536" s="49"/>
      <x:c r="O536" s="49"/>
      <x:c r="P536" s="49"/>
    </x:row>
    <x:row r="537">
      <x:c r="A537" s="49"/>
      <x:c r="B537" s="49"/>
      <x:c r="C537" s="49"/>
      <x:c r="D537" s="49"/>
      <x:c r="E537" s="49"/>
      <x:c r="F537" s="49"/>
      <x:c r="G537" s="49"/>
      <x:c r="H537" s="49"/>
      <x:c r="I537" s="49"/>
      <x:c r="J537" s="49"/>
      <x:c r="K537" s="49"/>
      <x:c r="L537" s="49"/>
      <x:c r="M537" s="49"/>
      <x:c r="N537" s="49"/>
      <x:c r="O537" s="49"/>
      <x:c r="P537" s="49"/>
    </x:row>
    <x:row r="538">
      <x:c r="A538" s="49"/>
      <x:c r="B538" s="49"/>
      <x:c r="C538" s="49"/>
      <x:c r="D538" s="49"/>
      <x:c r="E538" s="49"/>
      <x:c r="F538" s="49"/>
      <x:c r="G538" s="49"/>
      <x:c r="H538" s="49"/>
      <x:c r="I538" s="49"/>
      <x:c r="J538" s="49"/>
      <x:c r="K538" s="49"/>
      <x:c r="L538" s="49"/>
      <x:c r="M538" s="49"/>
      <x:c r="N538" s="49"/>
      <x:c r="O538" s="49"/>
      <x:c r="P538" s="49"/>
    </x:row>
    <x:row r="539">
      <x:c r="A539" s="49"/>
      <x:c r="B539" s="49"/>
      <x:c r="C539" s="49"/>
      <x:c r="D539" s="49"/>
      <x:c r="E539" s="49"/>
      <x:c r="F539" s="49"/>
      <x:c r="G539" s="49"/>
      <x:c r="H539" s="49"/>
      <x:c r="I539" s="49"/>
      <x:c r="J539" s="49"/>
      <x:c r="K539" s="49"/>
      <x:c r="L539" s="49"/>
      <x:c r="M539" s="49"/>
      <x:c r="N539" s="49"/>
      <x:c r="O539" s="49"/>
      <x:c r="P539" s="49"/>
    </x:row>
    <x:row r="540">
      <x:c r="A540" s="49"/>
      <x:c r="B540" s="49"/>
      <x:c r="C540" s="49"/>
      <x:c r="D540" s="49"/>
      <x:c r="E540" s="49"/>
      <x:c r="F540" s="49"/>
      <x:c r="G540" s="49"/>
      <x:c r="H540" s="49"/>
      <x:c r="I540" s="49"/>
      <x:c r="J540" s="49"/>
      <x:c r="K540" s="49"/>
      <x:c r="L540" s="49"/>
      <x:c r="M540" s="49"/>
      <x:c r="N540" s="49"/>
      <x:c r="O540" s="49"/>
      <x:c r="P540" s="49"/>
    </x:row>
    <x:row r="541">
      <x:c r="A541" s="49"/>
      <x:c r="B541" s="49"/>
      <x:c r="C541" s="49"/>
      <x:c r="D541" s="49"/>
      <x:c r="E541" s="49"/>
      <x:c r="F541" s="49"/>
      <x:c r="G541" s="49"/>
      <x:c r="H541" s="49"/>
      <x:c r="I541" s="49"/>
      <x:c r="J541" s="49"/>
      <x:c r="K541" s="49"/>
      <x:c r="L541" s="49"/>
      <x:c r="M541" s="49"/>
      <x:c r="N541" s="49"/>
      <x:c r="O541" s="49"/>
      <x:c r="P541" s="49"/>
    </x:row>
    <x:row r="542">
      <x:c r="A542" s="49"/>
      <x:c r="B542" s="49"/>
      <x:c r="C542" s="49"/>
      <x:c r="D542" s="49"/>
      <x:c r="E542" s="49"/>
      <x:c r="F542" s="49"/>
      <x:c r="G542" s="49"/>
      <x:c r="H542" s="49"/>
      <x:c r="I542" s="49"/>
      <x:c r="J542" s="49"/>
      <x:c r="K542" s="49"/>
      <x:c r="L542" s="49"/>
      <x:c r="M542" s="49"/>
      <x:c r="N542" s="49"/>
      <x:c r="O542" s="49"/>
      <x:c r="P542" s="49"/>
    </x:row>
    <x:row r="543">
      <x:c r="A543" s="49"/>
      <x:c r="B543" s="49"/>
      <x:c r="C543" s="49"/>
      <x:c r="D543" s="49"/>
      <x:c r="E543" s="49"/>
      <x:c r="F543" s="49"/>
      <x:c r="G543" s="49"/>
      <x:c r="H543" s="49"/>
      <x:c r="I543" s="49"/>
      <x:c r="J543" s="49"/>
      <x:c r="K543" s="49"/>
      <x:c r="L543" s="49"/>
      <x:c r="M543" s="49"/>
      <x:c r="N543" s="49"/>
      <x:c r="O543" s="49"/>
      <x:c r="P543" s="49"/>
    </x:row>
    <x:row r="544">
      <x:c r="A544" s="49"/>
      <x:c r="B544" s="49"/>
      <x:c r="C544" s="49"/>
      <x:c r="D544" s="49"/>
      <x:c r="E544" s="49"/>
      <x:c r="F544" s="49"/>
      <x:c r="G544" s="49"/>
      <x:c r="H544" s="49"/>
      <x:c r="I544" s="49"/>
      <x:c r="J544" s="49"/>
      <x:c r="K544" s="49"/>
      <x:c r="L544" s="49"/>
      <x:c r="M544" s="49"/>
      <x:c r="N544" s="49"/>
      <x:c r="O544" s="49"/>
      <x:c r="P544" s="49"/>
    </x:row>
    <x:row r="545">
      <x:c r="A545" s="49"/>
      <x:c r="B545" s="49"/>
      <x:c r="C545" s="49"/>
      <x:c r="D545" s="49"/>
      <x:c r="E545" s="49"/>
      <x:c r="F545" s="49"/>
      <x:c r="G545" s="49"/>
      <x:c r="H545" s="49"/>
      <x:c r="I545" s="49"/>
      <x:c r="J545" s="49"/>
      <x:c r="K545" s="49"/>
      <x:c r="L545" s="49"/>
      <x:c r="M545" s="49"/>
      <x:c r="N545" s="49"/>
      <x:c r="O545" s="49"/>
      <x:c r="P545" s="49"/>
    </x:row>
    <x:row r="546">
      <x:c r="A546" s="49"/>
      <x:c r="B546" s="49"/>
      <x:c r="C546" s="49"/>
      <x:c r="D546" s="49"/>
      <x:c r="E546" s="49"/>
      <x:c r="F546" s="49"/>
      <x:c r="G546" s="49"/>
      <x:c r="H546" s="49"/>
      <x:c r="I546" s="49"/>
      <x:c r="J546" s="49"/>
      <x:c r="K546" s="49"/>
      <x:c r="L546" s="49"/>
      <x:c r="M546" s="49"/>
      <x:c r="N546" s="49"/>
      <x:c r="O546" s="49"/>
      <x:c r="P546" s="49"/>
    </x:row>
    <x:row r="547">
      <x:c r="A547" s="49"/>
      <x:c r="B547" s="49"/>
      <x:c r="C547" s="49"/>
      <x:c r="D547" s="49"/>
      <x:c r="E547" s="49"/>
      <x:c r="F547" s="49"/>
      <x:c r="G547" s="49"/>
      <x:c r="H547" s="49"/>
      <x:c r="I547" s="49"/>
      <x:c r="J547" s="49"/>
      <x:c r="K547" s="49"/>
      <x:c r="L547" s="49"/>
      <x:c r="M547" s="49"/>
      <x:c r="N547" s="49"/>
      <x:c r="O547" s="49"/>
      <x:c r="P547" s="49"/>
    </x:row>
    <x:row r="548">
      <x:c r="A548" s="49"/>
      <x:c r="B548" s="49"/>
      <x:c r="C548" s="49"/>
      <x:c r="D548" s="49"/>
      <x:c r="E548" s="49"/>
      <x:c r="F548" s="49"/>
      <x:c r="G548" s="49"/>
      <x:c r="H548" s="49"/>
      <x:c r="I548" s="49"/>
      <x:c r="J548" s="49"/>
      <x:c r="K548" s="49"/>
      <x:c r="L548" s="49"/>
      <x:c r="M548" s="49"/>
      <x:c r="N548" s="49"/>
      <x:c r="O548" s="49"/>
      <x:c r="P548" s="49"/>
    </x:row>
    <x:row r="549">
      <x:c r="A549" s="49"/>
      <x:c r="B549" s="49"/>
      <x:c r="C549" s="49"/>
      <x:c r="D549" s="49"/>
      <x:c r="E549" s="49"/>
      <x:c r="F549" s="49"/>
      <x:c r="G549" s="49"/>
      <x:c r="H549" s="49"/>
      <x:c r="I549" s="49"/>
      <x:c r="J549" s="49"/>
      <x:c r="K549" s="49"/>
      <x:c r="L549" s="49"/>
      <x:c r="M549" s="49"/>
      <x:c r="N549" s="49"/>
      <x:c r="O549" s="49"/>
      <x:c r="P549" s="49"/>
    </x:row>
    <x:row r="550">
      <x:c r="A550" s="49"/>
      <x:c r="B550" s="49"/>
      <x:c r="C550" s="49"/>
      <x:c r="D550" s="49"/>
      <x:c r="E550" s="49"/>
      <x:c r="F550" s="49"/>
      <x:c r="G550" s="49"/>
      <x:c r="H550" s="49"/>
      <x:c r="I550" s="49"/>
      <x:c r="J550" s="49"/>
      <x:c r="K550" s="49"/>
      <x:c r="L550" s="49"/>
      <x:c r="M550" s="49"/>
      <x:c r="N550" s="49"/>
      <x:c r="O550" s="49"/>
      <x:c r="P550" s="49"/>
    </x:row>
    <x:row r="551">
      <x:c r="A551" s="49"/>
      <x:c r="B551" s="49"/>
      <x:c r="C551" s="49"/>
      <x:c r="D551" s="49"/>
      <x:c r="E551" s="49"/>
      <x:c r="F551" s="49"/>
      <x:c r="G551" s="49"/>
      <x:c r="H551" s="49"/>
      <x:c r="I551" s="49"/>
      <x:c r="J551" s="49"/>
      <x:c r="K551" s="49"/>
      <x:c r="L551" s="49"/>
      <x:c r="M551" s="49"/>
      <x:c r="N551" s="49"/>
      <x:c r="O551" s="49"/>
      <x:c r="P551" s="49"/>
    </x:row>
    <x:row r="552">
      <x:c r="A552" s="49"/>
      <x:c r="B552" s="49"/>
      <x:c r="C552" s="49"/>
      <x:c r="D552" s="49"/>
      <x:c r="E552" s="49"/>
      <x:c r="F552" s="49"/>
      <x:c r="G552" s="49"/>
      <x:c r="H552" s="49"/>
      <x:c r="I552" s="49"/>
      <x:c r="J552" s="49"/>
      <x:c r="K552" s="49"/>
      <x:c r="L552" s="49"/>
      <x:c r="M552" s="49"/>
      <x:c r="N552" s="49"/>
      <x:c r="O552" s="49"/>
      <x:c r="P552" s="49"/>
    </x:row>
    <x:row r="553">
      <x:c r="A553" s="49"/>
      <x:c r="B553" s="49"/>
      <x:c r="C553" s="49"/>
      <x:c r="D553" s="49"/>
      <x:c r="E553" s="49"/>
      <x:c r="F553" s="49"/>
      <x:c r="G553" s="49"/>
      <x:c r="H553" s="49"/>
      <x:c r="I553" s="49"/>
      <x:c r="J553" s="49"/>
      <x:c r="K553" s="49"/>
      <x:c r="L553" s="49"/>
      <x:c r="M553" s="49"/>
      <x:c r="N553" s="49"/>
      <x:c r="O553" s="49"/>
      <x:c r="P553" s="49"/>
    </x:row>
    <x:row r="554">
      <x:c r="A554" s="49"/>
      <x:c r="B554" s="49"/>
      <x:c r="C554" s="49"/>
      <x:c r="D554" s="49"/>
      <x:c r="E554" s="49"/>
      <x:c r="F554" s="49"/>
      <x:c r="G554" s="49"/>
      <x:c r="H554" s="49"/>
      <x:c r="I554" s="49"/>
      <x:c r="J554" s="49"/>
      <x:c r="K554" s="49"/>
      <x:c r="L554" s="49"/>
      <x:c r="M554" s="49"/>
      <x:c r="N554" s="49"/>
      <x:c r="O554" s="49"/>
      <x:c r="P554" s="49"/>
    </x:row>
    <x:row r="555">
      <x:c r="A555" s="49"/>
      <x:c r="B555" s="49"/>
      <x:c r="C555" s="49"/>
      <x:c r="D555" s="49"/>
      <x:c r="E555" s="49"/>
      <x:c r="F555" s="49"/>
      <x:c r="G555" s="49"/>
      <x:c r="H555" s="49"/>
      <x:c r="I555" s="49"/>
      <x:c r="J555" s="49"/>
      <x:c r="K555" s="49"/>
      <x:c r="L555" s="49"/>
      <x:c r="M555" s="49"/>
      <x:c r="N555" s="49"/>
      <x:c r="O555" s="49"/>
      <x:c r="P555" s="49"/>
    </x:row>
    <x:row r="556">
      <x:c r="A556" s="49"/>
      <x:c r="B556" s="49"/>
      <x:c r="C556" s="49"/>
      <x:c r="D556" s="49"/>
      <x:c r="E556" s="49"/>
      <x:c r="F556" s="49"/>
      <x:c r="G556" s="49"/>
      <x:c r="H556" s="49"/>
      <x:c r="I556" s="49"/>
      <x:c r="J556" s="49"/>
      <x:c r="K556" s="49"/>
      <x:c r="L556" s="49"/>
      <x:c r="M556" s="49"/>
      <x:c r="N556" s="49"/>
      <x:c r="O556" s="49"/>
      <x:c r="P556" s="49"/>
    </x:row>
    <x:row r="557">
      <x:c r="A557" s="49"/>
      <x:c r="B557" s="49"/>
      <x:c r="C557" s="49"/>
      <x:c r="D557" s="49"/>
      <x:c r="E557" s="49"/>
      <x:c r="F557" s="49"/>
      <x:c r="G557" s="49"/>
      <x:c r="H557" s="49"/>
      <x:c r="I557" s="49"/>
      <x:c r="J557" s="49"/>
      <x:c r="K557" s="49"/>
      <x:c r="L557" s="49"/>
      <x:c r="M557" s="49"/>
      <x:c r="N557" s="49"/>
      <x:c r="O557" s="49"/>
      <x:c r="P557" s="49"/>
    </x:row>
    <x:row r="558">
      <x:c r="A558" s="49"/>
      <x:c r="B558" s="49"/>
      <x:c r="C558" s="49"/>
      <x:c r="D558" s="49"/>
      <x:c r="E558" s="49"/>
      <x:c r="F558" s="49"/>
      <x:c r="G558" s="49"/>
      <x:c r="H558" s="49"/>
      <x:c r="I558" s="49"/>
      <x:c r="J558" s="49"/>
      <x:c r="K558" s="49"/>
      <x:c r="L558" s="49"/>
      <x:c r="M558" s="49"/>
      <x:c r="N558" s="49"/>
      <x:c r="O558" s="49"/>
      <x:c r="P558" s="49"/>
    </x:row>
    <x:row r="559">
      <x:c r="A559" s="49"/>
      <x:c r="B559" s="49"/>
      <x:c r="C559" s="49"/>
      <x:c r="D559" s="49"/>
      <x:c r="E559" s="49"/>
      <x:c r="F559" s="49"/>
      <x:c r="G559" s="49"/>
      <x:c r="H559" s="49"/>
      <x:c r="I559" s="49"/>
      <x:c r="J559" s="49"/>
      <x:c r="K559" s="49"/>
      <x:c r="L559" s="49"/>
      <x:c r="M559" s="49"/>
      <x:c r="N559" s="49"/>
      <x:c r="O559" s="49"/>
      <x:c r="P559" s="49"/>
    </x:row>
    <x:row r="560">
      <x:c r="A560" s="49"/>
      <x:c r="B560" s="49"/>
      <x:c r="C560" s="49"/>
      <x:c r="D560" s="49"/>
      <x:c r="E560" s="49"/>
      <x:c r="F560" s="49"/>
      <x:c r="G560" s="49"/>
      <x:c r="H560" s="49"/>
      <x:c r="I560" s="49"/>
      <x:c r="J560" s="49"/>
      <x:c r="K560" s="49"/>
      <x:c r="L560" s="49"/>
      <x:c r="M560" s="49"/>
      <x:c r="N560" s="49"/>
      <x:c r="O560" s="49"/>
      <x:c r="P560" s="49"/>
    </x:row>
    <x:row r="561">
      <x:c r="A561" s="49"/>
      <x:c r="B561" s="49"/>
      <x:c r="C561" s="49"/>
      <x:c r="D561" s="49"/>
      <x:c r="E561" s="49"/>
      <x:c r="F561" s="49"/>
      <x:c r="G561" s="49"/>
      <x:c r="H561" s="49"/>
      <x:c r="I561" s="49"/>
      <x:c r="J561" s="49"/>
      <x:c r="K561" s="49"/>
      <x:c r="L561" s="49"/>
      <x:c r="M561" s="49"/>
      <x:c r="N561" s="49"/>
      <x:c r="O561" s="49"/>
      <x:c r="P561" s="49"/>
    </x:row>
    <x:row r="562">
      <x:c r="A562" s="49"/>
      <x:c r="B562" s="49"/>
      <x:c r="C562" s="49"/>
      <x:c r="D562" s="49"/>
      <x:c r="E562" s="49"/>
      <x:c r="F562" s="49"/>
      <x:c r="G562" s="49"/>
      <x:c r="H562" s="49"/>
      <x:c r="I562" s="49"/>
      <x:c r="J562" s="49"/>
      <x:c r="K562" s="49"/>
      <x:c r="L562" s="49"/>
      <x:c r="M562" s="49"/>
      <x:c r="N562" s="49"/>
      <x:c r="O562" s="49"/>
      <x:c r="P562" s="49"/>
    </x:row>
    <x:row r="563">
      <x:c r="A563" s="49"/>
      <x:c r="B563" s="49"/>
      <x:c r="C563" s="49"/>
      <x:c r="D563" s="49"/>
      <x:c r="E563" s="49"/>
      <x:c r="F563" s="49"/>
      <x:c r="G563" s="49"/>
      <x:c r="H563" s="49"/>
      <x:c r="I563" s="49"/>
      <x:c r="J563" s="49"/>
      <x:c r="K563" s="49"/>
      <x:c r="L563" s="49"/>
      <x:c r="M563" s="49"/>
      <x:c r="N563" s="49"/>
      <x:c r="O563" s="49"/>
      <x:c r="P563" s="49"/>
    </x:row>
    <x:row r="564">
      <x:c r="A564" s="49"/>
      <x:c r="B564" s="49"/>
      <x:c r="C564" s="49"/>
      <x:c r="D564" s="49"/>
      <x:c r="E564" s="49"/>
      <x:c r="F564" s="49"/>
      <x:c r="G564" s="49"/>
      <x:c r="H564" s="49"/>
      <x:c r="I564" s="49"/>
      <x:c r="J564" s="49"/>
      <x:c r="K564" s="49"/>
      <x:c r="L564" s="49"/>
      <x:c r="M564" s="49"/>
      <x:c r="N564" s="49"/>
      <x:c r="O564" s="49"/>
      <x:c r="P564" s="49"/>
    </x:row>
    <x:row r="565">
      <x:c r="A565" s="49"/>
      <x:c r="B565" s="49"/>
      <x:c r="C565" s="49"/>
      <x:c r="D565" s="49"/>
      <x:c r="E565" s="49"/>
      <x:c r="F565" s="49"/>
      <x:c r="G565" s="49"/>
      <x:c r="H565" s="49"/>
      <x:c r="I565" s="49"/>
      <x:c r="J565" s="49"/>
      <x:c r="K565" s="49"/>
      <x:c r="L565" s="49"/>
      <x:c r="M565" s="49"/>
      <x:c r="N565" s="49"/>
      <x:c r="O565" s="49"/>
      <x:c r="P565" s="49"/>
    </x:row>
    <x:row r="566">
      <x:c r="A566" s="49"/>
      <x:c r="B566" s="49"/>
      <x:c r="C566" s="49"/>
      <x:c r="D566" s="49"/>
      <x:c r="E566" s="49"/>
      <x:c r="F566" s="49"/>
      <x:c r="G566" s="49"/>
      <x:c r="H566" s="49"/>
      <x:c r="I566" s="49"/>
      <x:c r="J566" s="49"/>
      <x:c r="K566" s="49"/>
      <x:c r="L566" s="49"/>
      <x:c r="M566" s="49"/>
      <x:c r="N566" s="49"/>
      <x:c r="O566" s="49"/>
      <x:c r="P566" s="49"/>
    </x:row>
    <x:row r="567">
      <x:c r="A567" s="49"/>
      <x:c r="B567" s="49"/>
      <x:c r="C567" s="49"/>
      <x:c r="D567" s="49"/>
      <x:c r="E567" s="49"/>
      <x:c r="F567" s="49"/>
      <x:c r="G567" s="49"/>
      <x:c r="H567" s="49"/>
      <x:c r="I567" s="49"/>
      <x:c r="J567" s="49"/>
      <x:c r="K567" s="49"/>
      <x:c r="L567" s="49"/>
      <x:c r="M567" s="49"/>
      <x:c r="N567" s="49"/>
      <x:c r="O567" s="49"/>
      <x:c r="P567" s="49"/>
    </x:row>
    <x:row r="568">
      <x:c r="A568" s="49"/>
      <x:c r="B568" s="49"/>
      <x:c r="C568" s="49"/>
      <x:c r="D568" s="49"/>
      <x:c r="E568" s="49"/>
      <x:c r="F568" s="49"/>
      <x:c r="G568" s="49"/>
      <x:c r="H568" s="49"/>
      <x:c r="I568" s="49"/>
      <x:c r="J568" s="49"/>
      <x:c r="K568" s="49"/>
      <x:c r="L568" s="49"/>
      <x:c r="M568" s="49"/>
      <x:c r="N568" s="49"/>
      <x:c r="O568" s="49"/>
      <x:c r="P568" s="49"/>
    </x:row>
    <x:row r="569">
      <x:c r="A569" s="49"/>
      <x:c r="B569" s="49"/>
      <x:c r="C569" s="49"/>
      <x:c r="D569" s="49"/>
      <x:c r="E569" s="49"/>
      <x:c r="F569" s="49"/>
      <x:c r="G569" s="49"/>
      <x:c r="H569" s="49"/>
      <x:c r="I569" s="49"/>
      <x:c r="J569" s="49"/>
      <x:c r="K569" s="49"/>
      <x:c r="L569" s="49"/>
      <x:c r="M569" s="49"/>
      <x:c r="N569" s="49"/>
      <x:c r="O569" s="49"/>
      <x:c r="P569" s="49"/>
    </x:row>
    <x:row r="570">
      <x:c r="A570" s="49"/>
      <x:c r="B570" s="49"/>
      <x:c r="C570" s="49"/>
      <x:c r="D570" s="49"/>
      <x:c r="E570" s="49"/>
      <x:c r="F570" s="49"/>
      <x:c r="G570" s="49"/>
      <x:c r="H570" s="49"/>
      <x:c r="I570" s="49"/>
      <x:c r="J570" s="49"/>
      <x:c r="K570" s="49"/>
      <x:c r="L570" s="49"/>
      <x:c r="M570" s="49"/>
      <x:c r="N570" s="49"/>
      <x:c r="O570" s="49"/>
      <x:c r="P570" s="49"/>
    </x:row>
    <x:row r="571">
      <x:c r="A571" s="49"/>
      <x:c r="B571" s="49"/>
      <x:c r="C571" s="49"/>
      <x:c r="D571" s="49"/>
      <x:c r="E571" s="49"/>
      <x:c r="F571" s="49"/>
      <x:c r="G571" s="49"/>
      <x:c r="H571" s="49"/>
      <x:c r="I571" s="49"/>
      <x:c r="J571" s="49"/>
      <x:c r="K571" s="49"/>
      <x:c r="L571" s="49"/>
      <x:c r="M571" s="49"/>
      <x:c r="N571" s="49"/>
      <x:c r="O571" s="49"/>
      <x:c r="P571" s="49"/>
    </x:row>
    <x:row r="572">
      <x:c r="A572" s="49"/>
      <x:c r="B572" s="49"/>
      <x:c r="C572" s="49"/>
      <x:c r="D572" s="49"/>
      <x:c r="E572" s="49"/>
      <x:c r="F572" s="49"/>
      <x:c r="G572" s="49"/>
      <x:c r="H572" s="49"/>
      <x:c r="I572" s="49"/>
      <x:c r="J572" s="49"/>
      <x:c r="K572" s="49"/>
      <x:c r="L572" s="49"/>
      <x:c r="M572" s="49"/>
      <x:c r="N572" s="49"/>
      <x:c r="O572" s="49"/>
      <x:c r="P572" s="49"/>
    </x:row>
    <x:row r="573">
      <x:c r="A573" s="49"/>
      <x:c r="B573" s="49"/>
      <x:c r="C573" s="49"/>
      <x:c r="D573" s="49"/>
      <x:c r="E573" s="49"/>
      <x:c r="F573" s="49"/>
      <x:c r="G573" s="49"/>
      <x:c r="H573" s="49"/>
      <x:c r="I573" s="49"/>
      <x:c r="J573" s="49"/>
      <x:c r="K573" s="49"/>
      <x:c r="L573" s="49"/>
      <x:c r="M573" s="49"/>
      <x:c r="N573" s="49"/>
      <x:c r="O573" s="49"/>
      <x:c r="P573" s="49"/>
    </x:row>
    <x:row r="574">
      <x:c r="A574" s="49"/>
      <x:c r="B574" s="49"/>
      <x:c r="C574" s="49"/>
      <x:c r="D574" s="49"/>
      <x:c r="E574" s="49"/>
      <x:c r="F574" s="49"/>
      <x:c r="G574" s="49"/>
      <x:c r="H574" s="49"/>
      <x:c r="I574" s="49"/>
      <x:c r="J574" s="49"/>
      <x:c r="K574" s="49"/>
      <x:c r="L574" s="49"/>
      <x:c r="M574" s="49"/>
      <x:c r="N574" s="49"/>
      <x:c r="O574" s="49"/>
      <x:c r="P574" s="49"/>
    </x:row>
    <x:row r="575">
      <x:c r="A575" s="49"/>
      <x:c r="B575" s="49"/>
      <x:c r="C575" s="49"/>
      <x:c r="D575" s="49"/>
      <x:c r="E575" s="49"/>
      <x:c r="F575" s="49"/>
      <x:c r="G575" s="49"/>
      <x:c r="H575" s="49"/>
      <x:c r="I575" s="49"/>
      <x:c r="J575" s="49"/>
      <x:c r="K575" s="49"/>
      <x:c r="L575" s="49"/>
      <x:c r="M575" s="49"/>
      <x:c r="N575" s="49"/>
      <x:c r="O575" s="49"/>
      <x:c r="P575" s="49"/>
    </x:row>
    <x:row r="576">
      <x:c r="A576" s="49"/>
      <x:c r="B576" s="49"/>
      <x:c r="C576" s="49"/>
      <x:c r="D576" s="49"/>
      <x:c r="E576" s="49"/>
      <x:c r="F576" s="49"/>
      <x:c r="G576" s="49"/>
      <x:c r="H576" s="49"/>
      <x:c r="I576" s="49"/>
      <x:c r="J576" s="49"/>
      <x:c r="K576" s="49"/>
      <x:c r="L576" s="49"/>
      <x:c r="M576" s="49"/>
      <x:c r="N576" s="49"/>
      <x:c r="O576" s="49"/>
      <x:c r="P576" s="49"/>
    </x:row>
    <x:row r="577">
      <x:c r="A577" s="49"/>
      <x:c r="B577" s="49"/>
      <x:c r="C577" s="49"/>
      <x:c r="D577" s="49"/>
      <x:c r="E577" s="49"/>
      <x:c r="F577" s="49"/>
      <x:c r="G577" s="49"/>
      <x:c r="H577" s="49"/>
      <x:c r="I577" s="49"/>
      <x:c r="J577" s="49"/>
      <x:c r="K577" s="49"/>
      <x:c r="L577" s="49"/>
      <x:c r="M577" s="49"/>
      <x:c r="N577" s="49"/>
      <x:c r="O577" s="49"/>
      <x:c r="P577" s="49"/>
    </x:row>
    <x:row r="578">
      <x:c r="A578" s="49"/>
      <x:c r="B578" s="49"/>
      <x:c r="C578" s="49"/>
      <x:c r="D578" s="49"/>
      <x:c r="E578" s="49"/>
      <x:c r="F578" s="49"/>
      <x:c r="G578" s="49"/>
      <x:c r="H578" s="49"/>
      <x:c r="I578" s="49"/>
      <x:c r="J578" s="49"/>
      <x:c r="K578" s="49"/>
      <x:c r="L578" s="49"/>
      <x:c r="M578" s="49"/>
      <x:c r="N578" s="49"/>
      <x:c r="O578" s="49"/>
      <x:c r="P578" s="49"/>
    </x:row>
    <x:row r="579">
      <x:c r="A579" s="49"/>
      <x:c r="B579" s="49"/>
      <x:c r="C579" s="49"/>
      <x:c r="D579" s="49"/>
      <x:c r="E579" s="49"/>
      <x:c r="F579" s="49"/>
      <x:c r="G579" s="49"/>
      <x:c r="H579" s="49"/>
      <x:c r="I579" s="49"/>
      <x:c r="J579" s="49"/>
      <x:c r="K579" s="49"/>
      <x:c r="L579" s="49"/>
      <x:c r="M579" s="49"/>
      <x:c r="N579" s="49"/>
      <x:c r="O579" s="49"/>
      <x:c r="P579" s="49"/>
    </x:row>
    <x:row r="580">
      <x:c r="A580" s="49"/>
      <x:c r="B580" s="49"/>
      <x:c r="C580" s="49"/>
      <x:c r="D580" s="49"/>
      <x:c r="E580" s="49"/>
      <x:c r="F580" s="49"/>
      <x:c r="G580" s="49"/>
      <x:c r="H580" s="49"/>
      <x:c r="I580" s="49"/>
      <x:c r="J580" s="49"/>
      <x:c r="K580" s="49"/>
      <x:c r="L580" s="49"/>
      <x:c r="M580" s="49"/>
      <x:c r="N580" s="49"/>
      <x:c r="O580" s="49"/>
      <x:c r="P580" s="49"/>
    </x:row>
    <x:row r="581">
      <x:c r="A581" s="49"/>
      <x:c r="B581" s="49"/>
      <x:c r="C581" s="49"/>
      <x:c r="D581" s="49"/>
      <x:c r="E581" s="49"/>
      <x:c r="F581" s="49"/>
      <x:c r="G581" s="49"/>
      <x:c r="H581" s="49"/>
      <x:c r="I581" s="49"/>
      <x:c r="J581" s="49"/>
      <x:c r="K581" s="49"/>
      <x:c r="L581" s="49"/>
      <x:c r="M581" s="49"/>
      <x:c r="N581" s="49"/>
      <x:c r="O581" s="49"/>
      <x:c r="P581" s="49"/>
    </x:row>
    <x:row r="582">
      <x:c r="A582" s="49"/>
      <x:c r="B582" s="49"/>
      <x:c r="C582" s="49"/>
      <x:c r="D582" s="49"/>
      <x:c r="E582" s="49"/>
      <x:c r="F582" s="49"/>
      <x:c r="G582" s="49"/>
      <x:c r="H582" s="49"/>
      <x:c r="I582" s="49"/>
      <x:c r="J582" s="49"/>
      <x:c r="K582" s="49"/>
      <x:c r="L582" s="49"/>
      <x:c r="M582" s="49"/>
      <x:c r="N582" s="49"/>
      <x:c r="O582" s="49"/>
      <x:c r="P582" s="49"/>
    </x:row>
    <x:row r="583">
      <x:c r="A583" s="49"/>
      <x:c r="B583" s="49"/>
      <x:c r="C583" s="49"/>
      <x:c r="D583" s="49"/>
      <x:c r="E583" s="49"/>
      <x:c r="F583" s="49"/>
      <x:c r="G583" s="49"/>
      <x:c r="H583" s="49"/>
      <x:c r="I583" s="49"/>
      <x:c r="J583" s="49"/>
      <x:c r="K583" s="49"/>
      <x:c r="L583" s="49"/>
      <x:c r="M583" s="49"/>
      <x:c r="N583" s="49"/>
      <x:c r="O583" s="49"/>
      <x:c r="P583" s="49"/>
    </x:row>
    <x:row r="584">
      <x:c r="A584" s="49"/>
      <x:c r="B584" s="49"/>
      <x:c r="C584" s="49"/>
      <x:c r="D584" s="49"/>
      <x:c r="E584" s="49"/>
      <x:c r="F584" s="49"/>
      <x:c r="G584" s="49"/>
      <x:c r="H584" s="49"/>
      <x:c r="I584" s="49"/>
      <x:c r="J584" s="49"/>
      <x:c r="K584" s="49"/>
      <x:c r="L584" s="49"/>
      <x:c r="M584" s="49"/>
      <x:c r="N584" s="49"/>
      <x:c r="O584" s="49"/>
      <x:c r="P584" s="49"/>
    </x:row>
    <x:row r="585">
      <x:c r="A585" s="49"/>
      <x:c r="B585" s="49"/>
      <x:c r="C585" s="49"/>
      <x:c r="D585" s="49"/>
      <x:c r="E585" s="49"/>
      <x:c r="F585" s="49"/>
      <x:c r="G585" s="49"/>
      <x:c r="H585" s="49"/>
      <x:c r="I585" s="49"/>
      <x:c r="J585" s="49"/>
      <x:c r="K585" s="49"/>
      <x:c r="L585" s="49"/>
      <x:c r="M585" s="49"/>
      <x:c r="N585" s="49"/>
      <x:c r="O585" s="49"/>
      <x:c r="P585" s="49"/>
    </x:row>
    <x:row r="586">
      <x:c r="A586" s="49"/>
      <x:c r="B586" s="49"/>
      <x:c r="C586" s="49"/>
      <x:c r="D586" s="49"/>
      <x:c r="E586" s="49"/>
      <x:c r="F586" s="49"/>
      <x:c r="G586" s="49"/>
      <x:c r="H586" s="49"/>
      <x:c r="I586" s="49"/>
      <x:c r="J586" s="49"/>
      <x:c r="K586" s="49"/>
      <x:c r="L586" s="49"/>
      <x:c r="M586" s="49"/>
      <x:c r="N586" s="49"/>
      <x:c r="O586" s="49"/>
      <x:c r="P586" s="49"/>
    </x:row>
    <x:row r="587">
      <x:c r="A587" s="49"/>
      <x:c r="B587" s="49"/>
      <x:c r="C587" s="49"/>
      <x:c r="D587" s="49"/>
      <x:c r="E587" s="49"/>
      <x:c r="F587" s="49"/>
      <x:c r="G587" s="49"/>
      <x:c r="H587" s="49"/>
      <x:c r="I587" s="49"/>
      <x:c r="J587" s="49"/>
      <x:c r="K587" s="49"/>
      <x:c r="L587" s="49"/>
      <x:c r="M587" s="49"/>
      <x:c r="N587" s="49"/>
      <x:c r="O587" s="49"/>
      <x:c r="P587" s="49"/>
    </x:row>
    <x:row r="588">
      <x:c r="A588" s="49"/>
      <x:c r="B588" s="49"/>
      <x:c r="C588" s="49"/>
      <x:c r="D588" s="49"/>
      <x:c r="E588" s="49"/>
      <x:c r="F588" s="49"/>
      <x:c r="G588" s="49"/>
      <x:c r="H588" s="49"/>
      <x:c r="I588" s="49"/>
      <x:c r="J588" s="49"/>
      <x:c r="K588" s="49"/>
      <x:c r="L588" s="49"/>
      <x:c r="M588" s="49"/>
      <x:c r="N588" s="49"/>
      <x:c r="O588" s="49"/>
      <x:c r="P588" s="49"/>
    </x:row>
    <x:row r="589">
      <x:c r="A589" s="49"/>
      <x:c r="B589" s="49"/>
      <x:c r="C589" s="49"/>
      <x:c r="D589" s="49"/>
      <x:c r="E589" s="49"/>
      <x:c r="F589" s="49"/>
      <x:c r="G589" s="49"/>
      <x:c r="H589" s="49"/>
      <x:c r="I589" s="49"/>
      <x:c r="J589" s="49"/>
      <x:c r="K589" s="49"/>
      <x:c r="L589" s="49"/>
      <x:c r="M589" s="49"/>
      <x:c r="N589" s="49"/>
      <x:c r="O589" s="49"/>
      <x:c r="P589" s="49"/>
    </x:row>
    <x:row r="590">
      <x:c r="A590" s="49"/>
      <x:c r="B590" s="49"/>
      <x:c r="C590" s="49"/>
      <x:c r="D590" s="49"/>
      <x:c r="E590" s="49"/>
      <x:c r="F590" s="49"/>
      <x:c r="G590" s="49"/>
      <x:c r="H590" s="49"/>
      <x:c r="I590" s="49"/>
      <x:c r="J590" s="49"/>
      <x:c r="K590" s="49"/>
      <x:c r="L590" s="49"/>
      <x:c r="M590" s="49"/>
      <x:c r="N590" s="49"/>
      <x:c r="O590" s="49"/>
      <x:c r="P590" s="49"/>
    </x:row>
    <x:row r="591">
      <x:c r="A591" s="49"/>
      <x:c r="B591" s="49"/>
      <x:c r="C591" s="49"/>
      <x:c r="D591" s="49"/>
      <x:c r="E591" s="49"/>
      <x:c r="F591" s="49"/>
      <x:c r="G591" s="49"/>
      <x:c r="H591" s="49"/>
      <x:c r="I591" s="49"/>
      <x:c r="J591" s="49"/>
      <x:c r="K591" s="49"/>
      <x:c r="L591" s="49"/>
      <x:c r="M591" s="49"/>
      <x:c r="N591" s="49"/>
      <x:c r="O591" s="49"/>
      <x:c r="P591" s="49"/>
    </x:row>
    <x:row r="592">
      <x:c r="A592" s="49"/>
      <x:c r="B592" s="49"/>
      <x:c r="C592" s="49"/>
      <x:c r="D592" s="49"/>
      <x:c r="E592" s="49"/>
      <x:c r="F592" s="49"/>
      <x:c r="G592" s="49"/>
      <x:c r="H592" s="49"/>
      <x:c r="I592" s="49"/>
      <x:c r="J592" s="49"/>
      <x:c r="K592" s="49"/>
      <x:c r="L592" s="49"/>
      <x:c r="M592" s="49"/>
      <x:c r="N592" s="49"/>
      <x:c r="O592" s="49"/>
      <x:c r="P592" s="49"/>
    </x:row>
    <x:row r="593">
      <x:c r="A593" s="49"/>
      <x:c r="B593" s="49"/>
      <x:c r="C593" s="49"/>
      <x:c r="D593" s="49"/>
      <x:c r="E593" s="49"/>
      <x:c r="F593" s="49"/>
      <x:c r="G593" s="49"/>
      <x:c r="H593" s="49"/>
      <x:c r="I593" s="49"/>
      <x:c r="J593" s="49"/>
      <x:c r="K593" s="49"/>
      <x:c r="L593" s="49"/>
      <x:c r="M593" s="49"/>
      <x:c r="N593" s="49"/>
      <x:c r="O593" s="49"/>
      <x:c r="P593" s="49"/>
    </x:row>
    <x:row r="594">
      <x:c r="A594" s="49"/>
      <x:c r="B594" s="49"/>
      <x:c r="C594" s="49"/>
      <x:c r="D594" s="49"/>
      <x:c r="E594" s="49"/>
      <x:c r="F594" s="49"/>
      <x:c r="G594" s="49"/>
      <x:c r="H594" s="49"/>
      <x:c r="I594" s="49"/>
      <x:c r="J594" s="49"/>
      <x:c r="K594" s="49"/>
      <x:c r="L594" s="49"/>
      <x:c r="M594" s="49"/>
      <x:c r="N594" s="49"/>
      <x:c r="O594" s="49"/>
      <x:c r="P594" s="49"/>
    </x:row>
    <x:row r="595">
      <x:c r="A595" s="49"/>
      <x:c r="B595" s="49"/>
      <x:c r="C595" s="49"/>
      <x:c r="D595" s="49"/>
      <x:c r="E595" s="49"/>
      <x:c r="F595" s="49"/>
      <x:c r="G595" s="49"/>
      <x:c r="H595" s="49"/>
      <x:c r="I595" s="49"/>
      <x:c r="J595" s="49"/>
      <x:c r="K595" s="49"/>
      <x:c r="L595" s="49"/>
      <x:c r="M595" s="49"/>
      <x:c r="N595" s="49"/>
      <x:c r="O595" s="49"/>
      <x:c r="P595" s="49"/>
    </x:row>
    <x:row r="596">
      <x:c r="A596" s="49"/>
      <x:c r="B596" s="49"/>
      <x:c r="C596" s="49"/>
      <x:c r="D596" s="49"/>
      <x:c r="E596" s="49"/>
      <x:c r="F596" s="49"/>
      <x:c r="G596" s="49"/>
      <x:c r="H596" s="49"/>
      <x:c r="I596" s="49"/>
      <x:c r="J596" s="49"/>
      <x:c r="K596" s="49"/>
      <x:c r="L596" s="49"/>
      <x:c r="M596" s="49"/>
      <x:c r="N596" s="49"/>
      <x:c r="O596" s="49"/>
      <x:c r="P596" s="49"/>
    </x:row>
    <x:row r="597">
      <x:c r="A597" s="49"/>
      <x:c r="B597" s="49"/>
      <x:c r="C597" s="49"/>
      <x:c r="D597" s="49"/>
      <x:c r="E597" s="49"/>
      <x:c r="F597" s="49"/>
      <x:c r="G597" s="49"/>
      <x:c r="H597" s="49"/>
      <x:c r="I597" s="49"/>
      <x:c r="J597" s="49"/>
      <x:c r="K597" s="49"/>
      <x:c r="L597" s="49"/>
      <x:c r="M597" s="49"/>
      <x:c r="N597" s="49"/>
      <x:c r="O597" s="49"/>
      <x:c r="P597" s="49"/>
    </x:row>
    <x:row r="598">
      <x:c r="A598" s="49"/>
      <x:c r="B598" s="49"/>
      <x:c r="C598" s="49"/>
      <x:c r="D598" s="49"/>
      <x:c r="E598" s="49"/>
      <x:c r="F598" s="49"/>
      <x:c r="G598" s="49"/>
      <x:c r="H598" s="49"/>
      <x:c r="I598" s="49"/>
      <x:c r="J598" s="49"/>
      <x:c r="K598" s="49"/>
      <x:c r="L598" s="49"/>
      <x:c r="M598" s="49"/>
      <x:c r="N598" s="49"/>
      <x:c r="O598" s="49"/>
      <x:c r="P598" s="49"/>
    </x:row>
    <x:row r="599">
      <x:c r="A599" s="49"/>
      <x:c r="B599" s="49"/>
      <x:c r="C599" s="49"/>
      <x:c r="D599" s="49"/>
      <x:c r="E599" s="49"/>
      <x:c r="F599" s="49"/>
      <x:c r="G599" s="49"/>
      <x:c r="H599" s="49"/>
      <x:c r="I599" s="49"/>
      <x:c r="J599" s="49"/>
      <x:c r="K599" s="49"/>
      <x:c r="L599" s="49"/>
      <x:c r="M599" s="49"/>
      <x:c r="N599" s="49"/>
      <x:c r="O599" s="49"/>
      <x:c r="P599" s="49"/>
    </x:row>
    <x:row r="600">
      <x:c r="A600" s="49"/>
      <x:c r="B600" s="49"/>
      <x:c r="C600" s="49"/>
      <x:c r="D600" s="49"/>
      <x:c r="E600" s="49"/>
      <x:c r="F600" s="49"/>
      <x:c r="G600" s="49"/>
      <x:c r="H600" s="49"/>
      <x:c r="I600" s="49"/>
      <x:c r="J600" s="49"/>
      <x:c r="K600" s="49"/>
      <x:c r="L600" s="49"/>
      <x:c r="M600" s="49"/>
      <x:c r="N600" s="49"/>
      <x:c r="O600" s="49"/>
      <x:c r="P600" s="49"/>
    </x:row>
    <x:row r="601">
      <x:c r="A601" s="49"/>
      <x:c r="B601" s="49"/>
      <x:c r="C601" s="49"/>
      <x:c r="D601" s="49"/>
      <x:c r="E601" s="49"/>
      <x:c r="F601" s="49"/>
      <x:c r="G601" s="49"/>
      <x:c r="H601" s="49"/>
      <x:c r="I601" s="49"/>
      <x:c r="J601" s="49"/>
      <x:c r="K601" s="49"/>
      <x:c r="L601" s="49"/>
      <x:c r="M601" s="49"/>
      <x:c r="N601" s="49"/>
      <x:c r="O601" s="49"/>
      <x:c r="P601" s="49"/>
    </x:row>
    <x:row r="602">
      <x:c r="A602" s="49"/>
      <x:c r="B602" s="49"/>
      <x:c r="C602" s="49"/>
      <x:c r="D602" s="49"/>
      <x:c r="E602" s="49"/>
      <x:c r="F602" s="49"/>
      <x:c r="G602" s="49"/>
      <x:c r="H602" s="49"/>
      <x:c r="I602" s="49"/>
      <x:c r="J602" s="49"/>
      <x:c r="K602" s="49"/>
      <x:c r="L602" s="49"/>
      <x:c r="M602" s="49"/>
      <x:c r="N602" s="49"/>
      <x:c r="O602" s="49"/>
      <x:c r="P602" s="49"/>
    </x:row>
    <x:row r="603">
      <x:c r="A603" s="49"/>
      <x:c r="B603" s="49"/>
      <x:c r="C603" s="49"/>
      <x:c r="D603" s="49"/>
      <x:c r="E603" s="49"/>
      <x:c r="F603" s="49"/>
      <x:c r="G603" s="49"/>
      <x:c r="H603" s="49"/>
      <x:c r="I603" s="49"/>
      <x:c r="J603" s="49"/>
      <x:c r="K603" s="49"/>
      <x:c r="L603" s="49"/>
      <x:c r="M603" s="49"/>
      <x:c r="N603" s="49"/>
      <x:c r="O603" s="49"/>
      <x:c r="P603" s="49"/>
    </x:row>
    <x:row r="604">
      <x:c r="A604" s="49"/>
      <x:c r="B604" s="49"/>
      <x:c r="C604" s="49"/>
      <x:c r="D604" s="49"/>
      <x:c r="E604" s="49"/>
      <x:c r="F604" s="49"/>
      <x:c r="G604" s="49"/>
      <x:c r="H604" s="49"/>
      <x:c r="I604" s="49"/>
      <x:c r="J604" s="49"/>
      <x:c r="K604" s="49"/>
      <x:c r="L604" s="49"/>
      <x:c r="M604" s="49"/>
      <x:c r="N604" s="49"/>
      <x:c r="O604" s="49"/>
      <x:c r="P604" s="49"/>
    </x:row>
    <x:row r="605">
      <x:c r="A605" s="49"/>
      <x:c r="B605" s="49"/>
      <x:c r="C605" s="49"/>
      <x:c r="D605" s="49"/>
      <x:c r="E605" s="49"/>
      <x:c r="F605" s="49"/>
      <x:c r="G605" s="49"/>
      <x:c r="H605" s="49"/>
      <x:c r="I605" s="49"/>
      <x:c r="J605" s="49"/>
      <x:c r="K605" s="49"/>
      <x:c r="L605" s="49"/>
      <x:c r="M605" s="49"/>
      <x:c r="N605" s="49"/>
      <x:c r="O605" s="49"/>
      <x:c r="P605" s="49"/>
    </x:row>
    <x:row r="606">
      <x:c r="A606" s="49"/>
      <x:c r="B606" s="49"/>
      <x:c r="C606" s="49"/>
      <x:c r="D606" s="49"/>
      <x:c r="E606" s="49"/>
      <x:c r="F606" s="49"/>
      <x:c r="G606" s="49"/>
      <x:c r="H606" s="49"/>
      <x:c r="I606" s="49"/>
      <x:c r="J606" s="49"/>
      <x:c r="K606" s="49"/>
      <x:c r="L606" s="49"/>
      <x:c r="M606" s="49"/>
      <x:c r="N606" s="49"/>
      <x:c r="O606" s="49"/>
      <x:c r="P606" s="49"/>
    </x:row>
    <x:row r="607">
      <x:c r="A607" s="49"/>
      <x:c r="B607" s="49"/>
      <x:c r="C607" s="49"/>
      <x:c r="D607" s="49"/>
      <x:c r="E607" s="49"/>
      <x:c r="F607" s="49"/>
      <x:c r="G607" s="49"/>
      <x:c r="H607" s="49"/>
      <x:c r="I607" s="49"/>
      <x:c r="J607" s="49"/>
      <x:c r="K607" s="49"/>
      <x:c r="L607" s="49"/>
      <x:c r="M607" s="49"/>
      <x:c r="N607" s="49"/>
      <x:c r="O607" s="49"/>
      <x:c r="P607" s="49"/>
    </x:row>
    <x:row r="608">
      <x:c r="A608" s="49"/>
      <x:c r="B608" s="49"/>
      <x:c r="C608" s="49"/>
      <x:c r="D608" s="49"/>
      <x:c r="E608" s="49"/>
      <x:c r="F608" s="49"/>
      <x:c r="G608" s="49"/>
      <x:c r="H608" s="49"/>
      <x:c r="I608" s="49"/>
      <x:c r="J608" s="49"/>
      <x:c r="K608" s="49"/>
      <x:c r="L608" s="49"/>
      <x:c r="M608" s="49"/>
      <x:c r="N608" s="49"/>
      <x:c r="O608" s="49"/>
      <x:c r="P608" s="49"/>
    </x:row>
    <x:row r="609">
      <x:c r="A609" s="49"/>
      <x:c r="B609" s="49"/>
      <x:c r="C609" s="49"/>
      <x:c r="D609" s="49"/>
      <x:c r="E609" s="49"/>
      <x:c r="F609" s="49"/>
      <x:c r="G609" s="49"/>
      <x:c r="H609" s="49"/>
      <x:c r="I609" s="49"/>
      <x:c r="J609" s="49"/>
      <x:c r="K609" s="49"/>
      <x:c r="L609" s="49"/>
      <x:c r="M609" s="49"/>
      <x:c r="N609" s="49"/>
      <x:c r="O609" s="49"/>
      <x:c r="P609" s="49"/>
    </x:row>
    <x:row r="610">
      <x:c r="A610" s="49"/>
      <x:c r="B610" s="49"/>
      <x:c r="C610" s="49"/>
      <x:c r="D610" s="49"/>
      <x:c r="E610" s="49"/>
      <x:c r="F610" s="49"/>
      <x:c r="G610" s="49"/>
      <x:c r="H610" s="49"/>
      <x:c r="I610" s="49"/>
      <x:c r="J610" s="49"/>
      <x:c r="K610" s="49"/>
      <x:c r="L610" s="49"/>
      <x:c r="M610" s="49"/>
      <x:c r="N610" s="49"/>
      <x:c r="O610" s="49"/>
      <x:c r="P610" s="49"/>
    </x:row>
    <x:row r="611">
      <x:c r="A611" s="49"/>
      <x:c r="B611" s="49"/>
      <x:c r="C611" s="49"/>
      <x:c r="D611" s="49"/>
      <x:c r="E611" s="49"/>
      <x:c r="F611" s="49"/>
      <x:c r="G611" s="49"/>
      <x:c r="H611" s="49"/>
      <x:c r="I611" s="49"/>
      <x:c r="J611" s="49"/>
      <x:c r="K611" s="49"/>
      <x:c r="L611" s="49"/>
      <x:c r="M611" s="49"/>
      <x:c r="N611" s="49"/>
      <x:c r="O611" s="49"/>
      <x:c r="P611" s="49"/>
    </x:row>
    <x:row r="612">
      <x:c r="A612" s="49"/>
      <x:c r="B612" s="49"/>
      <x:c r="C612" s="49"/>
      <x:c r="D612" s="49"/>
      <x:c r="E612" s="49"/>
      <x:c r="F612" s="49"/>
      <x:c r="G612" s="49"/>
      <x:c r="H612" s="49"/>
      <x:c r="I612" s="49"/>
      <x:c r="J612" s="49"/>
      <x:c r="K612" s="49"/>
      <x:c r="L612" s="49"/>
      <x:c r="M612" s="49"/>
      <x:c r="N612" s="49"/>
      <x:c r="O612" s="49"/>
      <x:c r="P612" s="49"/>
    </x:row>
    <x:row r="613">
      <x:c r="A613" s="49"/>
      <x:c r="B613" s="49"/>
      <x:c r="C613" s="49"/>
      <x:c r="D613" s="49"/>
      <x:c r="E613" s="49"/>
      <x:c r="F613" s="49"/>
      <x:c r="G613" s="49"/>
      <x:c r="H613" s="49"/>
      <x:c r="I613" s="49"/>
      <x:c r="J613" s="49"/>
      <x:c r="K613" s="49"/>
      <x:c r="L613" s="49"/>
      <x:c r="M613" s="49"/>
      <x:c r="N613" s="49"/>
      <x:c r="O613" s="49"/>
      <x:c r="P613" s="49"/>
    </x:row>
    <x:row r="614">
      <x:c r="A614" s="49"/>
      <x:c r="B614" s="49"/>
      <x:c r="C614" s="49"/>
      <x:c r="D614" s="49"/>
      <x:c r="E614" s="49"/>
      <x:c r="F614" s="49"/>
      <x:c r="G614" s="49"/>
      <x:c r="H614" s="49"/>
      <x:c r="I614" s="49"/>
      <x:c r="J614" s="49"/>
      <x:c r="K614" s="49"/>
      <x:c r="L614" s="49"/>
      <x:c r="M614" s="49"/>
      <x:c r="N614" s="49"/>
      <x:c r="O614" s="49"/>
      <x:c r="P614" s="49"/>
    </x:row>
    <x:row r="615">
      <x:c r="A615" s="49"/>
      <x:c r="B615" s="49"/>
      <x:c r="C615" s="49"/>
      <x:c r="D615" s="49"/>
      <x:c r="E615" s="49"/>
      <x:c r="F615" s="49"/>
      <x:c r="G615" s="49"/>
      <x:c r="H615" s="49"/>
      <x:c r="I615" s="49"/>
      <x:c r="J615" s="49"/>
      <x:c r="K615" s="49"/>
      <x:c r="L615" s="49"/>
      <x:c r="M615" s="49"/>
      <x:c r="N615" s="49"/>
      <x:c r="O615" s="49"/>
      <x:c r="P615" s="49"/>
    </x:row>
    <x:row r="616">
      <x:c r="A616" s="49"/>
      <x:c r="B616" s="49"/>
      <x:c r="C616" s="49"/>
      <x:c r="D616" s="49"/>
      <x:c r="E616" s="49"/>
      <x:c r="F616" s="49"/>
      <x:c r="G616" s="49"/>
      <x:c r="H616" s="49"/>
      <x:c r="I616" s="49"/>
      <x:c r="J616" s="49"/>
      <x:c r="K616" s="49"/>
      <x:c r="L616" s="49"/>
      <x:c r="M616" s="49"/>
      <x:c r="N616" s="49"/>
      <x:c r="O616" s="49"/>
      <x:c r="P616" s="49"/>
    </x:row>
    <x:row r="617">
      <x:c r="A617" s="49"/>
      <x:c r="B617" s="49"/>
      <x:c r="C617" s="49"/>
      <x:c r="D617" s="49"/>
      <x:c r="E617" s="49"/>
      <x:c r="F617" s="49"/>
      <x:c r="G617" s="49"/>
      <x:c r="H617" s="49"/>
      <x:c r="I617" s="49"/>
      <x:c r="J617" s="49"/>
      <x:c r="K617" s="49"/>
      <x:c r="L617" s="49"/>
      <x:c r="M617" s="49"/>
      <x:c r="N617" s="49"/>
      <x:c r="O617" s="49"/>
      <x:c r="P617" s="49"/>
    </x:row>
    <x:row r="618">
      <x:c r="A618" s="49"/>
      <x:c r="B618" s="49"/>
      <x:c r="C618" s="49"/>
      <x:c r="D618" s="49"/>
      <x:c r="E618" s="49"/>
      <x:c r="F618" s="49"/>
      <x:c r="G618" s="49"/>
      <x:c r="H618" s="49"/>
      <x:c r="I618" s="49"/>
      <x:c r="J618" s="49"/>
      <x:c r="K618" s="49"/>
      <x:c r="L618" s="49"/>
      <x:c r="M618" s="49"/>
      <x:c r="N618" s="49"/>
      <x:c r="O618" s="49"/>
      <x:c r="P618" s="49"/>
    </x:row>
    <x:row r="619">
      <x:c r="A619" s="49"/>
      <x:c r="B619" s="49"/>
      <x:c r="C619" s="49"/>
      <x:c r="D619" s="49"/>
      <x:c r="E619" s="49"/>
      <x:c r="F619" s="49"/>
      <x:c r="G619" s="49"/>
      <x:c r="H619" s="49"/>
      <x:c r="I619" s="49"/>
      <x:c r="J619" s="49"/>
      <x:c r="K619" s="49"/>
      <x:c r="L619" s="49"/>
      <x:c r="M619" s="49"/>
      <x:c r="N619" s="49"/>
      <x:c r="O619" s="49"/>
      <x:c r="P619" s="49"/>
    </x:row>
    <x:row r="620">
      <x:c r="A620" s="49"/>
      <x:c r="B620" s="49"/>
      <x:c r="C620" s="49"/>
      <x:c r="D620" s="49"/>
      <x:c r="E620" s="49"/>
      <x:c r="F620" s="49"/>
      <x:c r="G620" s="49"/>
      <x:c r="H620" s="49"/>
      <x:c r="I620" s="49"/>
      <x:c r="J620" s="49"/>
      <x:c r="K620" s="49"/>
      <x:c r="L620" s="49"/>
      <x:c r="M620" s="49"/>
      <x:c r="N620" s="49"/>
      <x:c r="O620" s="49"/>
      <x:c r="P620" s="49"/>
    </x:row>
    <x:row r="621">
      <x:c r="A621" s="49"/>
      <x:c r="B621" s="49"/>
      <x:c r="C621" s="49"/>
      <x:c r="D621" s="49"/>
      <x:c r="E621" s="49"/>
      <x:c r="F621" s="49"/>
      <x:c r="G621" s="49"/>
      <x:c r="H621" s="49"/>
      <x:c r="I621" s="49"/>
      <x:c r="J621" s="49"/>
      <x:c r="K621" s="49"/>
      <x:c r="L621" s="49"/>
      <x:c r="M621" s="49"/>
      <x:c r="N621" s="49"/>
      <x:c r="O621" s="49"/>
      <x:c r="P621" s="49"/>
    </x:row>
    <x:row r="622">
      <x:c r="A622" s="49"/>
      <x:c r="B622" s="49"/>
      <x:c r="C622" s="49"/>
      <x:c r="D622" s="49"/>
      <x:c r="E622" s="49"/>
      <x:c r="F622" s="49"/>
      <x:c r="G622" s="49"/>
      <x:c r="H622" s="49"/>
      <x:c r="I622" s="49"/>
      <x:c r="J622" s="49"/>
      <x:c r="K622" s="49"/>
      <x:c r="L622" s="49"/>
      <x:c r="M622" s="49"/>
      <x:c r="N622" s="49"/>
      <x:c r="O622" s="49"/>
      <x:c r="P622" s="49"/>
    </x:row>
    <x:row r="623">
      <x:c r="A623" s="49"/>
      <x:c r="B623" s="49"/>
      <x:c r="C623" s="49"/>
      <x:c r="D623" s="49"/>
      <x:c r="E623" s="49"/>
      <x:c r="F623" s="49"/>
      <x:c r="G623" s="49"/>
      <x:c r="H623" s="49"/>
      <x:c r="I623" s="49"/>
      <x:c r="J623" s="49"/>
      <x:c r="K623" s="49"/>
      <x:c r="L623" s="49"/>
      <x:c r="M623" s="49"/>
      <x:c r="N623" s="49"/>
      <x:c r="O623" s="49"/>
      <x:c r="P623" s="49"/>
    </x:row>
    <x:row r="624">
      <x:c r="A624" s="49"/>
      <x:c r="B624" s="49"/>
      <x:c r="C624" s="49"/>
      <x:c r="D624" s="49"/>
      <x:c r="E624" s="49"/>
      <x:c r="F624" s="49"/>
      <x:c r="G624" s="49"/>
      <x:c r="H624" s="49"/>
      <x:c r="I624" s="49"/>
      <x:c r="J624" s="49"/>
      <x:c r="K624" s="49"/>
      <x:c r="L624" s="49"/>
      <x:c r="M624" s="49"/>
      <x:c r="N624" s="49"/>
      <x:c r="O624" s="49"/>
      <x:c r="P624" s="49"/>
    </x:row>
    <x:row r="625">
      <x:c r="A625" s="49"/>
      <x:c r="B625" s="49"/>
      <x:c r="C625" s="49"/>
      <x:c r="D625" s="49"/>
      <x:c r="E625" s="49"/>
      <x:c r="F625" s="49"/>
      <x:c r="G625" s="49"/>
      <x:c r="H625" s="49"/>
      <x:c r="I625" s="49"/>
      <x:c r="J625" s="49"/>
      <x:c r="K625" s="49"/>
      <x:c r="L625" s="49"/>
      <x:c r="M625" s="49"/>
      <x:c r="N625" s="49"/>
      <x:c r="O625" s="49"/>
      <x:c r="P625" s="49"/>
    </x:row>
    <x:row r="626">
      <x:c r="A626" s="49"/>
      <x:c r="B626" s="49"/>
      <x:c r="C626" s="49"/>
      <x:c r="D626" s="49"/>
      <x:c r="E626" s="49"/>
      <x:c r="F626" s="49"/>
      <x:c r="G626" s="49"/>
      <x:c r="H626" s="49"/>
      <x:c r="I626" s="49"/>
      <x:c r="J626" s="49"/>
      <x:c r="K626" s="49"/>
      <x:c r="L626" s="49"/>
      <x:c r="M626" s="49"/>
      <x:c r="N626" s="49"/>
      <x:c r="O626" s="49"/>
      <x:c r="P626" s="49"/>
    </x:row>
    <x:row r="627">
      <x:c r="A627" s="49"/>
      <x:c r="B627" s="49"/>
      <x:c r="C627" s="49"/>
      <x:c r="D627" s="49"/>
      <x:c r="E627" s="49"/>
      <x:c r="F627" s="49"/>
      <x:c r="G627" s="49"/>
      <x:c r="H627" s="49"/>
      <x:c r="I627" s="49"/>
      <x:c r="J627" s="49"/>
      <x:c r="K627" s="49"/>
      <x:c r="L627" s="49"/>
      <x:c r="M627" s="49"/>
      <x:c r="N627" s="49"/>
      <x:c r="O627" s="49"/>
      <x:c r="P627" s="49"/>
    </x:row>
    <x:row r="628">
      <x:c r="A628" s="49"/>
      <x:c r="B628" s="49"/>
      <x:c r="C628" s="49"/>
      <x:c r="D628" s="49"/>
      <x:c r="E628" s="49"/>
      <x:c r="F628" s="49"/>
      <x:c r="G628" s="49"/>
      <x:c r="H628" s="49"/>
      <x:c r="I628" s="49"/>
      <x:c r="J628" s="49"/>
      <x:c r="K628" s="49"/>
      <x:c r="L628" s="49"/>
      <x:c r="M628" s="49"/>
      <x:c r="N628" s="49"/>
      <x:c r="O628" s="49"/>
      <x:c r="P628" s="49"/>
    </x:row>
    <x:row r="629">
      <x:c r="A629" s="49"/>
      <x:c r="B629" s="49"/>
      <x:c r="C629" s="49"/>
      <x:c r="D629" s="49"/>
      <x:c r="E629" s="49"/>
      <x:c r="F629" s="49"/>
      <x:c r="G629" s="49"/>
      <x:c r="H629" s="49"/>
      <x:c r="I629" s="49"/>
      <x:c r="J629" s="49"/>
      <x:c r="K629" s="49"/>
      <x:c r="L629" s="49"/>
      <x:c r="M629" s="49"/>
      <x:c r="N629" s="49"/>
      <x:c r="O629" s="49"/>
      <x:c r="P629" s="49"/>
    </x:row>
    <x:row r="630">
      <x:c r="A630" s="49"/>
      <x:c r="B630" s="49"/>
      <x:c r="C630" s="49"/>
      <x:c r="D630" s="49"/>
      <x:c r="E630" s="49"/>
      <x:c r="F630" s="49"/>
      <x:c r="G630" s="49"/>
      <x:c r="H630" s="49"/>
      <x:c r="I630" s="49"/>
      <x:c r="J630" s="49"/>
      <x:c r="K630" s="49"/>
      <x:c r="L630" s="49"/>
      <x:c r="M630" s="49"/>
      <x:c r="N630" s="49"/>
      <x:c r="O630" s="49"/>
      <x:c r="P630" s="49"/>
    </x:row>
    <x:row r="631">
      <x:c r="A631" s="49"/>
      <x:c r="B631" s="49"/>
      <x:c r="C631" s="49"/>
      <x:c r="D631" s="49"/>
      <x:c r="E631" s="49"/>
      <x:c r="F631" s="49"/>
      <x:c r="G631" s="49"/>
      <x:c r="H631" s="49"/>
      <x:c r="I631" s="49"/>
      <x:c r="J631" s="49"/>
      <x:c r="K631" s="49"/>
      <x:c r="L631" s="49"/>
      <x:c r="M631" s="49"/>
      <x:c r="N631" s="49"/>
      <x:c r="O631" s="49"/>
      <x:c r="P631" s="49"/>
    </x:row>
    <x:row r="632">
      <x:c r="A632" s="49"/>
      <x:c r="B632" s="49"/>
      <x:c r="C632" s="49"/>
      <x:c r="D632" s="49"/>
      <x:c r="E632" s="49"/>
      <x:c r="F632" s="49"/>
      <x:c r="G632" s="49"/>
      <x:c r="H632" s="49"/>
      <x:c r="I632" s="49"/>
      <x:c r="J632" s="49"/>
      <x:c r="K632" s="49"/>
      <x:c r="L632" s="49"/>
      <x:c r="M632" s="49"/>
      <x:c r="N632" s="49"/>
      <x:c r="O632" s="49"/>
      <x:c r="P632" s="49"/>
    </x:row>
    <x:row r="633">
      <x:c r="A633" s="49"/>
      <x:c r="B633" s="49"/>
      <x:c r="C633" s="49"/>
      <x:c r="D633" s="49"/>
      <x:c r="E633" s="49"/>
      <x:c r="F633" s="49"/>
      <x:c r="G633" s="49"/>
      <x:c r="H633" s="49"/>
      <x:c r="I633" s="49"/>
      <x:c r="J633" s="49"/>
      <x:c r="K633" s="49"/>
      <x:c r="L633" s="49"/>
      <x:c r="M633" s="49"/>
      <x:c r="N633" s="49"/>
      <x:c r="O633" s="49"/>
      <x:c r="P633" s="49"/>
    </x:row>
    <x:row r="634">
      <x:c r="A634" s="49"/>
      <x:c r="B634" s="49"/>
      <x:c r="C634" s="49"/>
      <x:c r="D634" s="49"/>
      <x:c r="E634" s="49"/>
      <x:c r="F634" s="49"/>
      <x:c r="G634" s="49"/>
      <x:c r="H634" s="49"/>
      <x:c r="I634" s="49"/>
      <x:c r="J634" s="49"/>
      <x:c r="K634" s="49"/>
      <x:c r="L634" s="49"/>
      <x:c r="M634" s="49"/>
      <x:c r="N634" s="49"/>
      <x:c r="O634" s="49"/>
      <x:c r="P634" s="49"/>
    </x:row>
    <x:row r="635">
      <x:c r="A635" s="49"/>
      <x:c r="B635" s="49"/>
      <x:c r="C635" s="49"/>
      <x:c r="D635" s="49"/>
      <x:c r="E635" s="49"/>
      <x:c r="F635" s="49"/>
      <x:c r="G635" s="49"/>
      <x:c r="H635" s="49"/>
      <x:c r="I635" s="49"/>
      <x:c r="J635" s="49"/>
      <x:c r="K635" s="49"/>
      <x:c r="L635" s="49"/>
      <x:c r="M635" s="49"/>
      <x:c r="N635" s="49"/>
      <x:c r="O635" s="49"/>
      <x:c r="P635" s="49"/>
    </x:row>
    <x:row r="636">
      <x:c r="A636" s="49"/>
      <x:c r="B636" s="49"/>
      <x:c r="C636" s="49"/>
      <x:c r="D636" s="49"/>
      <x:c r="E636" s="49"/>
      <x:c r="F636" s="49"/>
      <x:c r="G636" s="49"/>
      <x:c r="H636" s="49"/>
      <x:c r="I636" s="49"/>
      <x:c r="J636" s="49"/>
      <x:c r="K636" s="49"/>
      <x:c r="L636" s="49"/>
      <x:c r="M636" s="49"/>
      <x:c r="N636" s="49"/>
      <x:c r="O636" s="49"/>
      <x:c r="P636" s="49"/>
    </x:row>
    <x:row r="637">
      <x:c r="A637" s="49"/>
      <x:c r="B637" s="49"/>
      <x:c r="C637" s="49"/>
      <x:c r="D637" s="49"/>
      <x:c r="E637" s="49"/>
      <x:c r="F637" s="49"/>
      <x:c r="G637" s="49"/>
      <x:c r="H637" s="49"/>
      <x:c r="I637" s="49"/>
      <x:c r="J637" s="49"/>
      <x:c r="K637" s="49"/>
      <x:c r="L637" s="49"/>
      <x:c r="M637" s="49"/>
      <x:c r="N637" s="49"/>
      <x:c r="O637" s="49"/>
      <x:c r="P637" s="49"/>
    </x:row>
    <x:row r="638">
      <x:c r="A638" s="49"/>
      <x:c r="B638" s="49"/>
      <x:c r="C638" s="49"/>
      <x:c r="D638" s="49"/>
      <x:c r="E638" s="49"/>
      <x:c r="F638" s="49"/>
      <x:c r="G638" s="49"/>
      <x:c r="H638" s="49"/>
      <x:c r="I638" s="49"/>
      <x:c r="J638" s="49"/>
      <x:c r="K638" s="49"/>
      <x:c r="L638" s="49"/>
      <x:c r="M638" s="49"/>
      <x:c r="N638" s="49"/>
      <x:c r="O638" s="49"/>
      <x:c r="P638" s="49"/>
    </x:row>
    <x:row r="639">
      <x:c r="A639" s="49"/>
      <x:c r="B639" s="49"/>
      <x:c r="C639" s="49"/>
      <x:c r="D639" s="49"/>
      <x:c r="E639" s="49"/>
      <x:c r="F639" s="49"/>
      <x:c r="G639" s="49"/>
      <x:c r="H639" s="49"/>
      <x:c r="I639" s="49"/>
      <x:c r="J639" s="49"/>
      <x:c r="K639" s="49"/>
      <x:c r="L639" s="49"/>
      <x:c r="M639" s="49"/>
      <x:c r="N639" s="49"/>
      <x:c r="O639" s="49"/>
      <x:c r="P639" s="49"/>
    </x:row>
    <x:row r="640">
      <x:c r="A640" s="49"/>
      <x:c r="B640" s="49"/>
      <x:c r="C640" s="49"/>
      <x:c r="D640" s="49"/>
      <x:c r="E640" s="49"/>
      <x:c r="F640" s="49"/>
      <x:c r="G640" s="49"/>
      <x:c r="H640" s="49"/>
      <x:c r="I640" s="49"/>
      <x:c r="J640" s="49"/>
      <x:c r="K640" s="49"/>
      <x:c r="L640" s="49"/>
      <x:c r="M640" s="49"/>
      <x:c r="N640" s="49"/>
      <x:c r="O640" s="49"/>
      <x:c r="P640" s="49"/>
    </x:row>
    <x:row r="641">
      <x:c r="A641" s="49"/>
      <x:c r="B641" s="49"/>
      <x:c r="C641" s="49"/>
      <x:c r="D641" s="49"/>
      <x:c r="E641" s="49"/>
      <x:c r="F641" s="49"/>
      <x:c r="G641" s="49"/>
      <x:c r="H641" s="49"/>
      <x:c r="I641" s="49"/>
      <x:c r="J641" s="49"/>
      <x:c r="K641" s="49"/>
      <x:c r="L641" s="49"/>
      <x:c r="M641" s="49"/>
      <x:c r="N641" s="49"/>
      <x:c r="O641" s="49"/>
      <x:c r="P641" s="49"/>
    </x:row>
    <x:row r="642">
      <x:c r="A642" s="49"/>
      <x:c r="B642" s="49"/>
      <x:c r="C642" s="49"/>
      <x:c r="D642" s="49"/>
      <x:c r="E642" s="49"/>
      <x:c r="F642" s="49"/>
      <x:c r="G642" s="49"/>
      <x:c r="H642" s="49"/>
      <x:c r="I642" s="49"/>
      <x:c r="J642" s="49"/>
      <x:c r="K642" s="49"/>
      <x:c r="L642" s="49"/>
      <x:c r="M642" s="49"/>
      <x:c r="N642" s="49"/>
      <x:c r="O642" s="49"/>
      <x:c r="P642" s="49"/>
    </x:row>
    <x:row r="643">
      <x:c r="A643" s="49"/>
      <x:c r="B643" s="49"/>
      <x:c r="C643" s="49"/>
      <x:c r="D643" s="49"/>
      <x:c r="E643" s="49"/>
      <x:c r="F643" s="49"/>
      <x:c r="G643" s="49"/>
      <x:c r="H643" s="49"/>
      <x:c r="I643" s="49"/>
      <x:c r="J643" s="49"/>
      <x:c r="K643" s="49"/>
      <x:c r="L643" s="49"/>
      <x:c r="M643" s="49"/>
      <x:c r="N643" s="49"/>
      <x:c r="O643" s="49"/>
      <x:c r="P643" s="49"/>
    </x:row>
    <x:row r="644">
      <x:c r="A644" s="49"/>
      <x:c r="B644" s="49"/>
      <x:c r="C644" s="49"/>
      <x:c r="D644" s="49"/>
      <x:c r="E644" s="49"/>
      <x:c r="F644" s="49"/>
      <x:c r="G644" s="49"/>
      <x:c r="H644" s="49"/>
      <x:c r="I644" s="49"/>
      <x:c r="J644" s="49"/>
      <x:c r="K644" s="49"/>
      <x:c r="L644" s="49"/>
      <x:c r="M644" s="49"/>
      <x:c r="N644" s="49"/>
      <x:c r="O644" s="49"/>
      <x:c r="P644" s="49"/>
    </x:row>
    <x:row r="645">
      <x:c r="A645" s="49"/>
      <x:c r="B645" s="49"/>
      <x:c r="C645" s="49"/>
      <x:c r="D645" s="49"/>
      <x:c r="E645" s="49"/>
      <x:c r="F645" s="49"/>
      <x:c r="G645" s="49"/>
      <x:c r="H645" s="49"/>
      <x:c r="I645" s="49"/>
      <x:c r="J645" s="49"/>
      <x:c r="K645" s="49"/>
      <x:c r="L645" s="49"/>
      <x:c r="M645" s="49"/>
      <x:c r="N645" s="49"/>
      <x:c r="O645" s="49"/>
      <x:c r="P645" s="49"/>
    </x:row>
    <x:row r="646">
      <x:c r="A646" s="49"/>
      <x:c r="B646" s="49"/>
      <x:c r="C646" s="49"/>
      <x:c r="D646" s="49"/>
      <x:c r="E646" s="49"/>
      <x:c r="F646" s="49"/>
      <x:c r="G646" s="49"/>
      <x:c r="H646" s="49"/>
      <x:c r="I646" s="49"/>
      <x:c r="J646" s="49"/>
      <x:c r="K646" s="49"/>
      <x:c r="L646" s="49"/>
      <x:c r="M646" s="49"/>
      <x:c r="N646" s="49"/>
      <x:c r="O646" s="49"/>
      <x:c r="P646" s="49"/>
    </x:row>
    <x:row r="647">
      <x:c r="A647" s="49"/>
      <x:c r="B647" s="49"/>
      <x:c r="C647" s="49"/>
      <x:c r="D647" s="49"/>
      <x:c r="E647" s="49"/>
      <x:c r="F647" s="49"/>
      <x:c r="G647" s="49"/>
      <x:c r="H647" s="49"/>
      <x:c r="I647" s="49"/>
      <x:c r="J647" s="49"/>
      <x:c r="K647" s="49"/>
      <x:c r="L647" s="49"/>
      <x:c r="M647" s="49"/>
      <x:c r="N647" s="49"/>
      <x:c r="O647" s="49"/>
      <x:c r="P647" s="49"/>
    </x:row>
    <x:row r="648">
      <x:c r="A648" s="49"/>
      <x:c r="B648" s="49"/>
      <x:c r="C648" s="49"/>
      <x:c r="D648" s="49"/>
      <x:c r="E648" s="49"/>
      <x:c r="F648" s="49"/>
      <x:c r="G648" s="49"/>
      <x:c r="H648" s="49"/>
      <x:c r="I648" s="49"/>
      <x:c r="J648" s="49"/>
      <x:c r="K648" s="49"/>
      <x:c r="L648" s="49"/>
      <x:c r="M648" s="49"/>
      <x:c r="N648" s="49"/>
      <x:c r="O648" s="49"/>
      <x:c r="P648" s="49"/>
    </x:row>
    <x:row r="649">
      <x:c r="A649" s="49"/>
      <x:c r="B649" s="49"/>
      <x:c r="C649" s="49"/>
      <x:c r="D649" s="49"/>
      <x:c r="E649" s="49"/>
      <x:c r="F649" s="49"/>
      <x:c r="G649" s="49"/>
      <x:c r="H649" s="49"/>
      <x:c r="I649" s="49"/>
      <x:c r="J649" s="49"/>
      <x:c r="K649" s="49"/>
      <x:c r="L649" s="49"/>
      <x:c r="M649" s="49"/>
      <x:c r="N649" s="49"/>
      <x:c r="O649" s="49"/>
      <x:c r="P649" s="49"/>
    </x:row>
    <x:row r="650">
      <x:c r="A650" s="49"/>
      <x:c r="B650" s="49"/>
      <x:c r="C650" s="49"/>
      <x:c r="D650" s="49"/>
      <x:c r="E650" s="49"/>
      <x:c r="F650" s="49"/>
      <x:c r="G650" s="49"/>
      <x:c r="H650" s="49"/>
      <x:c r="I650" s="49"/>
      <x:c r="J650" s="49"/>
      <x:c r="K650" s="49"/>
      <x:c r="L650" s="49"/>
      <x:c r="M650" s="49"/>
      <x:c r="N650" s="49"/>
      <x:c r="O650" s="49"/>
      <x:c r="P650" s="49"/>
    </x:row>
  </x:sheetData>
  <x:mergeCells>
    <x:mergeCell ref="A1:P1"/>
    <x:mergeCell ref="A2:P2"/>
    <x:mergeCell ref="A3:P3"/>
    <x:mergeCell ref="A4:P4"/>
    <x:mergeCell ref="A5:P5"/>
    <x:mergeCell ref="A6:P6"/>
    <x:mergeCell ref="A9:P9"/>
    <x:mergeCell ref="A10:D10"/>
    <x:mergeCell ref="F10:G10"/>
    <x:mergeCell ref="H10:P10"/>
    <x:mergeCell ref="A11:D11"/>
    <x:mergeCell ref="F11:G11"/>
    <x:mergeCell ref="H11:P11"/>
    <x:mergeCell ref="A12:D12"/>
    <x:mergeCell ref="F12:G12"/>
    <x:mergeCell ref="H12:P12"/>
    <x:mergeCell ref="A13:D13"/>
    <x:mergeCell ref="F13:G13"/>
    <x:mergeCell ref="H13:P13"/>
    <x:mergeCell ref="A14:D14"/>
    <x:mergeCell ref="F14:G14"/>
    <x:mergeCell ref="H14:P14"/>
    <x:mergeCell ref="A15:D15"/>
    <x:mergeCell ref="F15:G15"/>
    <x:mergeCell ref="H15:P15"/>
    <x:mergeCell ref="A16:D16"/>
    <x:mergeCell ref="F16:G16"/>
    <x:mergeCell ref="H16:P16"/>
    <x:mergeCell ref="A17:D17"/>
    <x:mergeCell ref="F17:G17"/>
    <x:mergeCell ref="H17:P17"/>
    <x:mergeCell ref="A18:D18"/>
    <x:mergeCell ref="F18:G18"/>
    <x:mergeCell ref="H18:P18"/>
    <x:mergeCell ref="A19:D19"/>
    <x:mergeCell ref="F19:G19"/>
    <x:mergeCell ref="H19:P19"/>
    <x:mergeCell ref="A20:D20"/>
    <x:mergeCell ref="F20:G20"/>
    <x:mergeCell ref="H20:P20"/>
    <x:mergeCell ref="A21:D21"/>
    <x:mergeCell ref="F21:G21"/>
    <x:mergeCell ref="H21:P21"/>
    <x:mergeCell ref="A22:D22"/>
    <x:mergeCell ref="F22:G22"/>
    <x:mergeCell ref="H22:P22"/>
    <x:mergeCell ref="A23:D23"/>
    <x:mergeCell ref="F23:G23"/>
    <x:mergeCell ref="H23:P23"/>
    <x:mergeCell ref="A24:D24"/>
    <x:mergeCell ref="F24:G24"/>
    <x:mergeCell ref="H24:P24"/>
    <x:mergeCell ref="A25:D25"/>
    <x:mergeCell ref="F25:G25"/>
    <x:mergeCell ref="H25:P25"/>
    <x:mergeCell ref="A26:D26"/>
    <x:mergeCell ref="F26:G26"/>
    <x:mergeCell ref="H26:P26"/>
    <x:mergeCell ref="A27:D27"/>
    <x:mergeCell ref="F27:G27"/>
    <x:mergeCell ref="H27:P27"/>
    <x:mergeCell ref="A28:D28"/>
    <x:mergeCell ref="F28:G28"/>
    <x:mergeCell ref="H28:P28"/>
    <x:mergeCell ref="A29:D29"/>
    <x:mergeCell ref="F29:G29"/>
    <x:mergeCell ref="H29:P29"/>
    <x:mergeCell ref="A30:D30"/>
    <x:mergeCell ref="F30:G30"/>
    <x:mergeCell ref="H30:P30"/>
    <x:mergeCell ref="A31:D31"/>
    <x:mergeCell ref="F31:G31"/>
    <x:mergeCell ref="H31:P31"/>
    <x:mergeCell ref="A32:D32"/>
    <x:mergeCell ref="F32:G32"/>
    <x:mergeCell ref="H32:P32"/>
    <x:mergeCell ref="A33:D33"/>
    <x:mergeCell ref="F33:G33"/>
    <x:mergeCell ref="H33:P33"/>
    <x:mergeCell ref="A34:D34"/>
    <x:mergeCell ref="F34:G34"/>
    <x:mergeCell ref="H34:P34"/>
    <x:mergeCell ref="A35:D35"/>
    <x:mergeCell ref="F35:G35"/>
    <x:mergeCell ref="H35:P35"/>
    <x:mergeCell ref="A36:D36"/>
    <x:mergeCell ref="F36:G36"/>
    <x:mergeCell ref="H36:P36"/>
    <x:mergeCell ref="A37:D37"/>
    <x:mergeCell ref="F37:G37"/>
    <x:mergeCell ref="H37:P37"/>
    <x:mergeCell ref="A38:D38"/>
    <x:mergeCell ref="F38:G38"/>
    <x:mergeCell ref="H38:P38"/>
    <x:mergeCell ref="A39:D39"/>
    <x:mergeCell ref="F39:G39"/>
    <x:mergeCell ref="H39:P39"/>
    <x:mergeCell ref="A40:D40"/>
    <x:mergeCell ref="F40:G40"/>
    <x:mergeCell ref="H40:P40"/>
    <x:mergeCell ref="A41:D41"/>
    <x:mergeCell ref="F41:G41"/>
    <x:mergeCell ref="H41:P41"/>
    <x:mergeCell ref="A42:D42"/>
    <x:mergeCell ref="F42:G42"/>
    <x:mergeCell ref="H42:P42"/>
    <x:mergeCell ref="A43:D43"/>
    <x:mergeCell ref="F43:G43"/>
    <x:mergeCell ref="H43:P43"/>
    <x:mergeCell ref="A44:D44"/>
    <x:mergeCell ref="F44:G44"/>
    <x:mergeCell ref="H44:P44"/>
    <x:mergeCell ref="A45:D45"/>
    <x:mergeCell ref="F45:G45"/>
    <x:mergeCell ref="H45:P45"/>
    <x:mergeCell ref="A46:D46"/>
    <x:mergeCell ref="F46:G46"/>
    <x:mergeCell ref="H46:P46"/>
    <x:mergeCell ref="A47:D47"/>
    <x:mergeCell ref="F47:G47"/>
    <x:mergeCell ref="H47:P47"/>
    <x:mergeCell ref="A48:D48"/>
    <x:mergeCell ref="F48:G48"/>
    <x:mergeCell ref="H48:P48"/>
    <x:mergeCell ref="A49:D49"/>
    <x:mergeCell ref="F49:G49"/>
    <x:mergeCell ref="H49:P49"/>
    <x:mergeCell ref="A50:D50"/>
    <x:mergeCell ref="F50:G50"/>
    <x:mergeCell ref="H50:P50"/>
    <x:mergeCell ref="A51:D51"/>
    <x:mergeCell ref="F51:G51"/>
    <x:mergeCell ref="H51:P51"/>
    <x:mergeCell ref="A52:D52"/>
    <x:mergeCell ref="F52:G52"/>
    <x:mergeCell ref="H52:P52"/>
    <x:mergeCell ref="A53:D53"/>
    <x:mergeCell ref="F53:G53"/>
    <x:mergeCell ref="H53:P53"/>
    <x:mergeCell ref="A54:D54"/>
    <x:mergeCell ref="F54:G54"/>
    <x:mergeCell ref="H54:P54"/>
    <x:mergeCell ref="A55:D55"/>
    <x:mergeCell ref="F55:G55"/>
    <x:mergeCell ref="H55:P55"/>
    <x:mergeCell ref="A56:D56"/>
    <x:mergeCell ref="F56:G56"/>
    <x:mergeCell ref="H56:P56"/>
    <x:mergeCell ref="A57:D57"/>
    <x:mergeCell ref="F57:G57"/>
    <x:mergeCell ref="H57:P57"/>
    <x:mergeCell ref="A58:D58"/>
    <x:mergeCell ref="F58:G58"/>
    <x:mergeCell ref="H58:P58"/>
    <x:mergeCell ref="A59:D59"/>
    <x:mergeCell ref="F59:G59"/>
    <x:mergeCell ref="H59:P59"/>
    <x:mergeCell ref="A60:D60"/>
    <x:mergeCell ref="F60:G60"/>
    <x:mergeCell ref="H60:P60"/>
    <x:mergeCell ref="A61:D61"/>
    <x:mergeCell ref="F61:G61"/>
    <x:mergeCell ref="H61:P61"/>
    <x:mergeCell ref="A62:D62"/>
    <x:mergeCell ref="F62:G62"/>
    <x:mergeCell ref="H62:P62"/>
    <x:mergeCell ref="A65:P65"/>
    <x:mergeCell ref="A66:P66"/>
    <x:mergeCell ref="A103:P103"/>
    <x:mergeCell ref="A104:P104"/>
    <x:mergeCell ref="C105:H105"/>
    <x:mergeCell ref="I105:K105"/>
    <x:mergeCell ref="L105:P105"/>
    <x:mergeCell ref="C106:H106"/>
    <x:mergeCell ref="I106:K106"/>
    <x:mergeCell ref="L106:P106"/>
    <x:mergeCell ref="C107:H107"/>
    <x:mergeCell ref="I107:K107"/>
    <x:mergeCell ref="L107:P107"/>
    <x:mergeCell ref="C108:H108"/>
    <x:mergeCell ref="I108:K108"/>
    <x:mergeCell ref="L108:P108"/>
    <x:mergeCell ref="C109:H109"/>
    <x:mergeCell ref="I109:K109"/>
    <x:mergeCell ref="L109:P109"/>
    <x:mergeCell ref="C110:H110"/>
    <x:mergeCell ref="I110:K110"/>
    <x:mergeCell ref="L110:P110"/>
    <x:mergeCell ref="C111:H111"/>
    <x:mergeCell ref="I111:K111"/>
    <x:mergeCell ref="L111:P111"/>
    <x:mergeCell ref="C112:H112"/>
    <x:mergeCell ref="I112:K112"/>
    <x:mergeCell ref="L112:P112"/>
    <x:mergeCell ref="C113:H113"/>
    <x:mergeCell ref="I113:K113"/>
    <x:mergeCell ref="L113:P113"/>
    <x:mergeCell ref="C114:H114"/>
    <x:mergeCell ref="I114:K114"/>
    <x:mergeCell ref="L114:P114"/>
    <x:mergeCell ref="A117:P117"/>
    <x:mergeCell ref="A118:P118"/>
    <x:mergeCell ref="A127:P127"/>
    <x:mergeCell ref="A128:P128"/>
    <x:mergeCell ref="A155:P155"/>
    <x:mergeCell ref="A156:B156"/>
    <x:mergeCell ref="C156:D156"/>
    <x:mergeCell ref="E156:F156"/>
    <x:mergeCell ref="G156:I156"/>
    <x:mergeCell ref="J156:K156"/>
    <x:mergeCell ref="L156:P156"/>
    <x:mergeCell ref="A157:B157"/>
    <x:mergeCell ref="C157:D157"/>
    <x:mergeCell ref="E157:F157"/>
    <x:mergeCell ref="G157:I157"/>
    <x:mergeCell ref="J157:K157"/>
    <x:mergeCell ref="L157:P157"/>
    <x:mergeCell ref="A158:B158"/>
    <x:mergeCell ref="C158:D158"/>
    <x:mergeCell ref="E158:F158"/>
    <x:mergeCell ref="G158:I158"/>
    <x:mergeCell ref="J158:K158"/>
    <x:mergeCell ref="L158:P158"/>
    <x:mergeCell ref="A159:B159"/>
    <x:mergeCell ref="C159:D159"/>
    <x:mergeCell ref="E159:F159"/>
    <x:mergeCell ref="G159:I159"/>
    <x:mergeCell ref="J159:K159"/>
    <x:mergeCell ref="L159:P159"/>
    <x:mergeCell ref="A160:B160"/>
    <x:mergeCell ref="C160:D160"/>
    <x:mergeCell ref="E160:F160"/>
    <x:mergeCell ref="G160:I160"/>
    <x:mergeCell ref="J160:K160"/>
    <x:mergeCell ref="L160:P160"/>
    <x:mergeCell ref="A161:B161"/>
    <x:mergeCell ref="C161:D161"/>
    <x:mergeCell ref="E161:F161"/>
    <x:mergeCell ref="G161:I161"/>
    <x:mergeCell ref="J161:K161"/>
    <x:mergeCell ref="L161:P161"/>
    <x:mergeCell ref="A162:B162"/>
    <x:mergeCell ref="C162:D162"/>
    <x:mergeCell ref="E162:F162"/>
    <x:mergeCell ref="G162:I162"/>
    <x:mergeCell ref="J162:K162"/>
    <x:mergeCell ref="L162:P162"/>
    <x:mergeCell ref="A163:B163"/>
    <x:mergeCell ref="C163:D163"/>
    <x:mergeCell ref="E163:F163"/>
    <x:mergeCell ref="G163:I163"/>
    <x:mergeCell ref="J163:K163"/>
    <x:mergeCell ref="L163:P163"/>
    <x:mergeCell ref="A164:B164"/>
    <x:mergeCell ref="C164:D164"/>
    <x:mergeCell ref="E164:F164"/>
    <x:mergeCell ref="G164:I164"/>
    <x:mergeCell ref="J164:K164"/>
    <x:mergeCell ref="L164:P164"/>
    <x:mergeCell ref="A165:B165"/>
    <x:mergeCell ref="C165:D165"/>
    <x:mergeCell ref="E165:F165"/>
    <x:mergeCell ref="G165:I165"/>
    <x:mergeCell ref="J165:K165"/>
    <x:mergeCell ref="L165:P165"/>
    <x:mergeCell ref="A166:B166"/>
    <x:mergeCell ref="C166:D166"/>
    <x:mergeCell ref="E166:F166"/>
    <x:mergeCell ref="G166:I166"/>
    <x:mergeCell ref="J166:K166"/>
    <x:mergeCell ref="L166:P166"/>
    <x:mergeCell ref="A169:P169"/>
    <x:mergeCell ref="A170:P170"/>
    <x:mergeCell ref="A177:P177"/>
    <x:mergeCell ref="A178:P178"/>
    <x:mergeCell ref="A179:P179"/>
    <x:mergeCell ref="A484:P484"/>
  </x:mergeCells>
  <x:dataValidations count="5">
    <x:dataValidation type="whole" operator="between" sqref="E32">
      <x:formula1>0</x:formula1>
      <x:formula2>300</x:formula2>
    </x:dataValidation>
    <x:dataValidation type="whole" operator="between" sqref="E36">
      <x:formula1>0</x:formula1>
      <x:formula2>100</x:formula2>
    </x:dataValidation>
    <x:dataValidation type="whole" operator="between" sqref="E40">
      <x:formula1>0</x:formula1>
      <x:formula2>50</x:formula2>
    </x:dataValidation>
    <x:dataValidation type="whole" operator="between" sqref="E61">
      <x:formula1>0</x:formula1>
      <x:formula2>50</x:formula2>
    </x:dataValidation>
    <x:dataValidation type="whole" operator="between" sqref="E62">
      <x:formula1>0</x:formula1>
      <x:formula2>50</x:formula2>
    </x:dataValidation>
  </x:dataValidation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StageDefinitions</vt:lpstr>
      <vt:lpstr>StageMonsters</vt:lpstr>
      <vt:lpstr>BossFlow</vt:lpstr>
      <vt:lpstr>KillCountFlow</vt:lpstr>
      <vt:lpstr>CodeLists</vt:lpstr>
      <vt:lpstr>Guide</vt:lpstr>
      <vt:lpstr>MonsterNameList</vt:lpstr>
      <vt:lpstr>Guide!Print_Area</vt:lpstr>
      <vt:lpstr>TargetMonsterTypeList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규성 문</cp:lastModifiedBy>
  <dcterms:created xsi:type="dcterms:W3CDTF">2026-09-05T08:24:56Z</dcterms:created>
  <dcterms:modified xsi:type="dcterms:W3CDTF">2026-09-05T08:28:28Z</dcterms:modified>
</cp:coreProperties>
</file>