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  <Override PartName="/xl/worksheets/sheet3.xml" ContentType="application/vnd.openxmlformats-officedocument.spreadsheetml.worksheet+xml"/>
  <Override PartName="/xl/tables/table3.xml" ContentType="application/vnd.openxmlformats-officedocument.spreadsheetml.table+xml"/>
  <Override PartName="/xl/worksheets/sheet4.xml" ContentType="application/vnd.openxmlformats-officedocument.spreadsheetml.worksheet+xml"/>
  <Override PartName="/xl/tables/table4.xml" ContentType="application/vnd.openxmlformats-officedocument.spreadsheetml.table+xml"/>
  <Override PartName="/xl/worksheets/sheet5.xml" ContentType="application/vnd.openxmlformats-officedocument.spreadsheetml.worksheet+xml"/>
  <Override PartName="/xl/tables/table5.xml" ContentType="application/vnd.openxmlformats-officedocument.spreadsheetml.table+xml"/>
  <Override PartName="/xl/worksheets/sheet6.xml" ContentType="application/vnd.openxmlformats-officedocument.spreadsheetml.worksheet+xml"/>
  <Override PartName="/xl/tables/table6.xml" ContentType="application/vnd.openxmlformats-officedocument.spreadsheetml.table+xml"/>
  <Override PartName="/xl/worksheets/sheet7.xml" ContentType="application/vnd.openxmlformats-officedocument.spreadsheetml.worksheet+xml"/>
  <Override PartName="/xl/tables/table7.xml" ContentType="application/vnd.openxmlformats-officedocument.spreadsheetml.table+xml"/>
  <Override PartName="/xl/worksheets/sheet8.xml" ContentType="application/vnd.openxmlformats-officedocument.spreadsheetml.worksheet+xml"/>
  <Override PartName="/xl/tables/table8.xml" ContentType="application/vnd.openxmlformats-officedocument.spreadsheetml.table+xml"/>
  <Override PartName="/xl/worksheets/sheet9.xml" ContentType="application/vnd.openxmlformats-officedocument.spreadsheetml.worksheet+xml"/>
  <Override PartName="/xl/tables/table9.xml" ContentType="application/vnd.openxmlformats-officedocument.spreadsheetml.table+xml"/>
  <Override PartName="/xl/worksheets/sheet10.xml" ContentType="application/vnd.openxmlformats-officedocument.spreadsheetml.worksheet+xml"/>
  <Override PartName="/xl/tables/table10.xml" ContentType="application/vnd.openxmlformats-officedocument.spreadsheetml.table+xml"/>
  <Override PartName="/xl/worksheets/sheet11.xml" ContentType="application/vnd.openxmlformats-officedocument.spreadsheetml.worksheet+xml"/>
  <Override PartName="/xl/tables/table11.xml" ContentType="application/vnd.openxmlformats-officedocument.spreadsheetml.table+xml"/>
  <Override PartName="/xl/worksheets/sheet12.xml" ContentType="application/vnd.openxmlformats-officedocument.spreadsheetml.worksheet+xml"/>
  <Override PartName="/xl/tables/table12.xml" ContentType="application/vnd.openxmlformats-officedocument.spreadsheetml.table+xml"/>
  <Override PartName="/xl/worksheets/sheet13.xml" ContentType="application/vnd.openxmlformats-officedocument.spreadsheetml.worksheet+xml"/>
  <Override PartName="/xl/tables/table13.xml" ContentType="application/vnd.openxmlformats-officedocument.spreadsheetml.table+xml"/>
  <Override PartName="/xl/worksheets/sheet14.xml" ContentType="application/vnd.openxmlformats-officedocument.spreadsheetml.worksheet+xml"/>
  <Override PartName="/xl/tables/table14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f4dd50ff9a104472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tageDefinitions" sheetId="1" r:id="Rc62eb4cbc8bd4e43"/>
    <x:sheet xmlns:r="http://schemas.openxmlformats.org/officeDocument/2006/relationships" name="StageMonsters" sheetId="2" r:id="R57f7391c14f742e7"/>
    <x:sheet xmlns:r="http://schemas.openxmlformats.org/officeDocument/2006/relationships" name="MainBalance" sheetId="3" r:id="R2e04f3b3a3ce4d82"/>
    <x:sheet xmlns:r="http://schemas.openxmlformats.org/officeDocument/2006/relationships" name="GoldBalance" sheetId="4" r:id="R321cdbd962854227"/>
    <x:sheet xmlns:r="http://schemas.openxmlformats.org/officeDocument/2006/relationships" name="RubyBalance" sheetId="5" r:id="R69a82f2fe5d943f9"/>
    <x:sheet xmlns:r="http://schemas.openxmlformats.org/officeDocument/2006/relationships" name="RubyRewards" sheetId="6" r:id="Rc11927b83f954f2e"/>
    <x:sheet xmlns:r="http://schemas.openxmlformats.org/officeDocument/2006/relationships" name="FirstClearRewards" sheetId="7" r:id="R4215a5ffaa57451a"/>
    <x:sheet xmlns:r="http://schemas.openxmlformats.org/officeDocument/2006/relationships" name="MonsterCatalog" sheetId="8" r:id="R4febbb997d03498d"/>
    <x:sheet xmlns:r="http://schemas.openxmlformats.org/officeDocument/2006/relationships" name="EnvironmentPresets" sheetId="9" r:id="R9a4a72c5cbd3439a"/>
    <x:sheet xmlns:r="http://schemas.openxmlformats.org/officeDocument/2006/relationships" name="KillCountFlow" sheetId="10" r:id="Rdcfe1b686dbf4cc9"/>
    <x:sheet xmlns:r="http://schemas.openxmlformats.org/officeDocument/2006/relationships" name="Inputs" sheetId="11" r:id="Rf92751e215564ea3"/>
    <x:sheet xmlns:r="http://schemas.openxmlformats.org/officeDocument/2006/relationships" name="Growth" sheetId="12" r:id="Ra9b6114ea84f4b42"/>
    <x:sheet xmlns:r="http://schemas.openxmlformats.org/officeDocument/2006/relationships" name="Income" sheetId="13" r:id="Rbbdd68d0665349b4"/>
    <x:sheet xmlns:r="http://schemas.openxmlformats.org/officeDocument/2006/relationships" name="Guide" sheetId="14" r:id="R21022588aad54a92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0">
    <x:numFmt numFmtId="200" formatCode="#,##0;[Red]-#,##0;0"/>
    <x:numFmt numFmtId="201" formatCode="0.000"/>
    <x:numFmt numFmtId="202" formatCode="0.0%"/>
    <x:numFmt numFmtId="203" formatCode="0"/>
    <x:numFmt numFmtId="204" formatCode="0%"/>
    <x:numFmt numFmtId="205" formatCode="0.0"/>
    <x:numFmt numFmtId="206" formatCode="0;&quot;—&quot;;0"/>
    <x:numFmt numFmtId="207" formatCode="0.00&quot;×&quot;"/>
    <x:numFmt numFmtId="208" formatCode="0.00"/>
    <x:numFmt numFmtId="209" formatCode="0.##"/>
  </x:numFmts>
  <x:fonts count="12">
    <x:font>
      <x:sz val="11"/>
      <x:name val="Carlito"/>
    </x:font>
    <x:font>
      <x:sz val="11"/>
      <x:color rgb="FF206447"/>
      <x:name val="Carlito"/>
    </x:font>
    <x:font>
      <x:sz val="11"/>
      <x:name val="Malgun Gothic"/>
    </x:font>
    <x:font>
      <x:sz val="11"/>
      <x:color rgb="FF206447"/>
      <x:name val="Malgun Gothic"/>
    </x:font>
    <x:font>
      <x:sz val="10"/>
      <x:name val="Malgun Gothic"/>
    </x:font>
    <x:font>
      <x:sz val="10"/>
      <x:color rgb="FF206447"/>
      <x:name val="Malgun Gothic"/>
    </x:font>
    <x:font>
      <x:sz val="10"/>
      <x:color rgb="FF213547"/>
      <x:name val="Malgun Gothic"/>
    </x:font>
    <x:font>
      <x:sz val="10"/>
      <x:color rgb="FFFFFFFF"/>
      <x:name val="Malgun Gothic"/>
    </x:font>
    <x:font>
      <x:b/>
      <x:sz val="10"/>
      <x:color rgb="FFFFFFFF"/>
      <x:name val="Malgun Gothic"/>
    </x:font>
    <x:font>
      <x:sz val="10"/>
      <x:color rgb="FF254E8A"/>
      <x:name val="Malgun Gothic"/>
    </x:font>
    <x:font>
      <x:sz val="11"/>
      <x:color rgb="FF24374B"/>
      <x:name val="맑은 고딕"/>
    </x:font>
    <x:font>
      <x:sz val="11"/>
      <x:color rgb="FF1763B1"/>
      <x:name val="맑은 고딕"/>
    </x:font>
  </x:fonts>
  <x:fills count="5">
    <x:fill>
      <x:patternFill patternType="none"/>
    </x:fill>
    <x:fill>
      <x:patternFill patternType="gray125"/>
    </x:fill>
    <x:fill>
      <x:patternFill patternType="solid">
        <x:fgColor rgb="FF253E52"/>
      </x:patternFill>
    </x:fill>
    <x:fill>
      <x:patternFill patternType="solid">
        <x:fgColor rgb="FFEDF3FF"/>
      </x:patternFill>
    </x:fill>
    <x:fill>
      <x:patternFill patternType="solid">
        <x:fgColor rgb="FFEDF3FF"/>
      </x:patternFill>
    </x:fill>
  </x:fills>
  <x:borders count="1">
    <x:border/>
  </x:borders>
  <x:cellStyleXfs count="1">
    <x:xf numFmtId="0" fontId="0" fillId="0" borderId="0"/>
  </x:cellStyleXfs>
  <x:cellXfs count="40">
    <x:xf numFmtId="0" fontId="0" fillId="0" borderId="0" xfId="0"/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1" fillId="0" borderId="0" xfId="0" applyNumberFormat="1" applyFont="1" applyFill="1" applyBorder="1"/>
    <x:xf numFmtId="0" fontId="2" fillId="0" borderId="0" xfId="0" applyNumberFormat="1" applyFont="1" applyFill="1" applyBorder="1"/>
    <x:xf numFmtId="0" fontId="3" fillId="0" borderId="0" xfId="0" applyNumberFormat="1" applyFont="1" applyFill="1" applyBorder="1"/>
    <x:xf numFmtId="0" fontId="2" fillId="0" borderId="0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4" fillId="0" borderId="0" xfId="0" applyNumberFormat="1" applyFont="1" applyFill="1" applyBorder="1"/>
    <x:xf numFmtId="0" fontId="5" fillId="0" borderId="0" xfId="0" applyNumberFormat="1" applyFont="1" applyFill="1" applyBorder="1"/>
    <x:xf numFmtId="0" fontId="4" fillId="0" borderId="0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/>
    <x:xf numFmtId="0" fontId="6" fillId="0" borderId="0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center"/>
    </x:xf>
    <x:xf numFmtId="0" fontId="6" fillId="0" borderId="0" xfId="0" applyNumberFormat="1" applyFont="1" applyFill="1" applyBorder="1" applyAlignment="1">
      <x:alignment vertical="center"/>
      <x:extLst>
        <x:ext uri="{C7286773-470A-42A8-94C5-96B5CB345126}">
          <xfpb:xfComplement xmlns:xfpb="http://schemas.microsoft.com/office/spreadsheetml/2022/featurepropertybag" i="0"/>
        </x:ext>
      </x:extLst>
    </x:xf>
    <x:xf numFmtId="200" fontId="6" fillId="0" borderId="0" xfId="0" applyNumberFormat="1" applyFont="1" applyFill="1" applyBorder="1" applyAlignment="1">
      <x:alignment vertical="center"/>
    </x:xf>
    <x:xf numFmtId="200" fontId="6" fillId="0" borderId="0" xfId="0" applyNumberFormat="1" applyFont="1" applyFill="1" applyBorder="1" applyAlignment="1">
      <x:alignment vertical="center"/>
      <x:extLst>
        <x:ext uri="{C7286773-470A-42A8-94C5-96B5CB345126}">
          <xfpb:xfComplement xmlns:xfpb="http://schemas.microsoft.com/office/spreadsheetml/2022/featurepropertybag" i="0"/>
        </x:ext>
      </x:extLst>
    </x:xf>
    <x:xf numFmtId="200" fontId="6" fillId="2" borderId="0" xfId="0" applyNumberFormat="1" applyFont="1" applyFill="1" applyBorder="1" applyAlignment="1">
      <x:alignment vertical="center"/>
    </x:xf>
    <x:xf numFmtId="200" fontId="7" fillId="2" borderId="0" xfId="0" applyNumberFormat="1" applyFont="1" applyFill="1" applyBorder="1" applyAlignment="1">
      <x:alignment vertical="center"/>
    </x:xf>
    <x:xf numFmtId="200" fontId="8" fillId="2" borderId="0" xfId="0" applyNumberFormat="1" applyFont="1" applyFill="1" applyBorder="1" applyAlignment="1">
      <x:alignment vertical="center"/>
    </x:xf>
    <x:xf numFmtId="200" fontId="8" fillId="2" borderId="0" xfId="0" applyNumberFormat="1" applyFont="1" applyFill="1" applyBorder="1" applyAlignment="1">
      <x:alignment vertical="center" wrapText="1"/>
    </x:xf>
    <x:xf numFmtId="200" fontId="9" fillId="0" borderId="0" xfId="0" applyNumberFormat="1" applyFont="1" applyFill="1" applyBorder="1" applyAlignment="1">
      <x:alignment vertical="center"/>
    </x:xf>
    <x:xf numFmtId="200" fontId="9" fillId="0" borderId="0" xfId="0" applyNumberFormat="1" applyFont="1" applyFill="1" applyBorder="1" applyAlignment="1">
      <x:alignment vertical="center"/>
      <x:extLst>
        <x:ext uri="{C7286773-470A-42A8-94C5-96B5CB345126}">
          <xfpb:xfComplement xmlns:xfpb="http://schemas.microsoft.com/office/spreadsheetml/2022/featurepropertybag" i="0"/>
        </x:ext>
      </x:extLst>
    </x:xf>
    <x:xf numFmtId="200" fontId="5" fillId="0" borderId="0" xfId="0" applyNumberFormat="1" applyFont="1" applyFill="1" applyBorder="1" applyAlignment="1">
      <x:alignment vertical="center"/>
    </x:xf>
    <x:xf numFmtId="201" fontId="9" fillId="0" borderId="0" xfId="0" applyNumberFormat="1" applyFont="1" applyFill="1" applyBorder="1" applyAlignment="1">
      <x:alignment vertical="center"/>
    </x:xf>
    <x:xf numFmtId="202" fontId="5" fillId="0" borderId="0" xfId="0" applyNumberFormat="1" applyFont="1" applyFill="1" applyBorder="1" applyAlignment="1">
      <x:alignment vertical="center"/>
    </x:xf>
    <x:xf numFmtId="203" fontId="6" fillId="0" borderId="0" xfId="0" applyNumberFormat="1" applyFont="1" applyFill="1" applyBorder="1" applyAlignment="1">
      <x:alignment vertical="center"/>
    </x:xf>
    <x:xf numFmtId="204" fontId="9" fillId="0" borderId="0" xfId="0" applyNumberFormat="1" applyFont="1" applyFill="1" applyBorder="1" applyAlignment="1">
      <x:alignment vertical="center"/>
    </x:xf>
    <x:xf numFmtId="205" fontId="5" fillId="0" borderId="0" xfId="0" applyNumberFormat="1" applyFont="1" applyFill="1" applyBorder="1" applyAlignment="1">
      <x:alignment vertical="center"/>
    </x:xf>
    <x:xf numFmtId="206" fontId="9" fillId="0" borderId="0" xfId="0" applyNumberFormat="1" applyFont="1" applyFill="1" applyBorder="1" applyAlignment="1">
      <x:alignment vertical="center"/>
    </x:xf>
    <x:xf numFmtId="203" fontId="8" fillId="2" borderId="0" xfId="0" applyNumberFormat="1" applyFont="1" applyFill="1" applyBorder="1" applyAlignment="1">
      <x:alignment vertical="center" wrapText="1"/>
    </x:xf>
    <x:xf numFmtId="207" fontId="5" fillId="0" borderId="0" xfId="0" applyNumberFormat="1" applyFont="1" applyFill="1" applyBorder="1" applyAlignment="1">
      <x:alignment vertical="center"/>
    </x:xf>
    <x:xf numFmtId="200" fontId="9" fillId="0" borderId="0" xfId="0" applyNumberFormat="1" applyFont="1" applyFill="1" applyBorder="1" applyAlignment="1">
      <x:alignment vertical="center" wrapText="1"/>
    </x:xf>
    <x:xf numFmtId="208" fontId="0" fillId="0" borderId="0" xfId="0" applyNumberFormat="1" applyFont="1" applyFill="1" applyBorder="1"/>
    <x:xf numFmtId="208" fontId="9" fillId="0" borderId="0" xfId="0" applyNumberFormat="1" applyFont="1" applyFill="1" applyBorder="1" applyAlignment="1">
      <x:alignment vertical="center"/>
    </x:xf>
    <x:xf numFmtId="209" fontId="0" fillId="0" borderId="0" xfId="0" applyNumberFormat="1" applyFont="1" applyFill="1" applyBorder="1"/>
    <x:xf numFmtId="0" fontId="10" fillId="0" borderId="0" xfId="0" applyNumberFormat="1" applyFont="1" applyFill="1" applyBorder="1"/>
    <x:xf numFmtId="209" fontId="10" fillId="0" borderId="0" xfId="0" applyNumberFormat="1" applyFont="1" applyFill="1" applyBorder="1"/>
    <x:xf numFmtId="209" fontId="10" fillId="3" borderId="0" xfId="0" applyNumberFormat="1" applyFont="1" applyFill="1" applyBorder="1"/>
    <x:xf numFmtId="209" fontId="11" fillId="3" borderId="0" xfId="0" applyNumberFormat="1" applyFont="1" applyFill="1" applyBorder="1"/>
    <x:xf numFmtId="209" fontId="10" fillId="4" borderId="0" xfId="0" applyNumberFormat="1" applyFont="1" applyFill="1" applyBorder="1"/>
    <x:xf numFmtId="209" fontId="11" fillId="4" borderId="0" xfId="0" applyNumberFormat="1" applyFont="1" applyFill="1" applyBorder="1"/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bd9513088df44b91" /><Relationship Type="http://schemas.openxmlformats.org/officeDocument/2006/relationships/theme" Target="/xl/theme/theme1.xml" Id="R6722bc1ee6c84b02" /><Relationship Type="http://schemas.microsoft.com/office/2022/11/relationships/FeaturePropertyBag" Target="/xl/featurePropertyBag/featurePropertyBag.xml" Id="R7b8be0f30b234d34" /><Relationship Type="http://schemas.openxmlformats.org/officeDocument/2006/relationships/sharedStrings" Target="/xl/sharedStrings.xml" Id="Rdcf58e2c4ecd413b" /><Relationship Type="http://schemas.openxmlformats.org/officeDocument/2006/relationships/worksheet" Target="/xl/worksheets/sheet1.xml" Id="Rc62eb4cbc8bd4e43" /><Relationship Type="http://schemas.openxmlformats.org/officeDocument/2006/relationships/worksheet" Target="/xl/worksheets/sheet2.xml" Id="R57f7391c14f742e7" /><Relationship Type="http://schemas.openxmlformats.org/officeDocument/2006/relationships/worksheet" Target="/xl/worksheets/sheet3.xml" Id="R2e04f3b3a3ce4d82" /><Relationship Type="http://schemas.openxmlformats.org/officeDocument/2006/relationships/worksheet" Target="/xl/worksheets/sheet4.xml" Id="R321cdbd962854227" /><Relationship Type="http://schemas.openxmlformats.org/officeDocument/2006/relationships/worksheet" Target="/xl/worksheets/sheet5.xml" Id="R69a82f2fe5d943f9" /><Relationship Type="http://schemas.openxmlformats.org/officeDocument/2006/relationships/worksheet" Target="/xl/worksheets/sheet6.xml" Id="Rc11927b83f954f2e" /><Relationship Type="http://schemas.openxmlformats.org/officeDocument/2006/relationships/worksheet" Target="/xl/worksheets/sheet7.xml" Id="R4215a5ffaa57451a" /><Relationship Type="http://schemas.openxmlformats.org/officeDocument/2006/relationships/worksheet" Target="/xl/worksheets/sheet8.xml" Id="R4febbb997d03498d" /><Relationship Type="http://schemas.openxmlformats.org/officeDocument/2006/relationships/worksheet" Target="/xl/worksheets/sheet9.xml" Id="R9a4a72c5cbd3439a" /><Relationship Type="http://schemas.openxmlformats.org/officeDocument/2006/relationships/worksheet" Target="/xl/worksheets/sheet10.xml" Id="Rdcfe1b686dbf4cc9" /><Relationship Type="http://schemas.openxmlformats.org/officeDocument/2006/relationships/worksheet" Target="/xl/worksheets/sheet11.xml" Id="Rf92751e215564ea3" /><Relationship Type="http://schemas.openxmlformats.org/officeDocument/2006/relationships/worksheet" Target="/xl/worksheets/sheet12.xml" Id="Ra9b6114ea84f4b42" /><Relationship Type="http://schemas.openxmlformats.org/officeDocument/2006/relationships/worksheet" Target="/xl/worksheets/sheet13.xml" Id="Rbbdd68d0665349b4" /><Relationship Type="http://schemas.openxmlformats.org/officeDocument/2006/relationships/worksheet" Target="/xl/worksheets/sheet14.xml" Id="R21022588aad54a92" 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ables/table1.xml><?xml version="1.0" encoding="utf-8"?>
<x:table xmlns:x="http://schemas.openxmlformats.org/spreadsheetml/2006/main" id="1" name="Catalog_StageDefinitions" displayName="Catalog_StageDefinitions" ref="A1:Q44" headerRowCount="1" totalsRowCount="0" totalsRowShown="0">
  <x:tableColumns count="17">
    <x:tableColumn id="1" name="StageType"/>
    <x:tableColumn id="2" name="Stage"/>
    <x:tableColumn id="3" name="Wave"/>
    <x:tableColumn id="4" name="FlowType"/>
    <x:tableColumn id="5" name="EnvironmentId"/>
    <x:tableColumn id="6" name="MonsterStatMultiplier"/>
    <x:tableColumn id="7" name="SpawnPointSetId"/>
    <x:tableColumn id="8" name="FlowConfigId"/>
    <x:tableColumn id="9" name="RewardGroupId"/>
    <x:tableColumn id="10" name="TimeLimitSec"/>
    <x:tableColumn id="11" name="LoopSpawnIntervalSec"/>
    <x:tableColumn id="12" name="LoopSpawnAliveThreshold"/>
    <x:tableColumn id="13" name="BgmType"/>
    <x:tableColumn id="14" name="Enabled"/>
    <x:tableColumn id="15" name="EnvironmentPoolId"/>
    <x:tableColumn id="16" name="BatchDelaySec"/>
    <x:tableColumn id="17" name="ResetTimerPerEnemy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Catalog_StageMonsters" displayName="Catalog_StageMonsters" ref="A1:J134" headerRowCount="1" totalsRowCount="0" totalsRowShown="0">
  <x:tableColumns count="10">
    <x:tableColumn id="1" name="StageType"/>
    <x:tableColumn id="2" name="Stage"/>
    <x:tableColumn id="3" name="Wave"/>
    <x:tableColumn id="4" name="MonsterName"/>
    <x:tableColumn id="5" name="Count"/>
    <x:tableColumn id="6" name="SpawnWeight"/>
    <x:tableColumn id="7" name="SpawnPhase"/>
    <x:tableColumn id="8" name="SpawnPointGroupId"/>
    <x:tableColumn id="9" name="SpawnDelaySec"/>
    <x:tableColumn id="10" name="EnemyIndex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Catalog_MainBalance" displayName="Catalog_MainBalance" ref="A1:P34" headerRowCount="1" totalsRowCount="0" totalsRowShown="0">
  <x:tableColumns count="16">
    <x:tableColumn id="1" name="Stage"/>
    <x:tableColumn id="2" name="Wave"/>
    <x:tableColumn id="3" name="ProgressIndex"/>
    <x:tableColumn id="4" name="Concept"/>
    <x:tableColumn id="5" name="Encounter"/>
    <x:tableColumn id="6" name="Count"/>
    <x:tableColumn id="7" name="HP"/>
    <x:tableColumn id="8" name="ATK"/>
    <x:tableColumn id="9" name="GoldEach"/>
    <x:tableColumn id="10" name="GoldWave"/>
    <x:tableColumn id="11" name="ExpEach"/>
    <x:tableColumn id="12" name="ExpWave"/>
    <x:tableColumn id="13" name="EquipmentDropRate"/>
    <x:tableColumn id="14" name="TimeLimitSec"/>
    <x:tableColumn id="15" name="GoldPerMinute"/>
    <x:tableColumn id="16" name="StageId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Catalog_GoldBalance" displayName="Catalog_GoldBalance" ref="A1:M6" headerRowCount="1" totalsRowCount="0" totalsRowShown="0">
  <x:tableColumns count="13">
    <x:tableColumn id="1" name="Difficulty"/>
    <x:tableColumn id="2" name="Count"/>
    <x:tableColumn id="3" name="HP"/>
    <x:tableColumn id="4" name="ATK"/>
    <x:tableColumn id="5" name="TimeLimitSec"/>
    <x:tableColumn id="6" name="GoldEach"/>
    <x:tableColumn id="7" name="GoldTotal"/>
    <x:tableColumn id="8" name="GoldDropRate"/>
    <x:tableColumn id="9" name="ExpEach"/>
    <x:tableColumn id="10" name="CoinsEach"/>
    <x:tableColumn id="11" name="EquipmentDropRate"/>
    <x:tableColumn id="12" name="DailyTickets"/>
    <x:tableColumn id="13" name="DailyGold"/>
  </x:tableColumns>
  <x:tableStyleInfo name="TableStyleMedium2" showFirstColumn="0" showLastColumn="0" showRowStripes="1" showColumnStripes="0"/>
</x:table>
</file>

<file path=xl/tables/table5.xml><?xml version="1.0" encoding="utf-8"?>
<x:table xmlns:x="http://schemas.openxmlformats.org/spreadsheetml/2006/main" id="5" name="Catalog_RubyBalance" displayName="Catalog_RubyBalance" ref="A1:I16" headerRowCount="1" totalsRowCount="0" totalsRowShown="0">
  <x:tableColumns count="9">
    <x:tableColumn id="1" name="Difficulty"/>
    <x:tableColumn id="2" name="EnemyIndex"/>
    <x:tableColumn id="3" name="MonsterName"/>
    <x:tableColumn id="4" name="HP"/>
    <x:tableColumn id="5" name="ATK"/>
    <x:tableColumn id="6" name="TimeLimitSec"/>
    <x:tableColumn id="7" name="AttackIntervalSec"/>
    <x:tableColumn id="8" name="Knockback"/>
    <x:tableColumn id="9" name="RubyEach"/>
  </x:tableColumns>
  <x:tableStyleInfo name="TableStyleMedium2" showFirstColumn="0" showLastColumn="0" showRowStripes="1" showColumnStripes="0"/>
</x:table>
</file>

<file path=xl/tables/table6.xml><?xml version="1.0" encoding="utf-8"?>
<x:table xmlns:x="http://schemas.openxmlformats.org/spreadsheetml/2006/main" id="6" name="Catalog_RubyRewards" displayName="Catalog_RubyRewards" ref="A1:G6" headerRowCount="1" totalsRowCount="0" totalsRowShown="0">
  <x:tableColumns count="7">
    <x:tableColumn id="1" name="Difficulty"/>
    <x:tableColumn id="2" name="ClearRuby"/>
    <x:tableColumn id="3" name="FirstClearRuby"/>
    <x:tableColumn id="4" name="FirstClearTotal"/>
    <x:tableColumn id="5" name="SuccessRate"/>
    <x:tableColumn id="6" name="FailureRuby"/>
    <x:tableColumn id="7" name="MinimumDps"/>
  </x:tableColumns>
  <x:tableStyleInfo name="TableStyleMedium2" showFirstColumn="0" showLastColumn="0" showRowStripes="1" showColumnStripes="0"/>
</x:table>
</file>

<file path=xl/tables/table7.xml><?xml version="1.0" encoding="utf-8"?>
<x:table xmlns:x="http://schemas.openxmlformats.org/spreadsheetml/2006/main" id="7" name="Catalog_FirstClearRewards" displayName="Catalog_FirstClearRewards" ref="A1:K11" headerRowCount="1" totalsRowCount="0" totalsRowShown="0">
  <x:tableColumns count="11">
    <x:tableColumn id="1" name="Stage"/>
    <x:tableColumn id="2" name="Wave"/>
    <x:tableColumn id="3" name="AncientCoins"/>
    <x:tableColumn id="4" name="ClassFragments"/>
    <x:tableColumn id="5" name="UnlockSkillId"/>
    <x:tableColumn id="6" name="FragmentSkillId"/>
    <x:tableColumn id="7" name="SkillFragments"/>
    <x:tableColumn id="8" name="WeaponJob"/>
    <x:tableColumn id="9" name="WeaponATK"/>
    <x:tableColumn id="10" name="Unlocks"/>
    <x:tableColumn id="11" name="Notes"/>
  </x:tableColumns>
  <x:tableStyleInfo name="TableStyleMedium2" showFirstColumn="0" showLastColumn="0" showRowStripes="1" showColumnStripes="0"/>
</x:table>
</file>

<file path=xl/tables/table8.xml><?xml version="1.0" encoding="utf-8"?>
<x:table xmlns:x="http://schemas.openxmlformats.org/spreadsheetml/2006/main" id="15" name="Catalog_MonsterCatalog" displayName="Catalog_MonsterCatalog" ref="A1:K42" headerRowCount="1" totalsRowCount="0" totalsRowShown="0">
  <x:tableColumns count="11">
    <x:tableColumn id="1" name="MonsterName"/>
    <x:tableColumn id="2" name="MonsterId"/>
    <x:tableColumn id="3" name="DisplayName"/>
    <x:tableColumn id="4" name="Content"/>
    <x:tableColumn id="5" name="Role"/>
    <x:tableColumn id="6" name="SizeClass"/>
    <x:tableColumn id="7" name="PrefabPath"/>
    <x:tableColumn id="8" name="MoveSpeed"/>
    <x:tableColumn id="9" name="AttackIntervalSec"/>
    <x:tableColumn id="10" name="Notes"/>
    <x:tableColumn id="11" name="AttackMultiplier"/>
  </x:tableColumns>
  <x:tableStyleInfo name="TableStyleMedium2" showFirstColumn="0" showLastColumn="0" showRowStripes="1" showColumnStripes="0"/>
</x:table>
</file>

<file path=xl/tables/table9.xml><?xml version="1.0" encoding="utf-8"?>
<x:table xmlns:x="http://schemas.openxmlformats.org/spreadsheetml/2006/main" id="9" name="Catalog_EnvironmentPresets" displayName="Catalog_EnvironmentPresets" ref="A1:F91" headerRowCount="1" totalsRowCount="0" totalsRowShown="0">
  <x:tableColumns count="6">
    <x:tableColumn id="1" name="PoolId"/>
    <x:tableColumn id="2" name="PresetId"/>
    <x:tableColumn id="3" name="PrefabPath"/>
    <x:tableColumn id="4" name="Weight"/>
    <x:tableColumn id="5" name="Enabled"/>
    <x:tableColumn id="6" name="Notes"/>
  </x:tableColumns>
  <x:tableStyleInfo name="TableStyleMedium2" showFirstColumn="0" showLastColumn="0" showRowStripes="1" showColumnStripes="0"/>
</x:table>
</file>

<file path=xl/tables/table10.xml><?xml version="1.0" encoding="utf-8"?>
<x:table xmlns:x="http://schemas.openxmlformats.org/spreadsheetml/2006/main" id="10" name="Catalog_KillCountFlow" displayName="Catalog_KillCountFlow" ref="A1:E3" headerRowCount="1" totalsRowCount="0" totalsRowShown="0">
  <x:tableColumns count="5">
    <x:tableColumn id="1" name="FlowConfigId"/>
    <x:tableColumn id="2" name="RequiredKillCount"/>
    <x:tableColumn id="3" name="TargetMonsterType"/>
    <x:tableColumn id="4" name="DefeatAction"/>
    <x:tableColumn id="5" name="Notes"/>
  </x:tableColumns>
  <x:tableStyleInfo name="TableStyleMedium2" showFirstColumn="0" showLastColumn="0" showRowStripes="1" showColumnStripes="0"/>
</x:table>
</file>

<file path=xl/tables/table11.xml><?xml version="1.0" encoding="utf-8"?>
<x:table xmlns:x="http://schemas.openxmlformats.org/spreadsheetml/2006/main" id="11" name="Catalog_Inputs" displayName="Catalog_Inputs" ref="A1:D54" headerRowCount="1" totalsRowCount="0" totalsRowShown="0">
  <x:tableColumns count="4">
    <x:tableColumn id="1" name="Key"/>
    <x:tableColumn id="2" name="Value"/>
    <x:tableColumn id="3" name="Unit"/>
    <x:tableColumn id="4" name="Description"/>
  </x:tableColumns>
  <x:tableStyleInfo name="TableStyleMedium2" showFirstColumn="0" showLastColumn="0" showRowStripes="1" showColumnStripes="0"/>
</x:table>
</file>

<file path=xl/tables/table12.xml><?xml version="1.0" encoding="utf-8"?>
<x:table xmlns:x="http://schemas.openxmlformats.org/spreadsheetml/2006/main" id="12" name="Catalog_Growth" displayName="Catalog_Growth" ref="A1:J302" headerRowCount="1" totalsRowCount="0" totalsRowShown="0">
  <x:tableColumns count="10">
    <x:tableColumn id="1" name="Level"/>
    <x:tableColumn id="2" name="GoldNextCost"/>
    <x:tableColumn id="3" name="GoldCumulative"/>
    <x:tableColumn id="4" name="GoldMultiplier"/>
    <x:tableColumn id="5" name="MageNextKnowledge"/>
    <x:tableColumn id="6" name="MageCumulative"/>
    <x:tableColumn id="7" name="MageMultiplier"/>
    <x:tableColumn id="8" name="RubyNextCost"/>
    <x:tableColumn id="9" name="RubyCumulative"/>
    <x:tableColumn id="10" name="IncomeMultiplier"/>
  </x:tableColumns>
  <x:tableStyleInfo name="TableStyleMedium2" showFirstColumn="0" showLastColumn="0" showRowStripes="1" showColumnStripes="0"/>
</x:table>
</file>

<file path=xl/tables/table13.xml><?xml version="1.0" encoding="utf-8"?>
<x:table xmlns:x="http://schemas.openxmlformats.org/spreadsheetml/2006/main" id="13" name="Catalog_Income" displayName="Catalog_Income" ref="A1:K4" headerRowCount="1" totalsRowCount="0" totalsRowShown="0">
  <x:tableColumns count="11">
    <x:tableColumn id="1" name="MainWave"/>
    <x:tableColumn id="2" name="GoldEach"/>
    <x:tableColumn id="3" name="GoldPerMinute"/>
    <x:tableColumn id="4" name="Online30Min"/>
    <x:tableColumn id="5" name="Offline8Hours"/>
    <x:tableColumn id="6" name="DailyMin2Min"/>
    <x:tableColumn id="7" name="DailyMax6Min"/>
    <x:tableColumn id="8" name="GoldDungeonDaily"/>
    <x:tableColumn id="9" name="CombinedGold"/>
    <x:tableColumn id="10" name="OfflineKills"/>
    <x:tableColumn id="11" name="OfflineExp"/>
  </x:tableColumns>
  <x:tableStyleInfo name="TableStyleMedium2" showFirstColumn="0" showLastColumn="0" showRowStripes="1" showColumnStripes="0"/>
</x:table>
</file>

<file path=xl/tables/table14.xml><?xml version="1.0" encoding="utf-8"?>
<x:table xmlns:x="http://schemas.openxmlformats.org/spreadsheetml/2006/main" id="14" name="Catalog_Guide" displayName="Catalog_Guide" ref="A1:B21" headerRowCount="1" totalsRowCount="0" totalsRowShown="0">
  <x:tableColumns count="2">
    <x:tableColumn id="1" name="Topic"/>
    <x:tableColumn id="2" name="Description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23b3015bd1024e4b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2.xml" Id="Rc3c1aff38bff4f39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3.xml" Id="R544c0e0228dd48c7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4.xml" Id="Rbd5adc78c54349ef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5.xml" Id="R6beddd802ae249e4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6.xml" Id="Rf203429704b840ba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7.xml" Id="R68d903155b794ea1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table" Target="/xl/tables/table8.xml" Id="R4e0e8b9609474f9c" /></Relationships>
</file>

<file path=xl/worksheets/_rels/sheet9.xml.rels>&#65279;<?xml version="1.0" encoding="utf-8"?><Relationships xmlns="http://schemas.openxmlformats.org/package/2006/relationships"><Relationship Type="http://schemas.openxmlformats.org/officeDocument/2006/relationships/table" Target="/xl/tables/table9.xml" Id="R6a2b2b41e24a4c48" /></Relationships>
</file>

<file path=xl/worksheets/_rels/sheet10.xml.rels>&#65279;<?xml version="1.0" encoding="utf-8"?><Relationships xmlns="http://schemas.openxmlformats.org/package/2006/relationships"><Relationship Type="http://schemas.openxmlformats.org/officeDocument/2006/relationships/table" Target="/xl/tables/table10.xml" Id="R07eb2da214a04d4a" /></Relationships>
</file>

<file path=xl/worksheets/_rels/sheet11.xml.rels>&#65279;<?xml version="1.0" encoding="utf-8"?><Relationships xmlns="http://schemas.openxmlformats.org/package/2006/relationships"><Relationship Type="http://schemas.openxmlformats.org/officeDocument/2006/relationships/table" Target="/xl/tables/table11.xml" Id="R6aa0b42470cd43be" /></Relationships>
</file>

<file path=xl/worksheets/_rels/sheet12.xml.rels>&#65279;<?xml version="1.0" encoding="utf-8"?><Relationships xmlns="http://schemas.openxmlformats.org/package/2006/relationships"><Relationship Type="http://schemas.openxmlformats.org/officeDocument/2006/relationships/table" Target="/xl/tables/table12.xml" Id="Rc987f0864ed6438e" /></Relationships>
</file>

<file path=xl/worksheets/_rels/sheet13.xml.rels>&#65279;<?xml version="1.0" encoding="utf-8"?><Relationships xmlns="http://schemas.openxmlformats.org/package/2006/relationships"><Relationship Type="http://schemas.openxmlformats.org/officeDocument/2006/relationships/table" Target="/xl/tables/table13.xml" Id="R8f4847a657d64d79" /></Relationships>
</file>

<file path=xl/worksheets/_rels/sheet14.xml.rels>&#65279;<?xml version="1.0" encoding="utf-8"?><Relationships xmlns="http://schemas.openxmlformats.org/package/2006/relationships"><Relationship Type="http://schemas.openxmlformats.org/officeDocument/2006/relationships/table" Target="/xl/tables/table14.xml" Id="R000cedcdf6a84122" /></Relationships>
</file>

<file path=xl/worksheets/sheet1.xml><?xml version="1.0" encoding="utf-8"?>
<x:worksheet xmlns:x="http://schemas.openxmlformats.org/spreadsheetml/2006/main">
  <x:sheetPr>
    <x:tabColor rgb="FF2D6176"/>
  </x:sheetPr>
  <x:sheetViews>
    <x:sheetView showGridLines="0" workbookViewId="0">
      <x:pane xSplit="1" ySplit="1" topLeftCell="B2" activePane="bottomRight" state="frozen"/>
    </x:sheetView>
  </x:sheetViews>
  <x:sheetFormatPr defaultRowHeight="15"/>
  <x:cols>
    <x:col min="1" max="1" width="18" hidden="0" customWidth="1"/>
    <x:col min="2" max="2" width="18" hidden="0" customWidth="1"/>
    <x:col min="3" max="3" width="18" hidden="0" customWidth="1"/>
    <x:col min="4" max="4" width="24" hidden="0" customWidth="1"/>
    <x:col min="5" max="5" width="24" hidden="0" customWidth="1"/>
    <x:col min="6" max="6" width="24" hidden="0" customWidth="1"/>
    <x:col min="7" max="7" width="24" hidden="0" customWidth="1"/>
    <x:col min="8" max="8" width="23" hidden="0" customWidth="1"/>
    <x:col min="9" max="9" width="23" hidden="0" customWidth="1"/>
    <x:col min="10" max="10" width="18" hidden="0" customWidth="1"/>
    <x:col min="11" max="11" width="18" hidden="0" customWidth="1"/>
    <x:col min="12" max="12" width="18" hidden="0" customWidth="1"/>
    <x:col min="13" max="13" width="18" hidden="0" customWidth="1"/>
    <x:col min="14" max="14" width="18" hidden="0" customWidth="1"/>
    <x:col min="15" max="15" width="32" hidden="0" customWidth="1"/>
    <x:col min="16" max="16" width="18" hidden="0" customWidth="1"/>
    <x:col min="17" max="17" width="18" hidden="0" customWidth="1"/>
  </x:cols>
  <x:sheetData>
    <x:row r="1" ht="43" customHeight="1">
      <x:c r="A1" s="18" t="str">
        <x:v>StageType</x:v>
      </x:c>
      <x:c r="B1" s="18" t="str">
        <x:v>Stage</x:v>
      </x:c>
      <x:c r="C1" s="18" t="str">
        <x:v>Wave</x:v>
      </x:c>
      <x:c r="D1" s="18" t="str">
        <x:v>FlowType</x:v>
      </x:c>
      <x:c r="E1" s="18" t="str">
        <x:v>EnvironmentId</x:v>
      </x:c>
      <x:c r="F1" s="18" t="str">
        <x:v>MonsterStatMultiplier</x:v>
      </x:c>
      <x:c r="G1" s="18" t="str">
        <x:v>SpawnPointSetId</x:v>
      </x:c>
      <x:c r="H1" s="18" t="str">
        <x:v>FlowConfigId</x:v>
      </x:c>
      <x:c r="I1" s="18" t="str">
        <x:v>RewardGroupId</x:v>
      </x:c>
      <x:c r="J1" s="18" t="str">
        <x:v>TimeLimitSec</x:v>
      </x:c>
      <x:c r="K1" s="18" t="str">
        <x:v>LoopSpawnIntervalSec</x:v>
      </x:c>
      <x:c r="L1" s="18" t="str">
        <x:v>LoopSpawnAliveThreshold</x:v>
      </x:c>
      <x:c r="M1" s="18" t="str">
        <x:v>BgmType</x:v>
      </x:c>
      <x:c r="N1" s="18" t="str">
        <x:v>Enabled</x:v>
      </x:c>
      <x:c r="O1" s="18" t="str">
        <x:v>EnvironmentPoolId</x:v>
      </x:c>
      <x:c r="P1" s="18" t="str">
        <x:v>BatchDelaySec</x:v>
      </x:c>
      <x:c r="Q1" s="18" t="str">
        <x:v>ResetTimerPerEnemy</x:v>
      </x:c>
    </x:row>
    <x:row r="2" ht="25" customHeight="1">
      <x:c r="A2" s="19" t="str">
        <x:v>Main</x:v>
      </x:c>
      <x:c r="B2" s="19" t="n">
        <x:v>1</x:v>
      </x:c>
      <x:c r="C2" s="19" t="n">
        <x:v>1</x:v>
      </x:c>
      <x:c r="D2" s="19" t="str">
        <x:v>MainProgression</x:v>
      </x:c>
      <x:c r="E2" s="19" t="str">
        <x:v>MainField1</x:v>
      </x:c>
      <x:c r="F2" s="19" t="n">
        <x:v>1</x:v>
      </x:c>
      <x:c r="G2" s="19" t="str">
        <x:v>MainDefault</x:v>
      </x:c>
      <x:c r="H2" s="19" t="str"/>
      <x:c r="I2" s="19" t="str">
        <x:v>balance-0-1-1</x:v>
      </x:c>
      <x:c r="J2" s="21" t="n">
        <x:f>'MainBalance'!N2</x:f>
        <x:v>0</x:v>
      </x:c>
      <x:c r="K2" s="19" t="n">
        <x:v>0</x:v>
      </x:c>
      <x:c r="L2" s="19" t="n">
        <x:v>6</x:v>
      </x:c>
      <x:c r="M2" s="19" t="str">
        <x:v>BGM</x:v>
      </x:c>
      <x:c r="N2" s="20" t="b">
        <x:v>1</x:v>
      </x:c>
      <x:c r="O2" s="19" t="str">
        <x:v>Stage01_ForestDirt/Main</x:v>
      </x:c>
      <x:c r="P2" s="19" t="n">
        <x:v>0</x:v>
      </x:c>
      <x:c r="Q2" s="20" t="b">
        <x:v>0</x:v>
      </x:c>
    </x:row>
    <x:row r="3" ht="25" customHeight="1">
      <x:c r="A3" s="19" t="str">
        <x:v>Main</x:v>
      </x:c>
      <x:c r="B3" s="19" t="n">
        <x:v>1</x:v>
      </x:c>
      <x:c r="C3" s="19" t="n">
        <x:v>2</x:v>
      </x:c>
      <x:c r="D3" s="19" t="str">
        <x:v>MainProgression</x:v>
      </x:c>
      <x:c r="E3" s="19" t="str">
        <x:v>MainField1</x:v>
      </x:c>
      <x:c r="F3" s="19" t="n">
        <x:v>1</x:v>
      </x:c>
      <x:c r="G3" s="19" t="str">
        <x:v>MainDefault</x:v>
      </x:c>
      <x:c r="H3" s="19" t="str"/>
      <x:c r="I3" s="19" t="str">
        <x:v>balance-0-1-2</x:v>
      </x:c>
      <x:c r="J3" s="21" t="n">
        <x:f>'MainBalance'!N3</x:f>
        <x:v>0</x:v>
      </x:c>
      <x:c r="K3" s="19" t="n">
        <x:v>0</x:v>
      </x:c>
      <x:c r="L3" s="19" t="n">
        <x:v>6</x:v>
      </x:c>
      <x:c r="M3" s="19" t="str">
        <x:v>BGM</x:v>
      </x:c>
      <x:c r="N3" s="20" t="b">
        <x:v>1</x:v>
      </x:c>
      <x:c r="O3" s="19" t="str">
        <x:v>Stage01_ForestDirt/Main</x:v>
      </x:c>
      <x:c r="P3" s="19" t="n">
        <x:v>0</x:v>
      </x:c>
      <x:c r="Q3" s="20" t="b">
        <x:v>0</x:v>
      </x:c>
    </x:row>
    <x:row r="4" ht="25" customHeight="1">
      <x:c r="A4" s="19" t="str">
        <x:v>Main</x:v>
      </x:c>
      <x:c r="B4" s="19" t="n">
        <x:v>1</x:v>
      </x:c>
      <x:c r="C4" s="19" t="n">
        <x:v>3</x:v>
      </x:c>
      <x:c r="D4" s="19" t="str">
        <x:v>MainProgression</x:v>
      </x:c>
      <x:c r="E4" s="19" t="str">
        <x:v>MainField1</x:v>
      </x:c>
      <x:c r="F4" s="19" t="n">
        <x:v>1</x:v>
      </x:c>
      <x:c r="G4" s="19" t="str">
        <x:v>MainDefault</x:v>
      </x:c>
      <x:c r="H4" s="19" t="str"/>
      <x:c r="I4" s="19" t="str">
        <x:v>balance-0-1-3</x:v>
      </x:c>
      <x:c r="J4" s="21" t="n">
        <x:f>'MainBalance'!N4</x:f>
        <x:v>0</x:v>
      </x:c>
      <x:c r="K4" s="19" t="n">
        <x:v>0</x:v>
      </x:c>
      <x:c r="L4" s="19" t="n">
        <x:v>6</x:v>
      </x:c>
      <x:c r="M4" s="19" t="str">
        <x:v>BGM</x:v>
      </x:c>
      <x:c r="N4" s="20" t="b">
        <x:v>1</x:v>
      </x:c>
      <x:c r="O4" s="19" t="str">
        <x:v>Stage01_ForestDirt/Main</x:v>
      </x:c>
      <x:c r="P4" s="19" t="n">
        <x:v>0</x:v>
      </x:c>
      <x:c r="Q4" s="20" t="b">
        <x:v>0</x:v>
      </x:c>
    </x:row>
    <x:row r="5" ht="25" customHeight="1">
      <x:c r="A5" s="19" t="str">
        <x:v>Main</x:v>
      </x:c>
      <x:c r="B5" s="19" t="n">
        <x:v>1</x:v>
      </x:c>
      <x:c r="C5" s="19" t="n">
        <x:v>4</x:v>
      </x:c>
      <x:c r="D5" s="19" t="str">
        <x:v>MainProgression</x:v>
      </x:c>
      <x:c r="E5" s="19" t="str">
        <x:v>MainField1</x:v>
      </x:c>
      <x:c r="F5" s="19" t="n">
        <x:v>1</x:v>
      </x:c>
      <x:c r="G5" s="19" t="str">
        <x:v>MainDefault</x:v>
      </x:c>
      <x:c r="H5" s="19" t="str"/>
      <x:c r="I5" s="19" t="str">
        <x:v>balance-0-1-4</x:v>
      </x:c>
      <x:c r="J5" s="21" t="n">
        <x:f>'MainBalance'!N5</x:f>
        <x:v>0</x:v>
      </x:c>
      <x:c r="K5" s="19" t="n">
        <x:v>0</x:v>
      </x:c>
      <x:c r="L5" s="19" t="n">
        <x:v>6</x:v>
      </x:c>
      <x:c r="M5" s="19" t="str">
        <x:v>BGM</x:v>
      </x:c>
      <x:c r="N5" s="20" t="b">
        <x:v>1</x:v>
      </x:c>
      <x:c r="O5" s="19" t="str">
        <x:v>Stage01_ForestDirt/Main</x:v>
      </x:c>
      <x:c r="P5" s="19" t="n">
        <x:v>0</x:v>
      </x:c>
      <x:c r="Q5" s="20" t="b">
        <x:v>0</x:v>
      </x:c>
    </x:row>
    <x:row r="6" ht="25" customHeight="1">
      <x:c r="A6" s="19" t="str">
        <x:v>Main</x:v>
      </x:c>
      <x:c r="B6" s="19" t="n">
        <x:v>1</x:v>
      </x:c>
      <x:c r="C6" s="19" t="n">
        <x:v>5</x:v>
      </x:c>
      <x:c r="D6" s="19" t="str">
        <x:v>MainProgression</x:v>
      </x:c>
      <x:c r="E6" s="19" t="str">
        <x:v>MainField1</x:v>
      </x:c>
      <x:c r="F6" s="19" t="n">
        <x:v>1</x:v>
      </x:c>
      <x:c r="G6" s="19" t="str">
        <x:v>MainDefault</x:v>
      </x:c>
      <x:c r="H6" s="19" t="str"/>
      <x:c r="I6" s="19" t="str">
        <x:v>balance-0-1-5</x:v>
      </x:c>
      <x:c r="J6" s="21" t="n">
        <x:f>'MainBalance'!N6</x:f>
        <x:v>0</x:v>
      </x:c>
      <x:c r="K6" s="19" t="n">
        <x:v>0</x:v>
      </x:c>
      <x:c r="L6" s="19" t="n">
        <x:v>6</x:v>
      </x:c>
      <x:c r="M6" s="19" t="str">
        <x:v>BGM</x:v>
      </x:c>
      <x:c r="N6" s="20" t="b">
        <x:v>1</x:v>
      </x:c>
      <x:c r="O6" s="19" t="str">
        <x:v>Stage01_ForestDirt/Main</x:v>
      </x:c>
      <x:c r="P6" s="19" t="n">
        <x:v>0</x:v>
      </x:c>
      <x:c r="Q6" s="20" t="b">
        <x:v>0</x:v>
      </x:c>
    </x:row>
    <x:row r="7" ht="25" customHeight="1">
      <x:c r="A7" s="19" t="str">
        <x:v>Main</x:v>
      </x:c>
      <x:c r="B7" s="19" t="n">
        <x:v>1</x:v>
      </x:c>
      <x:c r="C7" s="19" t="n">
        <x:v>6</x:v>
      </x:c>
      <x:c r="D7" s="19" t="str">
        <x:v>MainProgression</x:v>
      </x:c>
      <x:c r="E7" s="19" t="str">
        <x:v>MainField1</x:v>
      </x:c>
      <x:c r="F7" s="19" t="n">
        <x:v>1</x:v>
      </x:c>
      <x:c r="G7" s="19" t="str">
        <x:v>MainDefault</x:v>
      </x:c>
      <x:c r="H7" s="19" t="str"/>
      <x:c r="I7" s="19" t="str">
        <x:v>balance-0-1-6</x:v>
      </x:c>
      <x:c r="J7" s="21" t="n">
        <x:f>'MainBalance'!N7</x:f>
        <x:v>0</x:v>
      </x:c>
      <x:c r="K7" s="19" t="n">
        <x:v>0</x:v>
      </x:c>
      <x:c r="L7" s="19" t="n">
        <x:v>6</x:v>
      </x:c>
      <x:c r="M7" s="19" t="str">
        <x:v>BGM</x:v>
      </x:c>
      <x:c r="N7" s="20" t="b">
        <x:v>1</x:v>
      </x:c>
      <x:c r="O7" s="19" t="str">
        <x:v>Stage01_ForestDirt/Main</x:v>
      </x:c>
      <x:c r="P7" s="19" t="n">
        <x:v>0</x:v>
      </x:c>
      <x:c r="Q7" s="20" t="b">
        <x:v>0</x:v>
      </x:c>
    </x:row>
    <x:row r="8" ht="25" customHeight="1">
      <x:c r="A8" s="19" t="str">
        <x:v>Main</x:v>
      </x:c>
      <x:c r="B8" s="19" t="n">
        <x:v>1</x:v>
      </x:c>
      <x:c r="C8" s="19" t="n">
        <x:v>7</x:v>
      </x:c>
      <x:c r="D8" s="19" t="str">
        <x:v>MainProgression</x:v>
      </x:c>
      <x:c r="E8" s="19" t="str">
        <x:v>MainField1</x:v>
      </x:c>
      <x:c r="F8" s="19" t="n">
        <x:v>1</x:v>
      </x:c>
      <x:c r="G8" s="19" t="str">
        <x:v>MainDefault</x:v>
      </x:c>
      <x:c r="H8" s="19" t="str"/>
      <x:c r="I8" s="19" t="str">
        <x:v>balance-0-1-7</x:v>
      </x:c>
      <x:c r="J8" s="21" t="n">
        <x:f>'MainBalance'!N8</x:f>
        <x:v>0</x:v>
      </x:c>
      <x:c r="K8" s="19" t="n">
        <x:v>0</x:v>
      </x:c>
      <x:c r="L8" s="19" t="n">
        <x:v>6</x:v>
      </x:c>
      <x:c r="M8" s="19" t="str">
        <x:v>BGM</x:v>
      </x:c>
      <x:c r="N8" s="20" t="b">
        <x:v>1</x:v>
      </x:c>
      <x:c r="O8" s="19" t="str">
        <x:v>Stage01_ForestDirt/Main</x:v>
      </x:c>
      <x:c r="P8" s="19" t="n">
        <x:v>0</x:v>
      </x:c>
      <x:c r="Q8" s="20" t="b">
        <x:v>0</x:v>
      </x:c>
    </x:row>
    <x:row r="9" ht="25" customHeight="1">
      <x:c r="A9" s="19" t="str">
        <x:v>Main</x:v>
      </x:c>
      <x:c r="B9" s="19" t="n">
        <x:v>1</x:v>
      </x:c>
      <x:c r="C9" s="19" t="n">
        <x:v>8</x:v>
      </x:c>
      <x:c r="D9" s="19" t="str">
        <x:v>MainProgression</x:v>
      </x:c>
      <x:c r="E9" s="19" t="str">
        <x:v>MainField1</x:v>
      </x:c>
      <x:c r="F9" s="19" t="n">
        <x:v>1</x:v>
      </x:c>
      <x:c r="G9" s="19" t="str">
        <x:v>MainDefault</x:v>
      </x:c>
      <x:c r="H9" s="19" t="str"/>
      <x:c r="I9" s="19" t="str">
        <x:v>balance-0-1-8</x:v>
      </x:c>
      <x:c r="J9" s="21" t="n">
        <x:f>'MainBalance'!N9</x:f>
        <x:v>0</x:v>
      </x:c>
      <x:c r="K9" s="19" t="n">
        <x:v>0</x:v>
      </x:c>
      <x:c r="L9" s="19" t="n">
        <x:v>6</x:v>
      </x:c>
      <x:c r="M9" s="19" t="str">
        <x:v>BGM</x:v>
      </x:c>
      <x:c r="N9" s="20" t="b">
        <x:v>1</x:v>
      </x:c>
      <x:c r="O9" s="19" t="str">
        <x:v>Stage01_ForestDirt/Main</x:v>
      </x:c>
      <x:c r="P9" s="19" t="n">
        <x:v>0</x:v>
      </x:c>
      <x:c r="Q9" s="20" t="b">
        <x:v>0</x:v>
      </x:c>
    </x:row>
    <x:row r="10" ht="25" customHeight="1">
      <x:c r="A10" s="19" t="str">
        <x:v>Main</x:v>
      </x:c>
      <x:c r="B10" s="19" t="n">
        <x:v>1</x:v>
      </x:c>
      <x:c r="C10" s="19" t="n">
        <x:v>9</x:v>
      </x:c>
      <x:c r="D10" s="19" t="str">
        <x:v>MainProgression</x:v>
      </x:c>
      <x:c r="E10" s="19" t="str">
        <x:v>MainField1</x:v>
      </x:c>
      <x:c r="F10" s="19" t="n">
        <x:v>1</x:v>
      </x:c>
      <x:c r="G10" s="19" t="str">
        <x:v>MainDefault</x:v>
      </x:c>
      <x:c r="H10" s="19" t="str"/>
      <x:c r="I10" s="19" t="str">
        <x:v>balance-0-1-9</x:v>
      </x:c>
      <x:c r="J10" s="21" t="n">
        <x:f>'MainBalance'!N10</x:f>
        <x:v>0</x:v>
      </x:c>
      <x:c r="K10" s="19" t="n">
        <x:v>0</x:v>
      </x:c>
      <x:c r="L10" s="19" t="n">
        <x:v>6</x:v>
      </x:c>
      <x:c r="M10" s="19" t="str">
        <x:v>BGM</x:v>
      </x:c>
      <x:c r="N10" s="20" t="b">
        <x:v>1</x:v>
      </x:c>
      <x:c r="O10" s="19" t="str">
        <x:v>Stage01_ForestDirt/Main</x:v>
      </x:c>
      <x:c r="P10" s="19" t="n">
        <x:v>0</x:v>
      </x:c>
      <x:c r="Q10" s="20" t="b">
        <x:v>0</x:v>
      </x:c>
    </x:row>
    <x:row r="11" ht="25" customHeight="1">
      <x:c r="A11" s="19" t="str">
        <x:v>Main</x:v>
      </x:c>
      <x:c r="B11" s="19" t="n">
        <x:v>1</x:v>
      </x:c>
      <x:c r="C11" s="19" t="n">
        <x:v>10</x:v>
      </x:c>
      <x:c r="D11" s="19" t="str">
        <x:v>MainProgression</x:v>
      </x:c>
      <x:c r="E11" s="19" t="str">
        <x:v>MainField1</x:v>
      </x:c>
      <x:c r="F11" s="19" t="n">
        <x:v>1</x:v>
      </x:c>
      <x:c r="G11" s="19" t="str">
        <x:v>MainDefault</x:v>
      </x:c>
      <x:c r="H11" s="19" t="str"/>
      <x:c r="I11" s="19" t="str">
        <x:v>balance-0-1-10</x:v>
      </x:c>
      <x:c r="J11" s="21" t="n">
        <x:f>'MainBalance'!N11</x:f>
        <x:v>0</x:v>
      </x:c>
      <x:c r="K11" s="19" t="n">
        <x:v>0</x:v>
      </x:c>
      <x:c r="L11" s="19" t="n">
        <x:v>6</x:v>
      </x:c>
      <x:c r="M11" s="19" t="str">
        <x:v>BGM</x:v>
      </x:c>
      <x:c r="N11" s="20" t="b">
        <x:v>1</x:v>
      </x:c>
      <x:c r="O11" s="19" t="str">
        <x:v>Stage01_ForestDirt/Main</x:v>
      </x:c>
      <x:c r="P11" s="19" t="n">
        <x:v>0</x:v>
      </x:c>
      <x:c r="Q11" s="20" t="b">
        <x:v>0</x:v>
      </x:c>
    </x:row>
    <x:row r="12" ht="25" customHeight="1">
      <x:c r="A12" s="19" t="str">
        <x:v>Main</x:v>
      </x:c>
      <x:c r="B12" s="19" t="n">
        <x:v>1</x:v>
      </x:c>
      <x:c r="C12" s="19" t="n">
        <x:v>11</x:v>
      </x:c>
      <x:c r="D12" s="19" t="str">
        <x:v>MainProgression</x:v>
      </x:c>
      <x:c r="E12" s="19" t="str">
        <x:v>MainField1</x:v>
      </x:c>
      <x:c r="F12" s="19" t="n">
        <x:v>1</x:v>
      </x:c>
      <x:c r="G12" s="19" t="str">
        <x:v>MainDefault</x:v>
      </x:c>
      <x:c r="H12" s="19" t="str"/>
      <x:c r="I12" s="19" t="str">
        <x:v>balance-0-1-11</x:v>
      </x:c>
      <x:c r="J12" s="21" t="n">
        <x:f>'MainBalance'!N12</x:f>
        <x:v>60</x:v>
      </x:c>
      <x:c r="K12" s="19" t="n">
        <x:v>0</x:v>
      </x:c>
      <x:c r="L12" s="19" t="n">
        <x:v>1</x:v>
      </x:c>
      <x:c r="M12" s="19" t="str">
        <x:v>BGM</x:v>
      </x:c>
      <x:c r="N12" s="20" t="b">
        <x:v>1</x:v>
      </x:c>
      <x:c r="O12" s="19" t="str">
        <x:v>Stage01_ForestDirt/Boss</x:v>
      </x:c>
      <x:c r="P12" s="19" t="n">
        <x:v>0</x:v>
      </x:c>
      <x:c r="Q12" s="20" t="b">
        <x:v>0</x:v>
      </x:c>
    </x:row>
    <x:row r="13" ht="25" customHeight="1">
      <x:c r="A13" s="19" t="str">
        <x:v>Main</x:v>
      </x:c>
      <x:c r="B13" s="19" t="n">
        <x:v>2</x:v>
      </x:c>
      <x:c r="C13" s="19" t="n">
        <x:v>1</x:v>
      </x:c>
      <x:c r="D13" s="19" t="str">
        <x:v>MainProgression</x:v>
      </x:c>
      <x:c r="E13" s="19" t="str">
        <x:v>MainField2</x:v>
      </x:c>
      <x:c r="F13" s="19" t="n">
        <x:v>1</x:v>
      </x:c>
      <x:c r="G13" s="19" t="str">
        <x:v>MainDefault</x:v>
      </x:c>
      <x:c r="H13" s="19" t="str"/>
      <x:c r="I13" s="19" t="str">
        <x:v>balance-0-2-1</x:v>
      </x:c>
      <x:c r="J13" s="21" t="n">
        <x:f>'MainBalance'!N13</x:f>
        <x:v>0</x:v>
      </x:c>
      <x:c r="K13" s="19" t="n">
        <x:v>0</x:v>
      </x:c>
      <x:c r="L13" s="19" t="n">
        <x:v>6</x:v>
      </x:c>
      <x:c r="M13" s="19" t="str">
        <x:v>BGM</x:v>
      </x:c>
      <x:c r="N13" s="20" t="b">
        <x:v>1</x:v>
      </x:c>
      <x:c r="O13" s="19" t="str">
        <x:v>Stage02_ForestGrass/Main</x:v>
      </x:c>
      <x:c r="P13" s="19" t="n">
        <x:v>0</x:v>
      </x:c>
      <x:c r="Q13" s="20" t="b">
        <x:v>0</x:v>
      </x:c>
    </x:row>
    <x:row r="14" ht="25" customHeight="1">
      <x:c r="A14" s="19" t="str">
        <x:v>Main</x:v>
      </x:c>
      <x:c r="B14" s="19" t="n">
        <x:v>2</x:v>
      </x:c>
      <x:c r="C14" s="19" t="n">
        <x:v>2</x:v>
      </x:c>
      <x:c r="D14" s="19" t="str">
        <x:v>MainProgression</x:v>
      </x:c>
      <x:c r="E14" s="19" t="str">
        <x:v>MainField2</x:v>
      </x:c>
      <x:c r="F14" s="19" t="n">
        <x:v>1</x:v>
      </x:c>
      <x:c r="G14" s="19" t="str">
        <x:v>MainDefault</x:v>
      </x:c>
      <x:c r="H14" s="19" t="str"/>
      <x:c r="I14" s="19" t="str">
        <x:v>balance-0-2-2</x:v>
      </x:c>
      <x:c r="J14" s="21" t="n">
        <x:f>'MainBalance'!N14</x:f>
        <x:v>0</x:v>
      </x:c>
      <x:c r="K14" s="19" t="n">
        <x:v>0</x:v>
      </x:c>
      <x:c r="L14" s="19" t="n">
        <x:v>6</x:v>
      </x:c>
      <x:c r="M14" s="19" t="str">
        <x:v>BGM</x:v>
      </x:c>
      <x:c r="N14" s="20" t="b">
        <x:v>1</x:v>
      </x:c>
      <x:c r="O14" s="19" t="str">
        <x:v>Stage02_ForestGrass/Main</x:v>
      </x:c>
      <x:c r="P14" s="19" t="n">
        <x:v>0</x:v>
      </x:c>
      <x:c r="Q14" s="20" t="b">
        <x:v>0</x:v>
      </x:c>
    </x:row>
    <x:row r="15" ht="25" customHeight="1">
      <x:c r="A15" s="19" t="str">
        <x:v>Main</x:v>
      </x:c>
      <x:c r="B15" s="19" t="n">
        <x:v>2</x:v>
      </x:c>
      <x:c r="C15" s="19" t="n">
        <x:v>3</x:v>
      </x:c>
      <x:c r="D15" s="19" t="str">
        <x:v>MainProgression</x:v>
      </x:c>
      <x:c r="E15" s="19" t="str">
        <x:v>MainField2</x:v>
      </x:c>
      <x:c r="F15" s="19" t="n">
        <x:v>1</x:v>
      </x:c>
      <x:c r="G15" s="19" t="str">
        <x:v>MainDefault</x:v>
      </x:c>
      <x:c r="H15" s="19" t="str"/>
      <x:c r="I15" s="19" t="str">
        <x:v>balance-0-2-3</x:v>
      </x:c>
      <x:c r="J15" s="21" t="n">
        <x:f>'MainBalance'!N15</x:f>
        <x:v>0</x:v>
      </x:c>
      <x:c r="K15" s="19" t="n">
        <x:v>0</x:v>
      </x:c>
      <x:c r="L15" s="19" t="n">
        <x:v>6</x:v>
      </x:c>
      <x:c r="M15" s="19" t="str">
        <x:v>BGM</x:v>
      </x:c>
      <x:c r="N15" s="20" t="b">
        <x:v>1</x:v>
      </x:c>
      <x:c r="O15" s="19" t="str">
        <x:v>Stage02_ForestGrass/Main</x:v>
      </x:c>
      <x:c r="P15" s="19" t="n">
        <x:v>0</x:v>
      </x:c>
      <x:c r="Q15" s="20" t="b">
        <x:v>0</x:v>
      </x:c>
    </x:row>
    <x:row r="16" ht="25" customHeight="1">
      <x:c r="A16" s="19" t="str">
        <x:v>Main</x:v>
      </x:c>
      <x:c r="B16" s="19" t="n">
        <x:v>2</x:v>
      </x:c>
      <x:c r="C16" s="19" t="n">
        <x:v>4</x:v>
      </x:c>
      <x:c r="D16" s="19" t="str">
        <x:v>MainProgression</x:v>
      </x:c>
      <x:c r="E16" s="19" t="str">
        <x:v>MainField2</x:v>
      </x:c>
      <x:c r="F16" s="19" t="n">
        <x:v>1</x:v>
      </x:c>
      <x:c r="G16" s="19" t="str">
        <x:v>MainDefault</x:v>
      </x:c>
      <x:c r="H16" s="19" t="str"/>
      <x:c r="I16" s="19" t="str">
        <x:v>balance-0-2-4</x:v>
      </x:c>
      <x:c r="J16" s="21" t="n">
        <x:f>'MainBalance'!N16</x:f>
        <x:v>0</x:v>
      </x:c>
      <x:c r="K16" s="19" t="n">
        <x:v>0</x:v>
      </x:c>
      <x:c r="L16" s="19" t="n">
        <x:v>6</x:v>
      </x:c>
      <x:c r="M16" s="19" t="str">
        <x:v>BGM</x:v>
      </x:c>
      <x:c r="N16" s="20" t="b">
        <x:v>1</x:v>
      </x:c>
      <x:c r="O16" s="19" t="str">
        <x:v>Stage02_ForestGrass/Main</x:v>
      </x:c>
      <x:c r="P16" s="19" t="n">
        <x:v>0</x:v>
      </x:c>
      <x:c r="Q16" s="20" t="b">
        <x:v>0</x:v>
      </x:c>
    </x:row>
    <x:row r="17" ht="25" customHeight="1">
      <x:c r="A17" s="19" t="str">
        <x:v>Main</x:v>
      </x:c>
      <x:c r="B17" s="19" t="n">
        <x:v>2</x:v>
      </x:c>
      <x:c r="C17" s="19" t="n">
        <x:v>5</x:v>
      </x:c>
      <x:c r="D17" s="19" t="str">
        <x:v>MainProgression</x:v>
      </x:c>
      <x:c r="E17" s="19" t="str">
        <x:v>MainField2</x:v>
      </x:c>
      <x:c r="F17" s="19" t="n">
        <x:v>1</x:v>
      </x:c>
      <x:c r="G17" s="19" t="str">
        <x:v>MainDefault</x:v>
      </x:c>
      <x:c r="H17" s="19" t="str"/>
      <x:c r="I17" s="19" t="str">
        <x:v>balance-0-2-5</x:v>
      </x:c>
      <x:c r="J17" s="21" t="n">
        <x:f>'MainBalance'!N17</x:f>
        <x:v>0</x:v>
      </x:c>
      <x:c r="K17" s="19" t="n">
        <x:v>0</x:v>
      </x:c>
      <x:c r="L17" s="19" t="n">
        <x:v>6</x:v>
      </x:c>
      <x:c r="M17" s="19" t="str">
        <x:v>BGM</x:v>
      </x:c>
      <x:c r="N17" s="20" t="b">
        <x:v>1</x:v>
      </x:c>
      <x:c r="O17" s="19" t="str">
        <x:v>Stage02_ForestGrass/Main</x:v>
      </x:c>
      <x:c r="P17" s="19" t="n">
        <x:v>0</x:v>
      </x:c>
      <x:c r="Q17" s="20" t="b">
        <x:v>0</x:v>
      </x:c>
    </x:row>
    <x:row r="18" ht="25" customHeight="1">
      <x:c r="A18" s="19" t="str">
        <x:v>Main</x:v>
      </x:c>
      <x:c r="B18" s="19" t="n">
        <x:v>2</x:v>
      </x:c>
      <x:c r="C18" s="19" t="n">
        <x:v>6</x:v>
      </x:c>
      <x:c r="D18" s="19" t="str">
        <x:v>MainProgression</x:v>
      </x:c>
      <x:c r="E18" s="19" t="str">
        <x:v>MainField2</x:v>
      </x:c>
      <x:c r="F18" s="19" t="n">
        <x:v>1</x:v>
      </x:c>
      <x:c r="G18" s="19" t="str">
        <x:v>MainDefault</x:v>
      </x:c>
      <x:c r="H18" s="19" t="str"/>
      <x:c r="I18" s="19" t="str">
        <x:v>balance-0-2-6</x:v>
      </x:c>
      <x:c r="J18" s="21" t="n">
        <x:f>'MainBalance'!N18</x:f>
        <x:v>0</x:v>
      </x:c>
      <x:c r="K18" s="19" t="n">
        <x:v>0</x:v>
      </x:c>
      <x:c r="L18" s="19" t="n">
        <x:v>6</x:v>
      </x:c>
      <x:c r="M18" s="19" t="str">
        <x:v>BGM</x:v>
      </x:c>
      <x:c r="N18" s="20" t="b">
        <x:v>1</x:v>
      </x:c>
      <x:c r="O18" s="19" t="str">
        <x:v>Stage02_ForestGrass/Main</x:v>
      </x:c>
      <x:c r="P18" s="19" t="n">
        <x:v>0</x:v>
      </x:c>
      <x:c r="Q18" s="20" t="b">
        <x:v>0</x:v>
      </x:c>
    </x:row>
    <x:row r="19" ht="25" customHeight="1">
      <x:c r="A19" s="19" t="str">
        <x:v>Main</x:v>
      </x:c>
      <x:c r="B19" s="19" t="n">
        <x:v>2</x:v>
      </x:c>
      <x:c r="C19" s="19" t="n">
        <x:v>7</x:v>
      </x:c>
      <x:c r="D19" s="19" t="str">
        <x:v>MainProgression</x:v>
      </x:c>
      <x:c r="E19" s="19" t="str">
        <x:v>MainField2</x:v>
      </x:c>
      <x:c r="F19" s="19" t="n">
        <x:v>1</x:v>
      </x:c>
      <x:c r="G19" s="19" t="str">
        <x:v>MainDefault</x:v>
      </x:c>
      <x:c r="H19" s="19" t="str"/>
      <x:c r="I19" s="19" t="str">
        <x:v>balance-0-2-7</x:v>
      </x:c>
      <x:c r="J19" s="21" t="n">
        <x:f>'MainBalance'!N19</x:f>
        <x:v>0</x:v>
      </x:c>
      <x:c r="K19" s="19" t="n">
        <x:v>0</x:v>
      </x:c>
      <x:c r="L19" s="19" t="n">
        <x:v>6</x:v>
      </x:c>
      <x:c r="M19" s="19" t="str">
        <x:v>BGM</x:v>
      </x:c>
      <x:c r="N19" s="20" t="b">
        <x:v>1</x:v>
      </x:c>
      <x:c r="O19" s="19" t="str">
        <x:v>Stage02_ForestGrass/Main</x:v>
      </x:c>
      <x:c r="P19" s="19" t="n">
        <x:v>0</x:v>
      </x:c>
      <x:c r="Q19" s="20" t="b">
        <x:v>0</x:v>
      </x:c>
    </x:row>
    <x:row r="20" ht="25" customHeight="1">
      <x:c r="A20" s="19" t="str">
        <x:v>Main</x:v>
      </x:c>
      <x:c r="B20" s="19" t="n">
        <x:v>2</x:v>
      </x:c>
      <x:c r="C20" s="19" t="n">
        <x:v>8</x:v>
      </x:c>
      <x:c r="D20" s="19" t="str">
        <x:v>MainProgression</x:v>
      </x:c>
      <x:c r="E20" s="19" t="str">
        <x:v>MainField2</x:v>
      </x:c>
      <x:c r="F20" s="19" t="n">
        <x:v>1</x:v>
      </x:c>
      <x:c r="G20" s="19" t="str">
        <x:v>MainDefault</x:v>
      </x:c>
      <x:c r="H20" s="19" t="str"/>
      <x:c r="I20" s="19" t="str">
        <x:v>balance-0-2-8</x:v>
      </x:c>
      <x:c r="J20" s="21" t="n">
        <x:f>'MainBalance'!N20</x:f>
        <x:v>0</x:v>
      </x:c>
      <x:c r="K20" s="19" t="n">
        <x:v>0</x:v>
      </x:c>
      <x:c r="L20" s="19" t="n">
        <x:v>6</x:v>
      </x:c>
      <x:c r="M20" s="19" t="str">
        <x:v>BGM</x:v>
      </x:c>
      <x:c r="N20" s="20" t="b">
        <x:v>1</x:v>
      </x:c>
      <x:c r="O20" s="19" t="str">
        <x:v>Stage02_ForestGrass/Main</x:v>
      </x:c>
      <x:c r="P20" s="19" t="n">
        <x:v>0</x:v>
      </x:c>
      <x:c r="Q20" s="20" t="b">
        <x:v>0</x:v>
      </x:c>
    </x:row>
    <x:row r="21" ht="25" customHeight="1">
      <x:c r="A21" s="19" t="str">
        <x:v>Main</x:v>
      </x:c>
      <x:c r="B21" s="19" t="n">
        <x:v>2</x:v>
      </x:c>
      <x:c r="C21" s="19" t="n">
        <x:v>9</x:v>
      </x:c>
      <x:c r="D21" s="19" t="str">
        <x:v>MainProgression</x:v>
      </x:c>
      <x:c r="E21" s="19" t="str">
        <x:v>MainField2</x:v>
      </x:c>
      <x:c r="F21" s="19" t="n">
        <x:v>1</x:v>
      </x:c>
      <x:c r="G21" s="19" t="str">
        <x:v>MainDefault</x:v>
      </x:c>
      <x:c r="H21" s="19" t="str"/>
      <x:c r="I21" s="19" t="str">
        <x:v>balance-0-2-9</x:v>
      </x:c>
      <x:c r="J21" s="21" t="n">
        <x:f>'MainBalance'!N21</x:f>
        <x:v>0</x:v>
      </x:c>
      <x:c r="K21" s="19" t="n">
        <x:v>0</x:v>
      </x:c>
      <x:c r="L21" s="19" t="n">
        <x:v>6</x:v>
      </x:c>
      <x:c r="M21" s="19" t="str">
        <x:v>BGM</x:v>
      </x:c>
      <x:c r="N21" s="20" t="b">
        <x:v>1</x:v>
      </x:c>
      <x:c r="O21" s="19" t="str">
        <x:v>Stage02_ForestGrass/Main</x:v>
      </x:c>
      <x:c r="P21" s="19" t="n">
        <x:v>0</x:v>
      </x:c>
      <x:c r="Q21" s="20" t="b">
        <x:v>0</x:v>
      </x:c>
    </x:row>
    <x:row r="22" ht="25" customHeight="1">
      <x:c r="A22" s="19" t="str">
        <x:v>Main</x:v>
      </x:c>
      <x:c r="B22" s="19" t="n">
        <x:v>2</x:v>
      </x:c>
      <x:c r="C22" s="19" t="n">
        <x:v>10</x:v>
      </x:c>
      <x:c r="D22" s="19" t="str">
        <x:v>MainProgression</x:v>
      </x:c>
      <x:c r="E22" s="19" t="str">
        <x:v>MainField2</x:v>
      </x:c>
      <x:c r="F22" s="19" t="n">
        <x:v>1</x:v>
      </x:c>
      <x:c r="G22" s="19" t="str">
        <x:v>MainDefault</x:v>
      </x:c>
      <x:c r="H22" s="19" t="str"/>
      <x:c r="I22" s="19" t="str">
        <x:v>balance-0-2-10</x:v>
      </x:c>
      <x:c r="J22" s="21" t="n">
        <x:f>'MainBalance'!N22</x:f>
        <x:v>0</x:v>
      </x:c>
      <x:c r="K22" s="19" t="n">
        <x:v>0</x:v>
      </x:c>
      <x:c r="L22" s="19" t="n">
        <x:v>6</x:v>
      </x:c>
      <x:c r="M22" s="19" t="str">
        <x:v>BGM</x:v>
      </x:c>
      <x:c r="N22" s="20" t="b">
        <x:v>1</x:v>
      </x:c>
      <x:c r="O22" s="19" t="str">
        <x:v>Stage02_ForestGrass/Main</x:v>
      </x:c>
      <x:c r="P22" s="19" t="n">
        <x:v>0</x:v>
      </x:c>
      <x:c r="Q22" s="20" t="b">
        <x:v>0</x:v>
      </x:c>
    </x:row>
    <x:row r="23" ht="25" customHeight="1">
      <x:c r="A23" s="19" t="str">
        <x:v>Main</x:v>
      </x:c>
      <x:c r="B23" s="19" t="n">
        <x:v>2</x:v>
      </x:c>
      <x:c r="C23" s="19" t="n">
        <x:v>11</x:v>
      </x:c>
      <x:c r="D23" s="19" t="str">
        <x:v>MainProgression</x:v>
      </x:c>
      <x:c r="E23" s="19" t="str">
        <x:v>MainField2</x:v>
      </x:c>
      <x:c r="F23" s="19" t="n">
        <x:v>1</x:v>
      </x:c>
      <x:c r="G23" s="19" t="str">
        <x:v>MainDefault</x:v>
      </x:c>
      <x:c r="H23" s="19" t="str"/>
      <x:c r="I23" s="19" t="str">
        <x:v>balance-0-2-11</x:v>
      </x:c>
      <x:c r="J23" s="21" t="n">
        <x:f>'MainBalance'!N23</x:f>
        <x:v>60</x:v>
      </x:c>
      <x:c r="K23" s="19" t="n">
        <x:v>0</x:v>
      </x:c>
      <x:c r="L23" s="19" t="n">
        <x:v>1</x:v>
      </x:c>
      <x:c r="M23" s="19" t="str">
        <x:v>BGM</x:v>
      </x:c>
      <x:c r="N23" s="20" t="b">
        <x:v>1</x:v>
      </x:c>
      <x:c r="O23" s="19" t="str">
        <x:v>Stage02_ForestGrass/Boss</x:v>
      </x:c>
      <x:c r="P23" s="19" t="n">
        <x:v>0</x:v>
      </x:c>
      <x:c r="Q23" s="20" t="b">
        <x:v>0</x:v>
      </x:c>
    </x:row>
    <x:row r="24" ht="25" customHeight="1">
      <x:c r="A24" s="19" t="str">
        <x:v>Main</x:v>
      </x:c>
      <x:c r="B24" s="19" t="n">
        <x:v>3</x:v>
      </x:c>
      <x:c r="C24" s="19" t="n">
        <x:v>1</x:v>
      </x:c>
      <x:c r="D24" s="19" t="str">
        <x:v>MainProgression</x:v>
      </x:c>
      <x:c r="E24" s="19" t="str">
        <x:v>MainField3</x:v>
      </x:c>
      <x:c r="F24" s="19" t="n">
        <x:v>1</x:v>
      </x:c>
      <x:c r="G24" s="19" t="str">
        <x:v>MainDefault</x:v>
      </x:c>
      <x:c r="H24" s="19" t="str"/>
      <x:c r="I24" s="19" t="str">
        <x:v>balance-0-3-1</x:v>
      </x:c>
      <x:c r="J24" s="21" t="n">
        <x:f>'MainBalance'!N24</x:f>
        <x:v>0</x:v>
      </x:c>
      <x:c r="K24" s="19" t="n">
        <x:v>0</x:v>
      </x:c>
      <x:c r="L24" s="19" t="n">
        <x:v>6</x:v>
      </x:c>
      <x:c r="M24" s="19" t="str">
        <x:v>BGM</x:v>
      </x:c>
      <x:c r="N24" s="20" t="b">
        <x:v>1</x:v>
      </x:c>
      <x:c r="O24" s="19" t="str">
        <x:v>Stage03_DeepForest/Main</x:v>
      </x:c>
      <x:c r="P24" s="19" t="n">
        <x:v>0</x:v>
      </x:c>
      <x:c r="Q24" s="20" t="b">
        <x:v>0</x:v>
      </x:c>
    </x:row>
    <x:row r="25" ht="25" customHeight="1">
      <x:c r="A25" s="19" t="str">
        <x:v>Main</x:v>
      </x:c>
      <x:c r="B25" s="19" t="n">
        <x:v>3</x:v>
      </x:c>
      <x:c r="C25" s="19" t="n">
        <x:v>2</x:v>
      </x:c>
      <x:c r="D25" s="19" t="str">
        <x:v>MainProgression</x:v>
      </x:c>
      <x:c r="E25" s="19" t="str">
        <x:v>MainField3</x:v>
      </x:c>
      <x:c r="F25" s="19" t="n">
        <x:v>1</x:v>
      </x:c>
      <x:c r="G25" s="19" t="str">
        <x:v>MainDefault</x:v>
      </x:c>
      <x:c r="H25" s="19" t="str"/>
      <x:c r="I25" s="19" t="str">
        <x:v>balance-0-3-2</x:v>
      </x:c>
      <x:c r="J25" s="21" t="n">
        <x:f>'MainBalance'!N25</x:f>
        <x:v>0</x:v>
      </x:c>
      <x:c r="K25" s="19" t="n">
        <x:v>0</x:v>
      </x:c>
      <x:c r="L25" s="19" t="n">
        <x:v>6</x:v>
      </x:c>
      <x:c r="M25" s="19" t="str">
        <x:v>BGM</x:v>
      </x:c>
      <x:c r="N25" s="20" t="b">
        <x:v>1</x:v>
      </x:c>
      <x:c r="O25" s="19" t="str">
        <x:v>Stage03_DeepForest/Main</x:v>
      </x:c>
      <x:c r="P25" s="19" t="n">
        <x:v>0</x:v>
      </x:c>
      <x:c r="Q25" s="20" t="b">
        <x:v>0</x:v>
      </x:c>
    </x:row>
    <x:row r="26" ht="25" customHeight="1">
      <x:c r="A26" s="19" t="str">
        <x:v>Main</x:v>
      </x:c>
      <x:c r="B26" s="19" t="n">
        <x:v>3</x:v>
      </x:c>
      <x:c r="C26" s="19" t="n">
        <x:v>3</x:v>
      </x:c>
      <x:c r="D26" s="19" t="str">
        <x:v>MainProgression</x:v>
      </x:c>
      <x:c r="E26" s="19" t="str">
        <x:v>MainField3</x:v>
      </x:c>
      <x:c r="F26" s="19" t="n">
        <x:v>1</x:v>
      </x:c>
      <x:c r="G26" s="19" t="str">
        <x:v>MainDefault</x:v>
      </x:c>
      <x:c r="H26" s="19" t="str"/>
      <x:c r="I26" s="19" t="str">
        <x:v>balance-0-3-3</x:v>
      </x:c>
      <x:c r="J26" s="21" t="n">
        <x:f>'MainBalance'!N26</x:f>
        <x:v>0</x:v>
      </x:c>
      <x:c r="K26" s="19" t="n">
        <x:v>0</x:v>
      </x:c>
      <x:c r="L26" s="19" t="n">
        <x:v>6</x:v>
      </x:c>
      <x:c r="M26" s="19" t="str">
        <x:v>BGM</x:v>
      </x:c>
      <x:c r="N26" s="20" t="b">
        <x:v>1</x:v>
      </x:c>
      <x:c r="O26" s="19" t="str">
        <x:v>Stage03_DeepForest/Main</x:v>
      </x:c>
      <x:c r="P26" s="19" t="n">
        <x:v>0</x:v>
      </x:c>
      <x:c r="Q26" s="20" t="b">
        <x:v>0</x:v>
      </x:c>
    </x:row>
    <x:row r="27" ht="25" customHeight="1">
      <x:c r="A27" s="19" t="str">
        <x:v>Main</x:v>
      </x:c>
      <x:c r="B27" s="19" t="n">
        <x:v>3</x:v>
      </x:c>
      <x:c r="C27" s="19" t="n">
        <x:v>4</x:v>
      </x:c>
      <x:c r="D27" s="19" t="str">
        <x:v>MainProgression</x:v>
      </x:c>
      <x:c r="E27" s="19" t="str">
        <x:v>MainField3</x:v>
      </x:c>
      <x:c r="F27" s="19" t="n">
        <x:v>1</x:v>
      </x:c>
      <x:c r="G27" s="19" t="str">
        <x:v>MainDefault</x:v>
      </x:c>
      <x:c r="H27" s="19" t="str"/>
      <x:c r="I27" s="19" t="str">
        <x:v>balance-0-3-4</x:v>
      </x:c>
      <x:c r="J27" s="21" t="n">
        <x:f>'MainBalance'!N27</x:f>
        <x:v>0</x:v>
      </x:c>
      <x:c r="K27" s="19" t="n">
        <x:v>0</x:v>
      </x:c>
      <x:c r="L27" s="19" t="n">
        <x:v>6</x:v>
      </x:c>
      <x:c r="M27" s="19" t="str">
        <x:v>BGM</x:v>
      </x:c>
      <x:c r="N27" s="20" t="b">
        <x:v>1</x:v>
      </x:c>
      <x:c r="O27" s="19" t="str">
        <x:v>Stage03_DeepForest/Main</x:v>
      </x:c>
      <x:c r="P27" s="19" t="n">
        <x:v>0</x:v>
      </x:c>
      <x:c r="Q27" s="20" t="b">
        <x:v>0</x:v>
      </x:c>
    </x:row>
    <x:row r="28" ht="25" customHeight="1">
      <x:c r="A28" s="19" t="str">
        <x:v>Main</x:v>
      </x:c>
      <x:c r="B28" s="19" t="n">
        <x:v>3</x:v>
      </x:c>
      <x:c r="C28" s="19" t="n">
        <x:v>5</x:v>
      </x:c>
      <x:c r="D28" s="19" t="str">
        <x:v>MainProgression</x:v>
      </x:c>
      <x:c r="E28" s="19" t="str">
        <x:v>MainField3</x:v>
      </x:c>
      <x:c r="F28" s="19" t="n">
        <x:v>1</x:v>
      </x:c>
      <x:c r="G28" s="19" t="str">
        <x:v>MainDefault</x:v>
      </x:c>
      <x:c r="H28" s="19" t="str"/>
      <x:c r="I28" s="19" t="str">
        <x:v>balance-0-3-5</x:v>
      </x:c>
      <x:c r="J28" s="21" t="n">
        <x:f>'MainBalance'!N28</x:f>
        <x:v>0</x:v>
      </x:c>
      <x:c r="K28" s="19" t="n">
        <x:v>0</x:v>
      </x:c>
      <x:c r="L28" s="19" t="n">
        <x:v>6</x:v>
      </x:c>
      <x:c r="M28" s="19" t="str">
        <x:v>BGM</x:v>
      </x:c>
      <x:c r="N28" s="20" t="b">
        <x:v>1</x:v>
      </x:c>
      <x:c r="O28" s="19" t="str">
        <x:v>Stage03_DeepForest/Main</x:v>
      </x:c>
      <x:c r="P28" s="19" t="n">
        <x:v>0</x:v>
      </x:c>
      <x:c r="Q28" s="20" t="b">
        <x:v>0</x:v>
      </x:c>
    </x:row>
    <x:row r="29" ht="25" customHeight="1">
      <x:c r="A29" s="19" t="str">
        <x:v>Main</x:v>
      </x:c>
      <x:c r="B29" s="19" t="n">
        <x:v>3</x:v>
      </x:c>
      <x:c r="C29" s="19" t="n">
        <x:v>6</x:v>
      </x:c>
      <x:c r="D29" s="19" t="str">
        <x:v>MainProgression</x:v>
      </x:c>
      <x:c r="E29" s="19" t="str">
        <x:v>MainField3</x:v>
      </x:c>
      <x:c r="F29" s="19" t="n">
        <x:v>1</x:v>
      </x:c>
      <x:c r="G29" s="19" t="str">
        <x:v>MainDefault</x:v>
      </x:c>
      <x:c r="H29" s="19" t="str"/>
      <x:c r="I29" s="19" t="str">
        <x:v>balance-0-3-6</x:v>
      </x:c>
      <x:c r="J29" s="21" t="n">
        <x:f>'MainBalance'!N29</x:f>
        <x:v>0</x:v>
      </x:c>
      <x:c r="K29" s="19" t="n">
        <x:v>0</x:v>
      </x:c>
      <x:c r="L29" s="19" t="n">
        <x:v>6</x:v>
      </x:c>
      <x:c r="M29" s="19" t="str">
        <x:v>BGM</x:v>
      </x:c>
      <x:c r="N29" s="20" t="b">
        <x:v>1</x:v>
      </x:c>
      <x:c r="O29" s="19" t="str">
        <x:v>Stage03_DeepForest/Main</x:v>
      </x:c>
      <x:c r="P29" s="19" t="n">
        <x:v>0</x:v>
      </x:c>
      <x:c r="Q29" s="20" t="b">
        <x:v>0</x:v>
      </x:c>
    </x:row>
    <x:row r="30" ht="25" customHeight="1">
      <x:c r="A30" s="19" t="str">
        <x:v>Main</x:v>
      </x:c>
      <x:c r="B30" s="19" t="n">
        <x:v>3</x:v>
      </x:c>
      <x:c r="C30" s="19" t="n">
        <x:v>7</x:v>
      </x:c>
      <x:c r="D30" s="19" t="str">
        <x:v>MainProgression</x:v>
      </x:c>
      <x:c r="E30" s="19" t="str">
        <x:v>MainField3</x:v>
      </x:c>
      <x:c r="F30" s="19" t="n">
        <x:v>1</x:v>
      </x:c>
      <x:c r="G30" s="19" t="str">
        <x:v>MainDefault</x:v>
      </x:c>
      <x:c r="H30" s="19" t="str"/>
      <x:c r="I30" s="19" t="str">
        <x:v>balance-0-3-7</x:v>
      </x:c>
      <x:c r="J30" s="21" t="n">
        <x:f>'MainBalance'!N30</x:f>
        <x:v>0</x:v>
      </x:c>
      <x:c r="K30" s="19" t="n">
        <x:v>0</x:v>
      </x:c>
      <x:c r="L30" s="19" t="n">
        <x:v>6</x:v>
      </x:c>
      <x:c r="M30" s="19" t="str">
        <x:v>BGM</x:v>
      </x:c>
      <x:c r="N30" s="20" t="b">
        <x:v>1</x:v>
      </x:c>
      <x:c r="O30" s="19" t="str">
        <x:v>Stage03_DeepForest/Main</x:v>
      </x:c>
      <x:c r="P30" s="19" t="n">
        <x:v>0</x:v>
      </x:c>
      <x:c r="Q30" s="20" t="b">
        <x:v>0</x:v>
      </x:c>
    </x:row>
    <x:row r="31" ht="25" customHeight="1">
      <x:c r="A31" s="19" t="str">
        <x:v>Main</x:v>
      </x:c>
      <x:c r="B31" s="19" t="n">
        <x:v>3</x:v>
      </x:c>
      <x:c r="C31" s="19" t="n">
        <x:v>8</x:v>
      </x:c>
      <x:c r="D31" s="19" t="str">
        <x:v>MainProgression</x:v>
      </x:c>
      <x:c r="E31" s="19" t="str">
        <x:v>MainField3</x:v>
      </x:c>
      <x:c r="F31" s="19" t="n">
        <x:v>1</x:v>
      </x:c>
      <x:c r="G31" s="19" t="str">
        <x:v>MainDefault</x:v>
      </x:c>
      <x:c r="H31" s="19" t="str"/>
      <x:c r="I31" s="19" t="str">
        <x:v>balance-0-3-8</x:v>
      </x:c>
      <x:c r="J31" s="21" t="n">
        <x:f>'MainBalance'!N31</x:f>
        <x:v>0</x:v>
      </x:c>
      <x:c r="K31" s="19" t="n">
        <x:v>0</x:v>
      </x:c>
      <x:c r="L31" s="19" t="n">
        <x:v>6</x:v>
      </x:c>
      <x:c r="M31" s="19" t="str">
        <x:v>BGM</x:v>
      </x:c>
      <x:c r="N31" s="20" t="b">
        <x:v>1</x:v>
      </x:c>
      <x:c r="O31" s="19" t="str">
        <x:v>Stage03_DeepForest/Main</x:v>
      </x:c>
      <x:c r="P31" s="19" t="n">
        <x:v>0</x:v>
      </x:c>
      <x:c r="Q31" s="20" t="b">
        <x:v>0</x:v>
      </x:c>
    </x:row>
    <x:row r="32" ht="25" customHeight="1">
      <x:c r="A32" s="19" t="str">
        <x:v>Main</x:v>
      </x:c>
      <x:c r="B32" s="19" t="n">
        <x:v>3</x:v>
      </x:c>
      <x:c r="C32" s="19" t="n">
        <x:v>9</x:v>
      </x:c>
      <x:c r="D32" s="19" t="str">
        <x:v>MainProgression</x:v>
      </x:c>
      <x:c r="E32" s="19" t="str">
        <x:v>MainField3</x:v>
      </x:c>
      <x:c r="F32" s="19" t="n">
        <x:v>1</x:v>
      </x:c>
      <x:c r="G32" s="19" t="str">
        <x:v>MainDefault</x:v>
      </x:c>
      <x:c r="H32" s="19" t="str"/>
      <x:c r="I32" s="19" t="str">
        <x:v>balance-0-3-9</x:v>
      </x:c>
      <x:c r="J32" s="21" t="n">
        <x:f>'MainBalance'!N32</x:f>
        <x:v>0</x:v>
      </x:c>
      <x:c r="K32" s="19" t="n">
        <x:v>0</x:v>
      </x:c>
      <x:c r="L32" s="19" t="n">
        <x:v>6</x:v>
      </x:c>
      <x:c r="M32" s="19" t="str">
        <x:v>BGM</x:v>
      </x:c>
      <x:c r="N32" s="20" t="b">
        <x:v>1</x:v>
      </x:c>
      <x:c r="O32" s="19" t="str">
        <x:v>Stage03_DeepForest/Main</x:v>
      </x:c>
      <x:c r="P32" s="19" t="n">
        <x:v>0</x:v>
      </x:c>
      <x:c r="Q32" s="20" t="b">
        <x:v>0</x:v>
      </x:c>
    </x:row>
    <x:row r="33" ht="25" customHeight="1">
      <x:c r="A33" s="19" t="str">
        <x:v>Main</x:v>
      </x:c>
      <x:c r="B33" s="19" t="n">
        <x:v>3</x:v>
      </x:c>
      <x:c r="C33" s="19" t="n">
        <x:v>10</x:v>
      </x:c>
      <x:c r="D33" s="19" t="str">
        <x:v>MainProgression</x:v>
      </x:c>
      <x:c r="E33" s="19" t="str">
        <x:v>MainField3</x:v>
      </x:c>
      <x:c r="F33" s="19" t="n">
        <x:v>1</x:v>
      </x:c>
      <x:c r="G33" s="19" t="str">
        <x:v>MainDefault</x:v>
      </x:c>
      <x:c r="H33" s="19" t="str"/>
      <x:c r="I33" s="19" t="str">
        <x:v>balance-0-3-10</x:v>
      </x:c>
      <x:c r="J33" s="21" t="n">
        <x:f>'MainBalance'!N33</x:f>
        <x:v>0</x:v>
      </x:c>
      <x:c r="K33" s="19" t="n">
        <x:v>0</x:v>
      </x:c>
      <x:c r="L33" s="19" t="n">
        <x:v>6</x:v>
      </x:c>
      <x:c r="M33" s="19" t="str">
        <x:v>BGM</x:v>
      </x:c>
      <x:c r="N33" s="20" t="b">
        <x:v>1</x:v>
      </x:c>
      <x:c r="O33" s="19" t="str">
        <x:v>Stage03_DeepForest/Main</x:v>
      </x:c>
      <x:c r="P33" s="19" t="n">
        <x:v>0</x:v>
      </x:c>
      <x:c r="Q33" s="20" t="b">
        <x:v>0</x:v>
      </x:c>
    </x:row>
    <x:row r="34" ht="25" customHeight="1">
      <x:c r="A34" s="19" t="str">
        <x:v>Main</x:v>
      </x:c>
      <x:c r="B34" s="19" t="n">
        <x:v>3</x:v>
      </x:c>
      <x:c r="C34" s="19" t="n">
        <x:v>11</x:v>
      </x:c>
      <x:c r="D34" s="19" t="str">
        <x:v>MainProgression</x:v>
      </x:c>
      <x:c r="E34" s="19" t="str">
        <x:v>MainField3</x:v>
      </x:c>
      <x:c r="F34" s="19" t="n">
        <x:v>1</x:v>
      </x:c>
      <x:c r="G34" s="19" t="str">
        <x:v>MainDefault</x:v>
      </x:c>
      <x:c r="H34" s="19" t="str"/>
      <x:c r="I34" s="19" t="str">
        <x:v>balance-0-3-11</x:v>
      </x:c>
      <x:c r="J34" s="21" t="n">
        <x:f>'MainBalance'!N34</x:f>
        <x:v>60</x:v>
      </x:c>
      <x:c r="K34" s="19" t="n">
        <x:v>0</x:v>
      </x:c>
      <x:c r="L34" s="19" t="n">
        <x:v>1</x:v>
      </x:c>
      <x:c r="M34" s="19" t="str">
        <x:v>BGM</x:v>
      </x:c>
      <x:c r="N34" s="20" t="b">
        <x:v>1</x:v>
      </x:c>
      <x:c r="O34" s="19" t="str">
        <x:v>Stage03_DeepForest/Boss</x:v>
      </x:c>
      <x:c r="P34" s="19" t="n">
        <x:v>0</x:v>
      </x:c>
      <x:c r="Q34" s="20" t="b">
        <x:v>0</x:v>
      </x:c>
    </x:row>
    <x:row r="35" ht="25" customHeight="1">
      <x:c r="A35" s="19" t="str">
        <x:v>GoldDungeon</x:v>
      </x:c>
      <x:c r="B35" s="19" t="n">
        <x:v>1</x:v>
      </x:c>
      <x:c r="C35" s="19" t="n">
        <x:v>1</x:v>
      </x:c>
      <x:c r="D35" s="19" t="str">
        <x:v>KillCountChallenge</x:v>
      </x:c>
      <x:c r="E35" s="19" t="str">
        <x:v>GoldDungeon</x:v>
      </x:c>
      <x:c r="F35" s="19" t="n">
        <x:v>1</x:v>
      </x:c>
      <x:c r="G35" s="19" t="str">
        <x:v>MainDefault</x:v>
      </x:c>
      <x:c r="H35" s="19" t="str">
        <x:v>GoldClear</x:v>
      </x:c>
      <x:c r="I35" s="19" t="str">
        <x:v>balance-1-1-1</x:v>
      </x:c>
      <x:c r="J35" s="21" t="n">
        <x:f>'GoldBalance'!E2</x:f>
        <x:v>60</x:v>
      </x:c>
      <x:c r="K35" s="19" t="n">
        <x:v>0</x:v>
      </x:c>
      <x:c r="L35" s="19" t="n">
        <x:v>5</x:v>
      </x:c>
      <x:c r="M35" s="19" t="str">
        <x:v>BGM</x:v>
      </x:c>
      <x:c r="N35" s="20" t="b">
        <x:v>1</x:v>
      </x:c>
      <x:c r="O35" s="19" t="str">
        <x:v>GoldDungeon/Special</x:v>
      </x:c>
      <x:c r="P35" s="22" t="n">
        <x:v>0.3</x:v>
      </x:c>
      <x:c r="Q35" s="20" t="b">
        <x:v>0</x:v>
      </x:c>
    </x:row>
    <x:row r="36" ht="25" customHeight="1">
      <x:c r="A36" s="19" t="str">
        <x:v>RubyDungeon</x:v>
      </x:c>
      <x:c r="B36" s="19" t="n">
        <x:v>1</x:v>
      </x:c>
      <x:c r="C36" s="19" t="n">
        <x:v>1</x:v>
      </x:c>
      <x:c r="D36" s="19" t="str">
        <x:v>KillCountChallenge</x:v>
      </x:c>
      <x:c r="E36" s="19" t="str">
        <x:v>RubyDungeon</x:v>
      </x:c>
      <x:c r="F36" s="19" t="n">
        <x:v>1</x:v>
      </x:c>
      <x:c r="G36" s="19" t="str">
        <x:v>MainDefault</x:v>
      </x:c>
      <x:c r="H36" s="19" t="str">
        <x:v>RubyClear</x:v>
      </x:c>
      <x:c r="I36" s="19" t="str">
        <x:v>balance-2-1-1</x:v>
      </x:c>
      <x:c r="J36" s="21" t="n">
        <x:f>'RubyBalance'!F2</x:f>
        <x:v>30</x:v>
      </x:c>
      <x:c r="K36" s="19" t="n">
        <x:v>0</x:v>
      </x:c>
      <x:c r="L36" s="19" t="n">
        <x:v>1</x:v>
      </x:c>
      <x:c r="M36" s="19" t="str">
        <x:v>BGM</x:v>
      </x:c>
      <x:c r="N36" s="20" t="b">
        <x:v>1</x:v>
      </x:c>
      <x:c r="O36" s="19" t="str">
        <x:v>RubyWasteland/Special</x:v>
      </x:c>
      <x:c r="P36" s="22" t="n">
        <x:v>0.8</x:v>
      </x:c>
      <x:c r="Q36" s="20" t="b">
        <x:v>1</x:v>
      </x:c>
    </x:row>
    <x:row r="37" ht="25" customHeight="1">
      <x:c r="A37" s="19" t="str">
        <x:v>GoldDungeon</x:v>
      </x:c>
      <x:c r="B37" s="19" t="n">
        <x:v>2</x:v>
      </x:c>
      <x:c r="C37" s="19" t="n">
        <x:v>1</x:v>
      </x:c>
      <x:c r="D37" s="19" t="str">
        <x:v>KillCountChallenge</x:v>
      </x:c>
      <x:c r="E37" s="19" t="str">
        <x:v>GoldDungeon</x:v>
      </x:c>
      <x:c r="F37" s="19" t="n">
        <x:v>1</x:v>
      </x:c>
      <x:c r="G37" s="19" t="str">
        <x:v>MainDefault</x:v>
      </x:c>
      <x:c r="H37" s="19" t="str">
        <x:v>GoldClear</x:v>
      </x:c>
      <x:c r="I37" s="19" t="str">
        <x:v>balance-1-2-1</x:v>
      </x:c>
      <x:c r="J37" s="21" t="n">
        <x:f>'GoldBalance'!E3</x:f>
        <x:v>60</x:v>
      </x:c>
      <x:c r="K37" s="19" t="n">
        <x:v>0</x:v>
      </x:c>
      <x:c r="L37" s="19" t="n">
        <x:v>5</x:v>
      </x:c>
      <x:c r="M37" s="19" t="str">
        <x:v>BGM</x:v>
      </x:c>
      <x:c r="N37" s="20" t="b">
        <x:v>1</x:v>
      </x:c>
      <x:c r="O37" s="19" t="str">
        <x:v>GoldDungeon/Special</x:v>
      </x:c>
      <x:c r="P37" s="22" t="n">
        <x:v>0.3</x:v>
      </x:c>
      <x:c r="Q37" s="20" t="b">
        <x:v>0</x:v>
      </x:c>
    </x:row>
    <x:row r="38" ht="25" customHeight="1">
      <x:c r="A38" s="19" t="str">
        <x:v>RubyDungeon</x:v>
      </x:c>
      <x:c r="B38" s="19" t="n">
        <x:v>2</x:v>
      </x:c>
      <x:c r="C38" s="19" t="n">
        <x:v>1</x:v>
      </x:c>
      <x:c r="D38" s="19" t="str">
        <x:v>KillCountChallenge</x:v>
      </x:c>
      <x:c r="E38" s="19" t="str">
        <x:v>RubyDungeon</x:v>
      </x:c>
      <x:c r="F38" s="19" t="n">
        <x:v>1</x:v>
      </x:c>
      <x:c r="G38" s="19" t="str">
        <x:v>MainDefault</x:v>
      </x:c>
      <x:c r="H38" s="19" t="str">
        <x:v>RubyClear</x:v>
      </x:c>
      <x:c r="I38" s="19" t="str">
        <x:v>balance-2-2-1</x:v>
      </x:c>
      <x:c r="J38" s="21" t="n">
        <x:f>'RubyBalance'!F5</x:f>
        <x:v>30</x:v>
      </x:c>
      <x:c r="K38" s="19" t="n">
        <x:v>0</x:v>
      </x:c>
      <x:c r="L38" s="19" t="n">
        <x:v>1</x:v>
      </x:c>
      <x:c r="M38" s="19" t="str">
        <x:v>BGM</x:v>
      </x:c>
      <x:c r="N38" s="20" t="b">
        <x:v>1</x:v>
      </x:c>
      <x:c r="O38" s="19" t="str">
        <x:v>RubyWasteland/Special</x:v>
      </x:c>
      <x:c r="P38" s="22" t="n">
        <x:v>0.8</x:v>
      </x:c>
      <x:c r="Q38" s="20" t="b">
        <x:v>1</x:v>
      </x:c>
    </x:row>
    <x:row r="39" ht="25" customHeight="1">
      <x:c r="A39" s="19" t="str">
        <x:v>GoldDungeon</x:v>
      </x:c>
      <x:c r="B39" s="19" t="n">
        <x:v>3</x:v>
      </x:c>
      <x:c r="C39" s="19" t="n">
        <x:v>1</x:v>
      </x:c>
      <x:c r="D39" s="19" t="str">
        <x:v>KillCountChallenge</x:v>
      </x:c>
      <x:c r="E39" s="19" t="str">
        <x:v>GoldDungeon</x:v>
      </x:c>
      <x:c r="F39" s="19" t="n">
        <x:v>1</x:v>
      </x:c>
      <x:c r="G39" s="19" t="str">
        <x:v>MainDefault</x:v>
      </x:c>
      <x:c r="H39" s="19" t="str">
        <x:v>GoldClear</x:v>
      </x:c>
      <x:c r="I39" s="19" t="str">
        <x:v>balance-1-3-1</x:v>
      </x:c>
      <x:c r="J39" s="21" t="n">
        <x:f>'GoldBalance'!E4</x:f>
        <x:v>60</x:v>
      </x:c>
      <x:c r="K39" s="19" t="n">
        <x:v>0</x:v>
      </x:c>
      <x:c r="L39" s="19" t="n">
        <x:v>5</x:v>
      </x:c>
      <x:c r="M39" s="19" t="str">
        <x:v>BGM</x:v>
      </x:c>
      <x:c r="N39" s="20" t="b">
        <x:v>1</x:v>
      </x:c>
      <x:c r="O39" s="19" t="str">
        <x:v>GoldDungeon/Special</x:v>
      </x:c>
      <x:c r="P39" s="22" t="n">
        <x:v>0.3</x:v>
      </x:c>
      <x:c r="Q39" s="20" t="b">
        <x:v>0</x:v>
      </x:c>
    </x:row>
    <x:row r="40" ht="25" customHeight="1">
      <x:c r="A40" s="19" t="str">
        <x:v>RubyDungeon</x:v>
      </x:c>
      <x:c r="B40" s="19" t="n">
        <x:v>3</x:v>
      </x:c>
      <x:c r="C40" s="19" t="n">
        <x:v>1</x:v>
      </x:c>
      <x:c r="D40" s="19" t="str">
        <x:v>KillCountChallenge</x:v>
      </x:c>
      <x:c r="E40" s="19" t="str">
        <x:v>RubyDungeon</x:v>
      </x:c>
      <x:c r="F40" s="19" t="n">
        <x:v>1</x:v>
      </x:c>
      <x:c r="G40" s="19" t="str">
        <x:v>MainDefault</x:v>
      </x:c>
      <x:c r="H40" s="19" t="str">
        <x:v>RubyClear</x:v>
      </x:c>
      <x:c r="I40" s="19" t="str">
        <x:v>balance-2-3-1</x:v>
      </x:c>
      <x:c r="J40" s="21" t="n">
        <x:f>'RubyBalance'!F8</x:f>
        <x:v>30</x:v>
      </x:c>
      <x:c r="K40" s="19" t="n">
        <x:v>0</x:v>
      </x:c>
      <x:c r="L40" s="19" t="n">
        <x:v>1</x:v>
      </x:c>
      <x:c r="M40" s="19" t="str">
        <x:v>BGM</x:v>
      </x:c>
      <x:c r="N40" s="20" t="b">
        <x:v>1</x:v>
      </x:c>
      <x:c r="O40" s="19" t="str">
        <x:v>RubyWasteland/Special</x:v>
      </x:c>
      <x:c r="P40" s="22" t="n">
        <x:v>0.8</x:v>
      </x:c>
      <x:c r="Q40" s="20" t="b">
        <x:v>1</x:v>
      </x:c>
    </x:row>
    <x:row r="41" ht="25" customHeight="1">
      <x:c r="A41" s="19" t="str">
        <x:v>GoldDungeon</x:v>
      </x:c>
      <x:c r="B41" s="19" t="n">
        <x:v>4</x:v>
      </x:c>
      <x:c r="C41" s="19" t="n">
        <x:v>1</x:v>
      </x:c>
      <x:c r="D41" s="19" t="str">
        <x:v>KillCountChallenge</x:v>
      </x:c>
      <x:c r="E41" s="19" t="str">
        <x:v>GoldDungeon</x:v>
      </x:c>
      <x:c r="F41" s="19" t="n">
        <x:v>1</x:v>
      </x:c>
      <x:c r="G41" s="19" t="str">
        <x:v>MainDefault</x:v>
      </x:c>
      <x:c r="H41" s="19" t="str">
        <x:v>GoldClear</x:v>
      </x:c>
      <x:c r="I41" s="19" t="str">
        <x:v>balance-1-4-1</x:v>
      </x:c>
      <x:c r="J41" s="21" t="n">
        <x:f>'GoldBalance'!E5</x:f>
        <x:v>60</x:v>
      </x:c>
      <x:c r="K41" s="19" t="n">
        <x:v>0</x:v>
      </x:c>
      <x:c r="L41" s="19" t="n">
        <x:v>5</x:v>
      </x:c>
      <x:c r="M41" s="19" t="str">
        <x:v>BGM</x:v>
      </x:c>
      <x:c r="N41" s="20" t="b">
        <x:v>1</x:v>
      </x:c>
      <x:c r="O41" s="19" t="str">
        <x:v>GoldDungeon/Special</x:v>
      </x:c>
      <x:c r="P41" s="22" t="n">
        <x:v>0.3</x:v>
      </x:c>
      <x:c r="Q41" s="20" t="b">
        <x:v>0</x:v>
      </x:c>
    </x:row>
    <x:row r="42" ht="25" customHeight="1">
      <x:c r="A42" s="19" t="str">
        <x:v>RubyDungeon</x:v>
      </x:c>
      <x:c r="B42" s="19" t="n">
        <x:v>4</x:v>
      </x:c>
      <x:c r="C42" s="19" t="n">
        <x:v>1</x:v>
      </x:c>
      <x:c r="D42" s="19" t="str">
        <x:v>KillCountChallenge</x:v>
      </x:c>
      <x:c r="E42" s="19" t="str">
        <x:v>RubyDungeon</x:v>
      </x:c>
      <x:c r="F42" s="19" t="n">
        <x:v>1</x:v>
      </x:c>
      <x:c r="G42" s="19" t="str">
        <x:v>MainDefault</x:v>
      </x:c>
      <x:c r="H42" s="19" t="str">
        <x:v>RubyClear</x:v>
      </x:c>
      <x:c r="I42" s="19" t="str">
        <x:v>balance-2-4-1</x:v>
      </x:c>
      <x:c r="J42" s="21" t="n">
        <x:f>'RubyBalance'!F11</x:f>
        <x:v>30</x:v>
      </x:c>
      <x:c r="K42" s="19" t="n">
        <x:v>0</x:v>
      </x:c>
      <x:c r="L42" s="19" t="n">
        <x:v>1</x:v>
      </x:c>
      <x:c r="M42" s="19" t="str">
        <x:v>BGM</x:v>
      </x:c>
      <x:c r="N42" s="20" t="b">
        <x:v>1</x:v>
      </x:c>
      <x:c r="O42" s="19" t="str">
        <x:v>RubyWasteland/Special</x:v>
      </x:c>
      <x:c r="P42" s="22" t="n">
        <x:v>0.8</x:v>
      </x:c>
      <x:c r="Q42" s="20" t="b">
        <x:v>1</x:v>
      </x:c>
    </x:row>
    <x:row r="43" ht="25" customHeight="1">
      <x:c r="A43" s="19" t="str">
        <x:v>GoldDungeon</x:v>
      </x:c>
      <x:c r="B43" s="19" t="n">
        <x:v>5</x:v>
      </x:c>
      <x:c r="C43" s="19" t="n">
        <x:v>1</x:v>
      </x:c>
      <x:c r="D43" s="19" t="str">
        <x:v>KillCountChallenge</x:v>
      </x:c>
      <x:c r="E43" s="19" t="str">
        <x:v>GoldDungeon</x:v>
      </x:c>
      <x:c r="F43" s="19" t="n">
        <x:v>1</x:v>
      </x:c>
      <x:c r="G43" s="19" t="str">
        <x:v>MainDefault</x:v>
      </x:c>
      <x:c r="H43" s="19" t="str">
        <x:v>GoldClear</x:v>
      </x:c>
      <x:c r="I43" s="19" t="str">
        <x:v>balance-1-5-1</x:v>
      </x:c>
      <x:c r="J43" s="21" t="n">
        <x:f>'GoldBalance'!E6</x:f>
        <x:v>60</x:v>
      </x:c>
      <x:c r="K43" s="19" t="n">
        <x:v>0</x:v>
      </x:c>
      <x:c r="L43" s="19" t="n">
        <x:v>5</x:v>
      </x:c>
      <x:c r="M43" s="19" t="str">
        <x:v>BGM</x:v>
      </x:c>
      <x:c r="N43" s="20" t="b">
        <x:v>1</x:v>
      </x:c>
      <x:c r="O43" s="19" t="str">
        <x:v>GoldDungeon/Special</x:v>
      </x:c>
      <x:c r="P43" s="22" t="n">
        <x:v>0.3</x:v>
      </x:c>
      <x:c r="Q43" s="20" t="b">
        <x:v>0</x:v>
      </x:c>
    </x:row>
    <x:row r="44" ht="25" customHeight="1">
      <x:c r="A44" s="19" t="str">
        <x:v>RubyDungeon</x:v>
      </x:c>
      <x:c r="B44" s="19" t="n">
        <x:v>5</x:v>
      </x:c>
      <x:c r="C44" s="19" t="n">
        <x:v>1</x:v>
      </x:c>
      <x:c r="D44" s="19" t="str">
        <x:v>KillCountChallenge</x:v>
      </x:c>
      <x:c r="E44" s="19" t="str">
        <x:v>RubyDungeon</x:v>
      </x:c>
      <x:c r="F44" s="19" t="n">
        <x:v>1</x:v>
      </x:c>
      <x:c r="G44" s="19" t="str">
        <x:v>MainDefault</x:v>
      </x:c>
      <x:c r="H44" s="19" t="str">
        <x:v>RubyClear</x:v>
      </x:c>
      <x:c r="I44" s="19" t="str">
        <x:v>balance-2-5-1</x:v>
      </x:c>
      <x:c r="J44" s="21" t="n">
        <x:f>'RubyBalance'!F14</x:f>
        <x:v>30</x:v>
      </x:c>
      <x:c r="K44" s="19" t="n">
        <x:v>0</x:v>
      </x:c>
      <x:c r="L44" s="19" t="n">
        <x:v>1</x:v>
      </x:c>
      <x:c r="M44" s="19" t="str">
        <x:v>BGM</x:v>
      </x:c>
      <x:c r="N44" s="20" t="b">
        <x:v>1</x:v>
      </x:c>
      <x:c r="O44" s="19" t="str">
        <x:v>RubyWasteland/Special</x:v>
      </x:c>
      <x:c r="P44" s="22" t="n">
        <x:v>0.8</x:v>
      </x:c>
      <x:c r="Q44" s="20" t="b">
        <x:v>1</x:v>
      </x:c>
    </x:row>
  </x:sheetData>
  <x:dataValidations count="1">
    <x:dataValidation type="list" sqref="A2:A44">
      <x:formula1>"Main,GoldDungeon,RubyDungeon"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23b3015bd1024e4b"/>
  </x:tableParts>
</x:worksheet>
</file>

<file path=xl/worksheets/sheet2.xml><?xml version="1.0" encoding="utf-8"?>
<x:worksheet xmlns:x="http://schemas.openxmlformats.org/spreadsheetml/2006/main">
  <x:sheetPr>
    <x:tabColor rgb="FF2D6176"/>
  </x:sheetPr>
  <x:sheetViews>
    <x:sheetView showGridLines="0" workbookViewId="0">
      <x:pane xSplit="1" ySplit="1" topLeftCell="B2" activePane="bottomRight" state="frozen"/>
    </x:sheetView>
  </x:sheetViews>
  <x:sheetFormatPr defaultRowHeight="15"/>
  <x:cols>
    <x:col min="1" max="1" width="18" hidden="0" customWidth="1"/>
    <x:col min="2" max="2" width="18" hidden="0" customWidth="1"/>
    <x:col min="3" max="3" width="18" hidden="0" customWidth="1"/>
    <x:col min="4" max="4" width="30" hidden="0" customWidth="1"/>
    <x:col min="5" max="5" width="18" hidden="0" customWidth="1"/>
    <x:col min="6" max="6" width="18" hidden="0" customWidth="1"/>
    <x:col min="7" max="7" width="18" hidden="0" customWidth="1"/>
    <x:col min="8" max="8" width="24" hidden="0" customWidth="1"/>
    <x:col min="9" max="9" width="18" hidden="0" customWidth="1"/>
    <x:col min="10" max="10" width="18" hidden="0" customWidth="1"/>
  </x:cols>
  <x:sheetData>
    <x:row r="1" ht="43" customHeight="1">
      <x:c r="A1" s="18" t="str">
        <x:v>StageType</x:v>
      </x:c>
      <x:c r="B1" s="18" t="str">
        <x:v>Stage</x:v>
      </x:c>
      <x:c r="C1" s="18" t="str">
        <x:v>Wave</x:v>
      </x:c>
      <x:c r="D1" s="18" t="str">
        <x:v>MonsterName</x:v>
      </x:c>
      <x:c r="E1" s="18" t="str">
        <x:v>Count</x:v>
      </x:c>
      <x:c r="F1" s="18" t="str">
        <x:v>SpawnWeight</x:v>
      </x:c>
      <x:c r="G1" s="18" t="str">
        <x:v>SpawnPhase</x:v>
      </x:c>
      <x:c r="H1" s="18" t="str">
        <x:v>SpawnPointGroupId</x:v>
      </x:c>
      <x:c r="I1" s="18" t="str">
        <x:v>SpawnDelaySec</x:v>
      </x:c>
      <x:c r="J1" s="18" t="str">
        <x:v>EnemyIndex</x:v>
      </x:c>
    </x:row>
    <x:row r="2" ht="25" customHeight="1">
      <x:c r="A2" s="19" t="str">
        <x:v>Main</x:v>
      </x:c>
      <x:c r="B2" s="19" t="n">
        <x:v>1</x:v>
      </x:c>
      <x:c r="C2" s="19" t="n">
        <x:v>1</x:v>
      </x:c>
      <x:c r="D2" s="19" t="str">
        <x:v>MON_BANDIT_LEADER</x:v>
      </x:c>
      <x:c r="E2" s="21" t="n">
        <x:f>ROUNDDOWN(('MainBalance'!$F$2-ROUNDDOWN('MainBalance'!$F$2*0,0))/2,0)+IF(MOD(('MainBalance'!$F$2-ROUNDDOWN('MainBalance'!$F$2*0,0)),2)&gt;0,1,0)</x:f>
        <x:v>2</x:v>
      </x:c>
      <x:c r="F2" s="19" t="n">
        <x:v>0</x:v>
      </x:c>
      <x:c r="G2" s="19" t="str">
        <x:v>Initial</x:v>
      </x:c>
      <x:c r="H2" s="19" t="str">
        <x:v>Melee</x:v>
      </x:c>
      <x:c r="I2" s="19" t="n">
        <x:v>0</x:v>
      </x:c>
      <x:c r="J2" s="19" t="n">
        <x:v>1</x:v>
      </x:c>
    </x:row>
    <x:row r="3" ht="25" customHeight="1">
      <x:c r="A3" s="19" t="str">
        <x:v>Main</x:v>
      </x:c>
      <x:c r="B3" s="19" t="n">
        <x:v>1</x:v>
      </x:c>
      <x:c r="C3" s="19" t="n">
        <x:v>1</x:v>
      </x:c>
      <x:c r="D3" s="19" t="str">
        <x:v>MON_BANDIT_SHIELD</x:v>
      </x:c>
      <x:c r="E3" s="21" t="n">
        <x:f>ROUNDDOWN(('MainBalance'!$F$2-ROUNDDOWN('MainBalance'!$F$2*0,0))/2,0)+IF(MOD(('MainBalance'!$F$2-ROUNDDOWN('MainBalance'!$F$2*0,0)),2)&gt;1,1,0)</x:f>
        <x:v>1</x:v>
      </x:c>
      <x:c r="F3" s="19" t="n">
        <x:v>0</x:v>
      </x:c>
      <x:c r="G3" s="19" t="str">
        <x:v>Initial</x:v>
      </x:c>
      <x:c r="H3" s="19" t="str">
        <x:v>Melee</x:v>
      </x:c>
      <x:c r="I3" s="19" t="n">
        <x:v>0</x:v>
      </x:c>
      <x:c r="J3" s="19" t="n">
        <x:v>1</x:v>
      </x:c>
    </x:row>
    <x:row r="4" ht="25" customHeight="1">
      <x:c r="A4" s="19" t="str">
        <x:v>Main</x:v>
      </x:c>
      <x:c r="B4" s="19" t="n">
        <x:v>1</x:v>
      </x:c>
      <x:c r="C4" s="19" t="n">
        <x:v>1</x:v>
      </x:c>
      <x:c r="D4" s="19" t="str">
        <x:v>MON_BANDIT_ARCHER</x:v>
      </x:c>
      <x:c r="E4" s="21" t="n">
        <x:f>ROUNDDOWN(ROUNDDOWN('MainBalance'!$F$2*0,0)/1,0)+IF(MOD(ROUNDDOWN('MainBalance'!$F$2*0,0),1)&gt;0,1,0)</x:f>
        <x:v>0</x:v>
      </x:c>
      <x:c r="F4" s="19" t="n">
        <x:v>0</x:v>
      </x:c>
      <x:c r="G4" s="19" t="str">
        <x:v>Initial</x:v>
      </x:c>
      <x:c r="H4" s="19" t="str">
        <x:v>Ranged</x:v>
      </x:c>
      <x:c r="I4" s="19" t="n">
        <x:v>0</x:v>
      </x:c>
      <x:c r="J4" s="19" t="n">
        <x:v>1</x:v>
      </x:c>
    </x:row>
    <x:row r="5" ht="25" customHeight="1">
      <x:c r="A5" s="19" t="str">
        <x:v>Main</x:v>
      </x:c>
      <x:c r="B5" s="19" t="n">
        <x:v>1</x:v>
      </x:c>
      <x:c r="C5" s="19" t="n">
        <x:v>2</x:v>
      </x:c>
      <x:c r="D5" s="19" t="str">
        <x:v>MON_BANDIT_LEADER</x:v>
      </x:c>
      <x:c r="E5" s="21" t="n">
        <x:f>ROUNDDOWN(('MainBalance'!$F$3-ROUNDDOWN('MainBalance'!$F$3*0,0))/2,0)+IF(MOD(('MainBalance'!$F$3-ROUNDDOWN('MainBalance'!$F$3*0,0)),2)&gt;0,1,0)</x:f>
        <x:v>3</x:v>
      </x:c>
      <x:c r="F5" s="19" t="n">
        <x:v>0</x:v>
      </x:c>
      <x:c r="G5" s="19" t="str">
        <x:v>Initial</x:v>
      </x:c>
      <x:c r="H5" s="19" t="str">
        <x:v>Melee</x:v>
      </x:c>
      <x:c r="I5" s="19" t="n">
        <x:v>0</x:v>
      </x:c>
      <x:c r="J5" s="19" t="n">
        <x:v>1</x:v>
      </x:c>
    </x:row>
    <x:row r="6" ht="25" customHeight="1">
      <x:c r="A6" s="19" t="str">
        <x:v>Main</x:v>
      </x:c>
      <x:c r="B6" s="19" t="n">
        <x:v>1</x:v>
      </x:c>
      <x:c r="C6" s="19" t="n">
        <x:v>2</x:v>
      </x:c>
      <x:c r="D6" s="19" t="str">
        <x:v>MON_BANDIT_SHIELD</x:v>
      </x:c>
      <x:c r="E6" s="21" t="n">
        <x:f>ROUNDDOWN(('MainBalance'!$F$3-ROUNDDOWN('MainBalance'!$F$3*0,0))/2,0)+IF(MOD(('MainBalance'!$F$3-ROUNDDOWN('MainBalance'!$F$3*0,0)),2)&gt;1,1,0)</x:f>
        <x:v>3</x:v>
      </x:c>
      <x:c r="F6" s="19" t="n">
        <x:v>0</x:v>
      </x:c>
      <x:c r="G6" s="19" t="str">
        <x:v>Initial</x:v>
      </x:c>
      <x:c r="H6" s="19" t="str">
        <x:v>Melee</x:v>
      </x:c>
      <x:c r="I6" s="19" t="n">
        <x:v>0</x:v>
      </x:c>
      <x:c r="J6" s="19" t="n">
        <x:v>1</x:v>
      </x:c>
    </x:row>
    <x:row r="7" ht="25" customHeight="1">
      <x:c r="A7" s="19" t="str">
        <x:v>Main</x:v>
      </x:c>
      <x:c r="B7" s="19" t="n">
        <x:v>1</x:v>
      </x:c>
      <x:c r="C7" s="19" t="n">
        <x:v>2</x:v>
      </x:c>
      <x:c r="D7" s="19" t="str">
        <x:v>MON_BANDIT_ARCHER</x:v>
      </x:c>
      <x:c r="E7" s="21" t="n">
        <x:f>ROUNDDOWN(ROUNDDOWN('MainBalance'!$F$3*0,0)/1,0)+IF(MOD(ROUNDDOWN('MainBalance'!$F$3*0,0),1)&gt;0,1,0)</x:f>
        <x:v>0</x:v>
      </x:c>
      <x:c r="F7" s="19" t="n">
        <x:v>0</x:v>
      </x:c>
      <x:c r="G7" s="19" t="str">
        <x:v>Initial</x:v>
      </x:c>
      <x:c r="H7" s="19" t="str">
        <x:v>Ranged</x:v>
      </x:c>
      <x:c r="I7" s="19" t="n">
        <x:v>0</x:v>
      </x:c>
      <x:c r="J7" s="19" t="n">
        <x:v>1</x:v>
      </x:c>
    </x:row>
    <x:row r="8" ht="25" customHeight="1">
      <x:c r="A8" s="19" t="str">
        <x:v>Main</x:v>
      </x:c>
      <x:c r="B8" s="19" t="n">
        <x:v>1</x:v>
      </x:c>
      <x:c r="C8" s="19" t="n">
        <x:v>3</x:v>
      </x:c>
      <x:c r="D8" s="19" t="str">
        <x:v>MON_BANDIT_LEADER</x:v>
      </x:c>
      <x:c r="E8" s="21" t="n">
        <x:f>ROUNDDOWN(('MainBalance'!$F$4-ROUNDDOWN('MainBalance'!$F$4*0,0))/2,0)+IF(MOD(('MainBalance'!$F$4-ROUNDDOWN('MainBalance'!$F$4*0,0)),2)&gt;0,1,0)</x:f>
        <x:v>4</x:v>
      </x:c>
      <x:c r="F8" s="19" t="n">
        <x:v>0</x:v>
      </x:c>
      <x:c r="G8" s="19" t="str">
        <x:v>Initial</x:v>
      </x:c>
      <x:c r="H8" s="19" t="str">
        <x:v>Melee</x:v>
      </x:c>
      <x:c r="I8" s="19" t="n">
        <x:v>0</x:v>
      </x:c>
      <x:c r="J8" s="19" t="n">
        <x:v>1</x:v>
      </x:c>
    </x:row>
    <x:row r="9" ht="25" customHeight="1">
      <x:c r="A9" s="19" t="str">
        <x:v>Main</x:v>
      </x:c>
      <x:c r="B9" s="19" t="n">
        <x:v>1</x:v>
      </x:c>
      <x:c r="C9" s="19" t="n">
        <x:v>3</x:v>
      </x:c>
      <x:c r="D9" s="19" t="str">
        <x:v>MON_BANDIT_SHIELD</x:v>
      </x:c>
      <x:c r="E9" s="21" t="n">
        <x:f>ROUNDDOWN(('MainBalance'!$F$4-ROUNDDOWN('MainBalance'!$F$4*0,0))/2,0)+IF(MOD(('MainBalance'!$F$4-ROUNDDOWN('MainBalance'!$F$4*0,0)),2)&gt;1,1,0)</x:f>
        <x:v>4</x:v>
      </x:c>
      <x:c r="F9" s="19" t="n">
        <x:v>0</x:v>
      </x:c>
      <x:c r="G9" s="19" t="str">
        <x:v>Initial</x:v>
      </x:c>
      <x:c r="H9" s="19" t="str">
        <x:v>Melee</x:v>
      </x:c>
      <x:c r="I9" s="19" t="n">
        <x:v>0</x:v>
      </x:c>
      <x:c r="J9" s="19" t="n">
        <x:v>1</x:v>
      </x:c>
    </x:row>
    <x:row r="10" ht="25" customHeight="1">
      <x:c r="A10" s="19" t="str">
        <x:v>Main</x:v>
      </x:c>
      <x:c r="B10" s="19" t="n">
        <x:v>1</x:v>
      </x:c>
      <x:c r="C10" s="19" t="n">
        <x:v>3</x:v>
      </x:c>
      <x:c r="D10" s="19" t="str">
        <x:v>MON_BANDIT_ARCHER</x:v>
      </x:c>
      <x:c r="E10" s="21" t="n">
        <x:f>ROUNDDOWN(ROUNDDOWN('MainBalance'!$F$4*0,0)/1,0)+IF(MOD(ROUNDDOWN('MainBalance'!$F$4*0,0),1)&gt;0,1,0)</x:f>
        <x:v>0</x:v>
      </x:c>
      <x:c r="F10" s="19" t="n">
        <x:v>0</x:v>
      </x:c>
      <x:c r="G10" s="19" t="str">
        <x:v>Initial</x:v>
      </x:c>
      <x:c r="H10" s="19" t="str">
        <x:v>Ranged</x:v>
      </x:c>
      <x:c r="I10" s="19" t="n">
        <x:v>0</x:v>
      </x:c>
      <x:c r="J10" s="19" t="n">
        <x:v>1</x:v>
      </x:c>
    </x:row>
    <x:row r="11" ht="25" customHeight="1">
      <x:c r="A11" s="19" t="str">
        <x:v>Main</x:v>
      </x:c>
      <x:c r="B11" s="19" t="n">
        <x:v>1</x:v>
      </x:c>
      <x:c r="C11" s="19" t="n">
        <x:v>4</x:v>
      </x:c>
      <x:c r="D11" s="19" t="str">
        <x:v>MON_BANDIT_LEADER</x:v>
      </x:c>
      <x:c r="E11" s="21" t="n">
        <x:f>ROUNDDOWN(('MainBalance'!$F$5-ROUNDDOWN('MainBalance'!$F$5*0.25,0))/2,0)+IF(MOD(('MainBalance'!$F$5-ROUNDDOWN('MainBalance'!$F$5*0.25,0)),2)&gt;0,1,0)</x:f>
        <x:v>4</x:v>
      </x:c>
      <x:c r="F11" s="19" t="n">
        <x:v>0</x:v>
      </x:c>
      <x:c r="G11" s="19" t="str">
        <x:v>Initial</x:v>
      </x:c>
      <x:c r="H11" s="19" t="str">
        <x:v>Melee</x:v>
      </x:c>
      <x:c r="I11" s="19" t="n">
        <x:v>0</x:v>
      </x:c>
      <x:c r="J11" s="19" t="n">
        <x:v>1</x:v>
      </x:c>
    </x:row>
    <x:row r="12" ht="25" customHeight="1">
      <x:c r="A12" s="19" t="str">
        <x:v>Main</x:v>
      </x:c>
      <x:c r="B12" s="19" t="n">
        <x:v>1</x:v>
      </x:c>
      <x:c r="C12" s="19" t="n">
        <x:v>4</x:v>
      </x:c>
      <x:c r="D12" s="19" t="str">
        <x:v>MON_BANDIT_SHIELD</x:v>
      </x:c>
      <x:c r="E12" s="21" t="n">
        <x:f>ROUNDDOWN(('MainBalance'!$F$5-ROUNDDOWN('MainBalance'!$F$5*0.25,0))/2,0)+IF(MOD(('MainBalance'!$F$5-ROUNDDOWN('MainBalance'!$F$5*0.25,0)),2)&gt;1,1,0)</x:f>
        <x:v>4</x:v>
      </x:c>
      <x:c r="F12" s="19" t="n">
        <x:v>0</x:v>
      </x:c>
      <x:c r="G12" s="19" t="str">
        <x:v>Initial</x:v>
      </x:c>
      <x:c r="H12" s="19" t="str">
        <x:v>Melee</x:v>
      </x:c>
      <x:c r="I12" s="19" t="n">
        <x:v>0</x:v>
      </x:c>
      <x:c r="J12" s="19" t="n">
        <x:v>1</x:v>
      </x:c>
    </x:row>
    <x:row r="13" ht="25" customHeight="1">
      <x:c r="A13" s="19" t="str">
        <x:v>Main</x:v>
      </x:c>
      <x:c r="B13" s="19" t="n">
        <x:v>1</x:v>
      </x:c>
      <x:c r="C13" s="19" t="n">
        <x:v>4</x:v>
      </x:c>
      <x:c r="D13" s="19" t="str">
        <x:v>MON_BANDIT_ARCHER</x:v>
      </x:c>
      <x:c r="E13" s="21" t="n">
        <x:f>ROUNDDOWN(ROUNDDOWN('MainBalance'!$F$5*0.25,0)/1,0)+IF(MOD(ROUNDDOWN('MainBalance'!$F$5*0.25,0),1)&gt;0,1,0)</x:f>
        <x:v>2</x:v>
      </x:c>
      <x:c r="F13" s="19" t="n">
        <x:v>0</x:v>
      </x:c>
      <x:c r="G13" s="19" t="str">
        <x:v>Initial</x:v>
      </x:c>
      <x:c r="H13" s="19" t="str">
        <x:v>Ranged</x:v>
      </x:c>
      <x:c r="I13" s="19" t="n">
        <x:v>0</x:v>
      </x:c>
      <x:c r="J13" s="19" t="n">
        <x:v>1</x:v>
      </x:c>
    </x:row>
    <x:row r="14" ht="25" customHeight="1">
      <x:c r="A14" s="19" t="str">
        <x:v>Main</x:v>
      </x:c>
      <x:c r="B14" s="19" t="n">
        <x:v>1</x:v>
      </x:c>
      <x:c r="C14" s="19" t="n">
        <x:v>5</x:v>
      </x:c>
      <x:c r="D14" s="19" t="str">
        <x:v>MON_BANDIT_LEADER</x:v>
      </x:c>
      <x:c r="E14" s="21" t="n">
        <x:f>ROUNDDOWN(('MainBalance'!$F$6-ROUNDDOWN('MainBalance'!$F$6*0.25,0))/2,0)+IF(MOD(('MainBalance'!$F$6-ROUNDDOWN('MainBalance'!$F$6*0.25,0)),2)&gt;0,1,0)</x:f>
        <x:v>5</x:v>
      </x:c>
      <x:c r="F14" s="19" t="n">
        <x:v>0</x:v>
      </x:c>
      <x:c r="G14" s="19" t="str">
        <x:v>Initial</x:v>
      </x:c>
      <x:c r="H14" s="19" t="str">
        <x:v>Melee</x:v>
      </x:c>
      <x:c r="I14" s="19" t="n">
        <x:v>0</x:v>
      </x:c>
      <x:c r="J14" s="19" t="n">
        <x:v>1</x:v>
      </x:c>
    </x:row>
    <x:row r="15" ht="25" customHeight="1">
      <x:c r="A15" s="19" t="str">
        <x:v>Main</x:v>
      </x:c>
      <x:c r="B15" s="19" t="n">
        <x:v>1</x:v>
      </x:c>
      <x:c r="C15" s="19" t="n">
        <x:v>5</x:v>
      </x:c>
      <x:c r="D15" s="19" t="str">
        <x:v>MON_BANDIT_SHIELD</x:v>
      </x:c>
      <x:c r="E15" s="21" t="n">
        <x:f>ROUNDDOWN(('MainBalance'!$F$6-ROUNDDOWN('MainBalance'!$F$6*0.25,0))/2,0)+IF(MOD(('MainBalance'!$F$6-ROUNDDOWN('MainBalance'!$F$6*0.25,0)),2)&gt;1,1,0)</x:f>
        <x:v>4</x:v>
      </x:c>
      <x:c r="F15" s="19" t="n">
        <x:v>0</x:v>
      </x:c>
      <x:c r="G15" s="19" t="str">
        <x:v>Initial</x:v>
      </x:c>
      <x:c r="H15" s="19" t="str">
        <x:v>Melee</x:v>
      </x:c>
      <x:c r="I15" s="19" t="n">
        <x:v>0</x:v>
      </x:c>
      <x:c r="J15" s="19" t="n">
        <x:v>1</x:v>
      </x:c>
    </x:row>
    <x:row r="16" ht="25" customHeight="1">
      <x:c r="A16" s="19" t="str">
        <x:v>Main</x:v>
      </x:c>
      <x:c r="B16" s="19" t="n">
        <x:v>1</x:v>
      </x:c>
      <x:c r="C16" s="19" t="n">
        <x:v>5</x:v>
      </x:c>
      <x:c r="D16" s="19" t="str">
        <x:v>MON_BANDIT_ARCHER</x:v>
      </x:c>
      <x:c r="E16" s="21" t="n">
        <x:f>ROUNDDOWN(ROUNDDOWN('MainBalance'!$F$6*0.25,0)/1,0)+IF(MOD(ROUNDDOWN('MainBalance'!$F$6*0.25,0),1)&gt;0,1,0)</x:f>
        <x:v>3</x:v>
      </x:c>
      <x:c r="F16" s="19" t="n">
        <x:v>0</x:v>
      </x:c>
      <x:c r="G16" s="19" t="str">
        <x:v>Initial</x:v>
      </x:c>
      <x:c r="H16" s="19" t="str">
        <x:v>Ranged</x:v>
      </x:c>
      <x:c r="I16" s="19" t="n">
        <x:v>0</x:v>
      </x:c>
      <x:c r="J16" s="19" t="n">
        <x:v>1</x:v>
      </x:c>
    </x:row>
    <x:row r="17" ht="25" customHeight="1">
      <x:c r="A17" s="19" t="str">
        <x:v>Main</x:v>
      </x:c>
      <x:c r="B17" s="19" t="n">
        <x:v>1</x:v>
      </x:c>
      <x:c r="C17" s="19" t="n">
        <x:v>6</x:v>
      </x:c>
      <x:c r="D17" s="19" t="str">
        <x:v>MON_BANDIT_LEADER</x:v>
      </x:c>
      <x:c r="E17" s="21" t="n">
        <x:f>ROUNDDOWN(('MainBalance'!$F$7-ROUNDDOWN('MainBalance'!$F$7*0.25,0))/2,0)+IF(MOD(('MainBalance'!$F$7-ROUNDDOWN('MainBalance'!$F$7*0.25,0)),2)&gt;0,1,0)</x:f>
        <x:v>6</x:v>
      </x:c>
      <x:c r="F17" s="19" t="n">
        <x:v>0</x:v>
      </x:c>
      <x:c r="G17" s="19" t="str">
        <x:v>Initial</x:v>
      </x:c>
      <x:c r="H17" s="19" t="str">
        <x:v>Melee</x:v>
      </x:c>
      <x:c r="I17" s="19" t="n">
        <x:v>0</x:v>
      </x:c>
      <x:c r="J17" s="19" t="n">
        <x:v>1</x:v>
      </x:c>
    </x:row>
    <x:row r="18" ht="25" customHeight="1">
      <x:c r="A18" s="19" t="str">
        <x:v>Main</x:v>
      </x:c>
      <x:c r="B18" s="19" t="n">
        <x:v>1</x:v>
      </x:c>
      <x:c r="C18" s="19" t="n">
        <x:v>6</x:v>
      </x:c>
      <x:c r="D18" s="19" t="str">
        <x:v>MON_BANDIT_SHIELD</x:v>
      </x:c>
      <x:c r="E18" s="21" t="n">
        <x:f>ROUNDDOWN(('MainBalance'!$F$7-ROUNDDOWN('MainBalance'!$F$7*0.25,0))/2,0)+IF(MOD(('MainBalance'!$F$7-ROUNDDOWN('MainBalance'!$F$7*0.25,0)),2)&gt;1,1,0)</x:f>
        <x:v>5</x:v>
      </x:c>
      <x:c r="F18" s="19" t="n">
        <x:v>0</x:v>
      </x:c>
      <x:c r="G18" s="19" t="str">
        <x:v>Initial</x:v>
      </x:c>
      <x:c r="H18" s="19" t="str">
        <x:v>Melee</x:v>
      </x:c>
      <x:c r="I18" s="19" t="n">
        <x:v>0</x:v>
      </x:c>
      <x:c r="J18" s="19" t="n">
        <x:v>1</x:v>
      </x:c>
    </x:row>
    <x:row r="19" ht="25" customHeight="1">
      <x:c r="A19" s="19" t="str">
        <x:v>Main</x:v>
      </x:c>
      <x:c r="B19" s="19" t="n">
        <x:v>1</x:v>
      </x:c>
      <x:c r="C19" s="19" t="n">
        <x:v>6</x:v>
      </x:c>
      <x:c r="D19" s="19" t="str">
        <x:v>MON_BANDIT_ARCHER</x:v>
      </x:c>
      <x:c r="E19" s="21" t="n">
        <x:f>ROUNDDOWN(ROUNDDOWN('MainBalance'!$F$7*0.25,0)/1,0)+IF(MOD(ROUNDDOWN('MainBalance'!$F$7*0.25,0),1)&gt;0,1,0)</x:f>
        <x:v>3</x:v>
      </x:c>
      <x:c r="F19" s="19" t="n">
        <x:v>0</x:v>
      </x:c>
      <x:c r="G19" s="19" t="str">
        <x:v>Initial</x:v>
      </x:c>
      <x:c r="H19" s="19" t="str">
        <x:v>Ranged</x:v>
      </x:c>
      <x:c r="I19" s="19" t="n">
        <x:v>0</x:v>
      </x:c>
      <x:c r="J19" s="19" t="n">
        <x:v>1</x:v>
      </x:c>
    </x:row>
    <x:row r="20" ht="25" customHeight="1">
      <x:c r="A20" s="19" t="str">
        <x:v>Main</x:v>
      </x:c>
      <x:c r="B20" s="19" t="n">
        <x:v>1</x:v>
      </x:c>
      <x:c r="C20" s="19" t="n">
        <x:v>7</x:v>
      </x:c>
      <x:c r="D20" s="19" t="str">
        <x:v>MON_BANDIT_LEADER</x:v>
      </x:c>
      <x:c r="E20" s="21" t="n">
        <x:f>ROUNDDOWN(('MainBalance'!$F$8-ROUNDDOWN('MainBalance'!$F$8*0.25,0))/2,0)+IF(MOD(('MainBalance'!$F$8-ROUNDDOWN('MainBalance'!$F$8*0.25,0)),2)&gt;0,1,0)</x:f>
        <x:v>6</x:v>
      </x:c>
      <x:c r="F20" s="19" t="n">
        <x:v>0</x:v>
      </x:c>
      <x:c r="G20" s="19" t="str">
        <x:v>Initial</x:v>
      </x:c>
      <x:c r="H20" s="19" t="str">
        <x:v>Melee</x:v>
      </x:c>
      <x:c r="I20" s="19" t="n">
        <x:v>0</x:v>
      </x:c>
      <x:c r="J20" s="19" t="n">
        <x:v>1</x:v>
      </x:c>
    </x:row>
    <x:row r="21" ht="25" customHeight="1">
      <x:c r="A21" s="19" t="str">
        <x:v>Main</x:v>
      </x:c>
      <x:c r="B21" s="19" t="n">
        <x:v>1</x:v>
      </x:c>
      <x:c r="C21" s="19" t="n">
        <x:v>7</x:v>
      </x:c>
      <x:c r="D21" s="19" t="str">
        <x:v>MON_BANDIT_SHIELD</x:v>
      </x:c>
      <x:c r="E21" s="21" t="n">
        <x:f>ROUNDDOWN(('MainBalance'!$F$8-ROUNDDOWN('MainBalance'!$F$8*0.25,0))/2,0)+IF(MOD(('MainBalance'!$F$8-ROUNDDOWN('MainBalance'!$F$8*0.25,0)),2)&gt;1,1,0)</x:f>
        <x:v>6</x:v>
      </x:c>
      <x:c r="F21" s="19" t="n">
        <x:v>0</x:v>
      </x:c>
      <x:c r="G21" s="19" t="str">
        <x:v>Initial</x:v>
      </x:c>
      <x:c r="H21" s="19" t="str">
        <x:v>Melee</x:v>
      </x:c>
      <x:c r="I21" s="19" t="n">
        <x:v>0</x:v>
      </x:c>
      <x:c r="J21" s="19" t="n">
        <x:v>1</x:v>
      </x:c>
    </x:row>
    <x:row r="22" ht="25" customHeight="1">
      <x:c r="A22" s="19" t="str">
        <x:v>Main</x:v>
      </x:c>
      <x:c r="B22" s="19" t="n">
        <x:v>1</x:v>
      </x:c>
      <x:c r="C22" s="19" t="n">
        <x:v>7</x:v>
      </x:c>
      <x:c r="D22" s="19" t="str">
        <x:v>MON_BANDIT_ARCHER</x:v>
      </x:c>
      <x:c r="E22" s="21" t="n">
        <x:f>ROUNDDOWN(ROUNDDOWN('MainBalance'!$F$8*0.25,0)/1,0)+IF(MOD(ROUNDDOWN('MainBalance'!$F$8*0.25,0),1)&gt;0,1,0)</x:f>
        <x:v>4</x:v>
      </x:c>
      <x:c r="F22" s="19" t="n">
        <x:v>0</x:v>
      </x:c>
      <x:c r="G22" s="19" t="str">
        <x:v>Initial</x:v>
      </x:c>
      <x:c r="H22" s="19" t="str">
        <x:v>Ranged</x:v>
      </x:c>
      <x:c r="I22" s="19" t="n">
        <x:v>0</x:v>
      </x:c>
      <x:c r="J22" s="19" t="n">
        <x:v>1</x:v>
      </x:c>
    </x:row>
    <x:row r="23" ht="25" customHeight="1">
      <x:c r="A23" s="19" t="str">
        <x:v>Main</x:v>
      </x:c>
      <x:c r="B23" s="19" t="n">
        <x:v>1</x:v>
      </x:c>
      <x:c r="C23" s="19" t="n">
        <x:v>8</x:v>
      </x:c>
      <x:c r="D23" s="19" t="str">
        <x:v>MON_BANDIT_LEADER</x:v>
      </x:c>
      <x:c r="E23" s="21" t="n">
        <x:f>ROUNDDOWN(('MainBalance'!$F$9-ROUNDDOWN('MainBalance'!$F$9*0.4,0))/2,0)+IF(MOD(('MainBalance'!$F$9-ROUNDDOWN('MainBalance'!$F$9*0.4,0)),2)&gt;0,1,0)</x:f>
        <x:v>6</x:v>
      </x:c>
      <x:c r="F23" s="19" t="n">
        <x:v>0</x:v>
      </x:c>
      <x:c r="G23" s="19" t="str">
        <x:v>Initial</x:v>
      </x:c>
      <x:c r="H23" s="19" t="str">
        <x:v>Melee</x:v>
      </x:c>
      <x:c r="I23" s="19" t="n">
        <x:v>0</x:v>
      </x:c>
      <x:c r="J23" s="19" t="n">
        <x:v>1</x:v>
      </x:c>
    </x:row>
    <x:row r="24" ht="25" customHeight="1">
      <x:c r="A24" s="19" t="str">
        <x:v>Main</x:v>
      </x:c>
      <x:c r="B24" s="19" t="n">
        <x:v>1</x:v>
      </x:c>
      <x:c r="C24" s="19" t="n">
        <x:v>8</x:v>
      </x:c>
      <x:c r="D24" s="19" t="str">
        <x:v>MON_BANDIT_SHIELD</x:v>
      </x:c>
      <x:c r="E24" s="21" t="n">
        <x:f>ROUNDDOWN(('MainBalance'!$F$9-ROUNDDOWN('MainBalance'!$F$9*0.4,0))/2,0)+IF(MOD(('MainBalance'!$F$9-ROUNDDOWN('MainBalance'!$F$9*0.4,0)),2)&gt;1,1,0)</x:f>
        <x:v>5</x:v>
      </x:c>
      <x:c r="F24" s="19" t="n">
        <x:v>0</x:v>
      </x:c>
      <x:c r="G24" s="19" t="str">
        <x:v>Initial</x:v>
      </x:c>
      <x:c r="H24" s="19" t="str">
        <x:v>Melee</x:v>
      </x:c>
      <x:c r="I24" s="19" t="n">
        <x:v>0</x:v>
      </x:c>
      <x:c r="J24" s="19" t="n">
        <x:v>1</x:v>
      </x:c>
    </x:row>
    <x:row r="25" ht="25" customHeight="1">
      <x:c r="A25" s="19" t="str">
        <x:v>Main</x:v>
      </x:c>
      <x:c r="B25" s="19" t="n">
        <x:v>1</x:v>
      </x:c>
      <x:c r="C25" s="19" t="n">
        <x:v>8</x:v>
      </x:c>
      <x:c r="D25" s="19" t="str">
        <x:v>MON_BANDIT_ARCHER</x:v>
      </x:c>
      <x:c r="E25" s="21" t="n">
        <x:f>ROUNDDOWN(ROUNDDOWN('MainBalance'!$F$9*0.4,0)/1,0)+IF(MOD(ROUNDDOWN('MainBalance'!$F$9*0.4,0),1)&gt;0,1,0)</x:f>
        <x:v>7</x:v>
      </x:c>
      <x:c r="F25" s="19" t="n">
        <x:v>0</x:v>
      </x:c>
      <x:c r="G25" s="19" t="str">
        <x:v>Initial</x:v>
      </x:c>
      <x:c r="H25" s="19" t="str">
        <x:v>Ranged</x:v>
      </x:c>
      <x:c r="I25" s="19" t="n">
        <x:v>0</x:v>
      </x:c>
      <x:c r="J25" s="19" t="n">
        <x:v>1</x:v>
      </x:c>
    </x:row>
    <x:row r="26" ht="25" customHeight="1">
      <x:c r="A26" s="19" t="str">
        <x:v>Main</x:v>
      </x:c>
      <x:c r="B26" s="19" t="n">
        <x:v>1</x:v>
      </x:c>
      <x:c r="C26" s="19" t="n">
        <x:v>9</x:v>
      </x:c>
      <x:c r="D26" s="19" t="str">
        <x:v>MON_BANDIT_LEADER</x:v>
      </x:c>
      <x:c r="E26" s="21" t="n">
        <x:f>ROUNDDOWN(('MainBalance'!$F$10-ROUNDDOWN('MainBalance'!$F$10*0.4,0))/2,0)+IF(MOD(('MainBalance'!$F$10-ROUNDDOWN('MainBalance'!$F$10*0.4,0)),2)&gt;0,1,0)</x:f>
        <x:v>6</x:v>
      </x:c>
      <x:c r="F26" s="19" t="n">
        <x:v>0</x:v>
      </x:c>
      <x:c r="G26" s="19" t="str">
        <x:v>Initial</x:v>
      </x:c>
      <x:c r="H26" s="19" t="str">
        <x:v>Melee</x:v>
      </x:c>
      <x:c r="I26" s="19" t="n">
        <x:v>0</x:v>
      </x:c>
      <x:c r="J26" s="19" t="n">
        <x:v>1</x:v>
      </x:c>
    </x:row>
    <x:row r="27" ht="25" customHeight="1">
      <x:c r="A27" s="19" t="str">
        <x:v>Main</x:v>
      </x:c>
      <x:c r="B27" s="19" t="n">
        <x:v>1</x:v>
      </x:c>
      <x:c r="C27" s="19" t="n">
        <x:v>9</x:v>
      </x:c>
      <x:c r="D27" s="19" t="str">
        <x:v>MON_BANDIT_SHIELD</x:v>
      </x:c>
      <x:c r="E27" s="21" t="n">
        <x:f>ROUNDDOWN(('MainBalance'!$F$10-ROUNDDOWN('MainBalance'!$F$10*0.4,0))/2,0)+IF(MOD(('MainBalance'!$F$10-ROUNDDOWN('MainBalance'!$F$10*0.4,0)),2)&gt;1,1,0)</x:f>
        <x:v>6</x:v>
      </x:c>
      <x:c r="F27" s="19" t="n">
        <x:v>0</x:v>
      </x:c>
      <x:c r="G27" s="19" t="str">
        <x:v>Initial</x:v>
      </x:c>
      <x:c r="H27" s="19" t="str">
        <x:v>Melee</x:v>
      </x:c>
      <x:c r="I27" s="19" t="n">
        <x:v>0</x:v>
      </x:c>
      <x:c r="J27" s="19" t="n">
        <x:v>1</x:v>
      </x:c>
    </x:row>
    <x:row r="28" ht="25" customHeight="1">
      <x:c r="A28" s="19" t="str">
        <x:v>Main</x:v>
      </x:c>
      <x:c r="B28" s="19" t="n">
        <x:v>1</x:v>
      </x:c>
      <x:c r="C28" s="19" t="n">
        <x:v>9</x:v>
      </x:c>
      <x:c r="D28" s="19" t="str">
        <x:v>MON_BANDIT_ARCHER</x:v>
      </x:c>
      <x:c r="E28" s="21" t="n">
        <x:f>ROUNDDOWN(ROUNDDOWN('MainBalance'!$F$10*0.4,0)/1,0)+IF(MOD(ROUNDDOWN('MainBalance'!$F$10*0.4,0),1)&gt;0,1,0)</x:f>
        <x:v>8</x:v>
      </x:c>
      <x:c r="F28" s="19" t="n">
        <x:v>0</x:v>
      </x:c>
      <x:c r="G28" s="19" t="str">
        <x:v>Initial</x:v>
      </x:c>
      <x:c r="H28" s="19" t="str">
        <x:v>Ranged</x:v>
      </x:c>
      <x:c r="I28" s="19" t="n">
        <x:v>0</x:v>
      </x:c>
      <x:c r="J28" s="19" t="n">
        <x:v>1</x:v>
      </x:c>
    </x:row>
    <x:row r="29" ht="25" customHeight="1">
      <x:c r="A29" s="19" t="str">
        <x:v>Main</x:v>
      </x:c>
      <x:c r="B29" s="19" t="n">
        <x:v>1</x:v>
      </x:c>
      <x:c r="C29" s="19" t="n">
        <x:v>10</x:v>
      </x:c>
      <x:c r="D29" s="19" t="str">
        <x:v>MON_BANDIT_LEADER</x:v>
      </x:c>
      <x:c r="E29" s="21" t="n">
        <x:f>ROUNDDOWN(('MainBalance'!$F$11-ROUNDDOWN('MainBalance'!$F$11*0.4,0))/2,0)+IF(MOD(('MainBalance'!$F$11-ROUNDDOWN('MainBalance'!$F$11*0.4,0)),2)&gt;0,1,0)</x:f>
        <x:v>8</x:v>
      </x:c>
      <x:c r="F29" s="19" t="n">
        <x:v>0</x:v>
      </x:c>
      <x:c r="G29" s="19" t="str">
        <x:v>Initial</x:v>
      </x:c>
      <x:c r="H29" s="19" t="str">
        <x:v>Melee</x:v>
      </x:c>
      <x:c r="I29" s="19" t="n">
        <x:v>0</x:v>
      </x:c>
      <x:c r="J29" s="19" t="n">
        <x:v>1</x:v>
      </x:c>
    </x:row>
    <x:row r="30" ht="25" customHeight="1">
      <x:c r="A30" s="19" t="str">
        <x:v>Main</x:v>
      </x:c>
      <x:c r="B30" s="19" t="n">
        <x:v>1</x:v>
      </x:c>
      <x:c r="C30" s="19" t="n">
        <x:v>10</x:v>
      </x:c>
      <x:c r="D30" s="19" t="str">
        <x:v>MON_BANDIT_SHIELD</x:v>
      </x:c>
      <x:c r="E30" s="21" t="n">
        <x:f>ROUNDDOWN(('MainBalance'!$F$11-ROUNDDOWN('MainBalance'!$F$11*0.4,0))/2,0)+IF(MOD(('MainBalance'!$F$11-ROUNDDOWN('MainBalance'!$F$11*0.4,0)),2)&gt;1,1,0)</x:f>
        <x:v>7</x:v>
      </x:c>
      <x:c r="F30" s="19" t="n">
        <x:v>0</x:v>
      </x:c>
      <x:c r="G30" s="19" t="str">
        <x:v>Initial</x:v>
      </x:c>
      <x:c r="H30" s="19" t="str">
        <x:v>Melee</x:v>
      </x:c>
      <x:c r="I30" s="19" t="n">
        <x:v>0</x:v>
      </x:c>
      <x:c r="J30" s="19" t="n">
        <x:v>1</x:v>
      </x:c>
    </x:row>
    <x:row r="31" ht="25" customHeight="1">
      <x:c r="A31" s="19" t="str">
        <x:v>Main</x:v>
      </x:c>
      <x:c r="B31" s="19" t="n">
        <x:v>1</x:v>
      </x:c>
      <x:c r="C31" s="19" t="n">
        <x:v>10</x:v>
      </x:c>
      <x:c r="D31" s="19" t="str">
        <x:v>MON_BANDIT_ARCHER</x:v>
      </x:c>
      <x:c r="E31" s="21" t="n">
        <x:f>ROUNDDOWN(ROUNDDOWN('MainBalance'!$F$11*0.4,0)/1,0)+IF(MOD(ROUNDDOWN('MainBalance'!$F$11*0.4,0),1)&gt;0,1,0)</x:f>
        <x:v>9</x:v>
      </x:c>
      <x:c r="F31" s="19" t="n">
        <x:v>0</x:v>
      </x:c>
      <x:c r="G31" s="19" t="str">
        <x:v>Initial</x:v>
      </x:c>
      <x:c r="H31" s="19" t="str">
        <x:v>Ranged</x:v>
      </x:c>
      <x:c r="I31" s="19" t="n">
        <x:v>0</x:v>
      </x:c>
      <x:c r="J31" s="19" t="n">
        <x:v>1</x:v>
      </x:c>
    </x:row>
    <x:row r="32" ht="25" customHeight="1">
      <x:c r="A32" s="19" t="str">
        <x:v>Main</x:v>
      </x:c>
      <x:c r="B32" s="19" t="n">
        <x:v>1</x:v>
      </x:c>
      <x:c r="C32" s="19" t="n">
        <x:v>11</x:v>
      </x:c>
      <x:c r="D32" s="19" t="str">
        <x:v>BANDIT_KING</x:v>
      </x:c>
      <x:c r="E32" s="21" t="n">
        <x:f>'MainBalance'!F12</x:f>
        <x:v>1</x:v>
      </x:c>
      <x:c r="F32" s="19" t="n">
        <x:v>0</x:v>
      </x:c>
      <x:c r="G32" s="19" t="str">
        <x:v>Initial</x:v>
      </x:c>
      <x:c r="H32" s="19" t="str">
        <x:v>Boss</x:v>
      </x:c>
      <x:c r="I32" s="19" t="n">
        <x:v>0</x:v>
      </x:c>
      <x:c r="J32" s="19" t="n">
        <x:v>1</x:v>
      </x:c>
    </x:row>
    <x:row r="33" ht="25" customHeight="1">
      <x:c r="A33" s="19" t="str">
        <x:v>Main</x:v>
      </x:c>
      <x:c r="B33" s="19" t="n">
        <x:v>2</x:v>
      </x:c>
      <x:c r="C33" s="19" t="n">
        <x:v>1</x:v>
      </x:c>
      <x:c r="D33" s="19" t="str">
        <x:v>GOBLIN</x:v>
      </x:c>
      <x:c r="E33" s="21" t="n">
        <x:f>ROUNDDOWN(('MainBalance'!$F$13-ROUNDDOWN('MainBalance'!$F$13*0,0))/2,0)+IF(MOD(('MainBalance'!$F$13-ROUNDDOWN('MainBalance'!$F$13*0,0)),2)&gt;0,1,0)</x:f>
        <x:v>2</x:v>
      </x:c>
      <x:c r="F33" s="19" t="n">
        <x:v>0</x:v>
      </x:c>
      <x:c r="G33" s="19" t="str">
        <x:v>Initial</x:v>
      </x:c>
      <x:c r="H33" s="19" t="str">
        <x:v>Melee</x:v>
      </x:c>
      <x:c r="I33" s="19" t="n">
        <x:v>0</x:v>
      </x:c>
      <x:c r="J33" s="19" t="n">
        <x:v>1</x:v>
      </x:c>
    </x:row>
    <x:row r="34" ht="25" customHeight="1">
      <x:c r="A34" s="19" t="str">
        <x:v>Main</x:v>
      </x:c>
      <x:c r="B34" s="19" t="n">
        <x:v>2</x:v>
      </x:c>
      <x:c r="C34" s="19" t="n">
        <x:v>1</x:v>
      </x:c>
      <x:c r="D34" s="19" t="str">
        <x:v>GOBLIN_ASSASSIN</x:v>
      </x:c>
      <x:c r="E34" s="21" t="n">
        <x:f>ROUNDDOWN(('MainBalance'!$F$13-ROUNDDOWN('MainBalance'!$F$13*0,0))/2,0)+IF(MOD(('MainBalance'!$F$13-ROUNDDOWN('MainBalance'!$F$13*0,0)),2)&gt;1,1,0)</x:f>
        <x:v>1</x:v>
      </x:c>
      <x:c r="F34" s="19" t="n">
        <x:v>0</x:v>
      </x:c>
      <x:c r="G34" s="19" t="str">
        <x:v>Initial</x:v>
      </x:c>
      <x:c r="H34" s="19" t="str">
        <x:v>Melee</x:v>
      </x:c>
      <x:c r="I34" s="19" t="n">
        <x:v>0</x:v>
      </x:c>
      <x:c r="J34" s="19" t="n">
        <x:v>1</x:v>
      </x:c>
    </x:row>
    <x:row r="35" ht="25" customHeight="1">
      <x:c r="A35" s="19" t="str">
        <x:v>Main</x:v>
      </x:c>
      <x:c r="B35" s="19" t="n">
        <x:v>2</x:v>
      </x:c>
      <x:c r="C35" s="19" t="n">
        <x:v>1</x:v>
      </x:c>
      <x:c r="D35" s="19" t="str">
        <x:v>GOBLIN_BOMBER</x:v>
      </x:c>
      <x:c r="E35" s="21" t="n">
        <x:f>ROUNDDOWN(ROUNDDOWN('MainBalance'!$F$13*0,0)/2,0)+IF(MOD(ROUNDDOWN('MainBalance'!$F$13*0,0),2)&gt;0,1,0)</x:f>
        <x:v>0</x:v>
      </x:c>
      <x:c r="F35" s="19" t="n">
        <x:v>0</x:v>
      </x:c>
      <x:c r="G35" s="19" t="str">
        <x:v>Initial</x:v>
      </x:c>
      <x:c r="H35" s="19" t="str">
        <x:v>Ranged</x:v>
      </x:c>
      <x:c r="I35" s="19" t="n">
        <x:v>0</x:v>
      </x:c>
      <x:c r="J35" s="19" t="n">
        <x:v>1</x:v>
      </x:c>
    </x:row>
    <x:row r="36" ht="25" customHeight="1">
      <x:c r="A36" s="19" t="str">
        <x:v>Main</x:v>
      </x:c>
      <x:c r="B36" s="19" t="n">
        <x:v>2</x:v>
      </x:c>
      <x:c r="C36" s="19" t="n">
        <x:v>1</x:v>
      </x:c>
      <x:c r="D36" s="19" t="str">
        <x:v>GOBLIN_SHAMAN</x:v>
      </x:c>
      <x:c r="E36" s="21" t="n">
        <x:f>ROUNDDOWN(ROUNDDOWN('MainBalance'!$F$13*0,0)/2,0)+IF(MOD(ROUNDDOWN('MainBalance'!$F$13*0,0),2)&gt;1,1,0)</x:f>
        <x:v>0</x:v>
      </x:c>
      <x:c r="F36" s="19" t="n">
        <x:v>0</x:v>
      </x:c>
      <x:c r="G36" s="19" t="str">
        <x:v>Initial</x:v>
      </x:c>
      <x:c r="H36" s="19" t="str">
        <x:v>Ranged</x:v>
      </x:c>
      <x:c r="I36" s="19" t="n">
        <x:v>0</x:v>
      </x:c>
      <x:c r="J36" s="19" t="n">
        <x:v>1</x:v>
      </x:c>
    </x:row>
    <x:row r="37" ht="25" customHeight="1">
      <x:c r="A37" s="19" t="str">
        <x:v>Main</x:v>
      </x:c>
      <x:c r="B37" s="19" t="n">
        <x:v>2</x:v>
      </x:c>
      <x:c r="C37" s="19" t="n">
        <x:v>2</x:v>
      </x:c>
      <x:c r="D37" s="19" t="str">
        <x:v>GOBLIN</x:v>
      </x:c>
      <x:c r="E37" s="21" t="n">
        <x:f>ROUNDDOWN(('MainBalance'!$F$14-ROUNDDOWN('MainBalance'!$F$14*0,0))/2,0)+IF(MOD(('MainBalance'!$F$14-ROUNDDOWN('MainBalance'!$F$14*0,0)),2)&gt;0,1,0)</x:f>
        <x:v>3</x:v>
      </x:c>
      <x:c r="F37" s="19" t="n">
        <x:v>0</x:v>
      </x:c>
      <x:c r="G37" s="19" t="str">
        <x:v>Initial</x:v>
      </x:c>
      <x:c r="H37" s="19" t="str">
        <x:v>Melee</x:v>
      </x:c>
      <x:c r="I37" s="19" t="n">
        <x:v>0</x:v>
      </x:c>
      <x:c r="J37" s="19" t="n">
        <x:v>1</x:v>
      </x:c>
    </x:row>
    <x:row r="38" ht="25" customHeight="1">
      <x:c r="A38" s="19" t="str">
        <x:v>Main</x:v>
      </x:c>
      <x:c r="B38" s="19" t="n">
        <x:v>2</x:v>
      </x:c>
      <x:c r="C38" s="19" t="n">
        <x:v>2</x:v>
      </x:c>
      <x:c r="D38" s="19" t="str">
        <x:v>GOBLIN_ASSASSIN</x:v>
      </x:c>
      <x:c r="E38" s="21" t="n">
        <x:f>ROUNDDOWN(('MainBalance'!$F$14-ROUNDDOWN('MainBalance'!$F$14*0,0))/2,0)+IF(MOD(('MainBalance'!$F$14-ROUNDDOWN('MainBalance'!$F$14*0,0)),2)&gt;1,1,0)</x:f>
        <x:v>3</x:v>
      </x:c>
      <x:c r="F38" s="19" t="n">
        <x:v>0</x:v>
      </x:c>
      <x:c r="G38" s="19" t="str">
        <x:v>Initial</x:v>
      </x:c>
      <x:c r="H38" s="19" t="str">
        <x:v>Melee</x:v>
      </x:c>
      <x:c r="I38" s="19" t="n">
        <x:v>0</x:v>
      </x:c>
      <x:c r="J38" s="19" t="n">
        <x:v>1</x:v>
      </x:c>
    </x:row>
    <x:row r="39" ht="25" customHeight="1">
      <x:c r="A39" s="19" t="str">
        <x:v>Main</x:v>
      </x:c>
      <x:c r="B39" s="19" t="n">
        <x:v>2</x:v>
      </x:c>
      <x:c r="C39" s="19" t="n">
        <x:v>2</x:v>
      </x:c>
      <x:c r="D39" s="19" t="str">
        <x:v>GOBLIN_BOMBER</x:v>
      </x:c>
      <x:c r="E39" s="21" t="n">
        <x:f>ROUNDDOWN(ROUNDDOWN('MainBalance'!$F$14*0,0)/2,0)+IF(MOD(ROUNDDOWN('MainBalance'!$F$14*0,0),2)&gt;0,1,0)</x:f>
        <x:v>0</x:v>
      </x:c>
      <x:c r="F39" s="19" t="n">
        <x:v>0</x:v>
      </x:c>
      <x:c r="G39" s="19" t="str">
        <x:v>Initial</x:v>
      </x:c>
      <x:c r="H39" s="19" t="str">
        <x:v>Ranged</x:v>
      </x:c>
      <x:c r="I39" s="19" t="n">
        <x:v>0</x:v>
      </x:c>
      <x:c r="J39" s="19" t="n">
        <x:v>1</x:v>
      </x:c>
    </x:row>
    <x:row r="40" ht="25" customHeight="1">
      <x:c r="A40" s="19" t="str">
        <x:v>Main</x:v>
      </x:c>
      <x:c r="B40" s="19" t="n">
        <x:v>2</x:v>
      </x:c>
      <x:c r="C40" s="19" t="n">
        <x:v>2</x:v>
      </x:c>
      <x:c r="D40" s="19" t="str">
        <x:v>GOBLIN_SHAMAN</x:v>
      </x:c>
      <x:c r="E40" s="21" t="n">
        <x:f>ROUNDDOWN(ROUNDDOWN('MainBalance'!$F$14*0,0)/2,0)+IF(MOD(ROUNDDOWN('MainBalance'!$F$14*0,0),2)&gt;1,1,0)</x:f>
        <x:v>0</x:v>
      </x:c>
      <x:c r="F40" s="19" t="n">
        <x:v>0</x:v>
      </x:c>
      <x:c r="G40" s="19" t="str">
        <x:v>Initial</x:v>
      </x:c>
      <x:c r="H40" s="19" t="str">
        <x:v>Ranged</x:v>
      </x:c>
      <x:c r="I40" s="19" t="n">
        <x:v>0</x:v>
      </x:c>
      <x:c r="J40" s="19" t="n">
        <x:v>1</x:v>
      </x:c>
    </x:row>
    <x:row r="41" ht="25" customHeight="1">
      <x:c r="A41" s="19" t="str">
        <x:v>Main</x:v>
      </x:c>
      <x:c r="B41" s="19" t="n">
        <x:v>2</x:v>
      </x:c>
      <x:c r="C41" s="19" t="n">
        <x:v>3</x:v>
      </x:c>
      <x:c r="D41" s="19" t="str">
        <x:v>GOBLIN</x:v>
      </x:c>
      <x:c r="E41" s="21" t="n">
        <x:f>ROUNDDOWN(('MainBalance'!$F$15-ROUNDDOWN('MainBalance'!$F$15*0,0))/2,0)+IF(MOD(('MainBalance'!$F$15-ROUNDDOWN('MainBalance'!$F$15*0,0)),2)&gt;0,1,0)</x:f>
        <x:v>4</x:v>
      </x:c>
      <x:c r="F41" s="19" t="n">
        <x:v>0</x:v>
      </x:c>
      <x:c r="G41" s="19" t="str">
        <x:v>Initial</x:v>
      </x:c>
      <x:c r="H41" s="19" t="str">
        <x:v>Melee</x:v>
      </x:c>
      <x:c r="I41" s="19" t="n">
        <x:v>0</x:v>
      </x:c>
      <x:c r="J41" s="19" t="n">
        <x:v>1</x:v>
      </x:c>
    </x:row>
    <x:row r="42" ht="25" customHeight="1">
      <x:c r="A42" s="19" t="str">
        <x:v>Main</x:v>
      </x:c>
      <x:c r="B42" s="19" t="n">
        <x:v>2</x:v>
      </x:c>
      <x:c r="C42" s="19" t="n">
        <x:v>3</x:v>
      </x:c>
      <x:c r="D42" s="19" t="str">
        <x:v>GOBLIN_ASSASSIN</x:v>
      </x:c>
      <x:c r="E42" s="21" t="n">
        <x:f>ROUNDDOWN(('MainBalance'!$F$15-ROUNDDOWN('MainBalance'!$F$15*0,0))/2,0)+IF(MOD(('MainBalance'!$F$15-ROUNDDOWN('MainBalance'!$F$15*0,0)),2)&gt;1,1,0)</x:f>
        <x:v>4</x:v>
      </x:c>
      <x:c r="F42" s="19" t="n">
        <x:v>0</x:v>
      </x:c>
      <x:c r="G42" s="19" t="str">
        <x:v>Initial</x:v>
      </x:c>
      <x:c r="H42" s="19" t="str">
        <x:v>Melee</x:v>
      </x:c>
      <x:c r="I42" s="19" t="n">
        <x:v>0</x:v>
      </x:c>
      <x:c r="J42" s="19" t="n">
        <x:v>1</x:v>
      </x:c>
    </x:row>
    <x:row r="43" ht="25" customHeight="1">
      <x:c r="A43" s="19" t="str">
        <x:v>Main</x:v>
      </x:c>
      <x:c r="B43" s="19" t="n">
        <x:v>2</x:v>
      </x:c>
      <x:c r="C43" s="19" t="n">
        <x:v>3</x:v>
      </x:c>
      <x:c r="D43" s="19" t="str">
        <x:v>GOBLIN_BOMBER</x:v>
      </x:c>
      <x:c r="E43" s="21" t="n">
        <x:f>ROUNDDOWN(ROUNDDOWN('MainBalance'!$F$15*0,0)/2,0)+IF(MOD(ROUNDDOWN('MainBalance'!$F$15*0,0),2)&gt;0,1,0)</x:f>
        <x:v>0</x:v>
      </x:c>
      <x:c r="F43" s="19" t="n">
        <x:v>0</x:v>
      </x:c>
      <x:c r="G43" s="19" t="str">
        <x:v>Initial</x:v>
      </x:c>
      <x:c r="H43" s="19" t="str">
        <x:v>Ranged</x:v>
      </x:c>
      <x:c r="I43" s="19" t="n">
        <x:v>0</x:v>
      </x:c>
      <x:c r="J43" s="19" t="n">
        <x:v>1</x:v>
      </x:c>
    </x:row>
    <x:row r="44" ht="25" customHeight="1">
      <x:c r="A44" s="19" t="str">
        <x:v>Main</x:v>
      </x:c>
      <x:c r="B44" s="19" t="n">
        <x:v>2</x:v>
      </x:c>
      <x:c r="C44" s="19" t="n">
        <x:v>3</x:v>
      </x:c>
      <x:c r="D44" s="19" t="str">
        <x:v>GOBLIN_SHAMAN</x:v>
      </x:c>
      <x:c r="E44" s="21" t="n">
        <x:f>ROUNDDOWN(ROUNDDOWN('MainBalance'!$F$15*0,0)/2,0)+IF(MOD(ROUNDDOWN('MainBalance'!$F$15*0,0),2)&gt;1,1,0)</x:f>
        <x:v>0</x:v>
      </x:c>
      <x:c r="F44" s="19" t="n">
        <x:v>0</x:v>
      </x:c>
      <x:c r="G44" s="19" t="str">
        <x:v>Initial</x:v>
      </x:c>
      <x:c r="H44" s="19" t="str">
        <x:v>Ranged</x:v>
      </x:c>
      <x:c r="I44" s="19" t="n">
        <x:v>0</x:v>
      </x:c>
      <x:c r="J44" s="19" t="n">
        <x:v>1</x:v>
      </x:c>
    </x:row>
    <x:row r="45" ht="25" customHeight="1">
      <x:c r="A45" s="19" t="str">
        <x:v>Main</x:v>
      </x:c>
      <x:c r="B45" s="19" t="n">
        <x:v>2</x:v>
      </x:c>
      <x:c r="C45" s="19" t="n">
        <x:v>4</x:v>
      </x:c>
      <x:c r="D45" s="19" t="str">
        <x:v>GOBLIN</x:v>
      </x:c>
      <x:c r="E45" s="21" t="n">
        <x:f>ROUNDDOWN(('MainBalance'!$F$16-ROUNDDOWN('MainBalance'!$F$16*0.25,0))/2,0)+IF(MOD(('MainBalance'!$F$16-ROUNDDOWN('MainBalance'!$F$16*0.25,0)),2)&gt;0,1,0)</x:f>
        <x:v>4</x:v>
      </x:c>
      <x:c r="F45" s="19" t="n">
        <x:v>0</x:v>
      </x:c>
      <x:c r="G45" s="19" t="str">
        <x:v>Initial</x:v>
      </x:c>
      <x:c r="H45" s="19" t="str">
        <x:v>Melee</x:v>
      </x:c>
      <x:c r="I45" s="19" t="n">
        <x:v>0</x:v>
      </x:c>
      <x:c r="J45" s="19" t="n">
        <x:v>1</x:v>
      </x:c>
    </x:row>
    <x:row r="46" ht="25" customHeight="1">
      <x:c r="A46" s="19" t="str">
        <x:v>Main</x:v>
      </x:c>
      <x:c r="B46" s="19" t="n">
        <x:v>2</x:v>
      </x:c>
      <x:c r="C46" s="19" t="n">
        <x:v>4</x:v>
      </x:c>
      <x:c r="D46" s="19" t="str">
        <x:v>GOBLIN_ASSASSIN</x:v>
      </x:c>
      <x:c r="E46" s="21" t="n">
        <x:f>ROUNDDOWN(('MainBalance'!$F$16-ROUNDDOWN('MainBalance'!$F$16*0.25,0))/2,0)+IF(MOD(('MainBalance'!$F$16-ROUNDDOWN('MainBalance'!$F$16*0.25,0)),2)&gt;1,1,0)</x:f>
        <x:v>4</x:v>
      </x:c>
      <x:c r="F46" s="19" t="n">
        <x:v>0</x:v>
      </x:c>
      <x:c r="G46" s="19" t="str">
        <x:v>Initial</x:v>
      </x:c>
      <x:c r="H46" s="19" t="str">
        <x:v>Melee</x:v>
      </x:c>
      <x:c r="I46" s="19" t="n">
        <x:v>0</x:v>
      </x:c>
      <x:c r="J46" s="19" t="n">
        <x:v>1</x:v>
      </x:c>
    </x:row>
    <x:row r="47" ht="25" customHeight="1">
      <x:c r="A47" s="19" t="str">
        <x:v>Main</x:v>
      </x:c>
      <x:c r="B47" s="19" t="n">
        <x:v>2</x:v>
      </x:c>
      <x:c r="C47" s="19" t="n">
        <x:v>4</x:v>
      </x:c>
      <x:c r="D47" s="19" t="str">
        <x:v>GOBLIN_BOMBER</x:v>
      </x:c>
      <x:c r="E47" s="21" t="n">
        <x:f>ROUNDDOWN(ROUNDDOWN('MainBalance'!$F$16*0.25,0)/2,0)+IF(MOD(ROUNDDOWN('MainBalance'!$F$16*0.25,0),2)&gt;0,1,0)</x:f>
        <x:v>1</x:v>
      </x:c>
      <x:c r="F47" s="19" t="n">
        <x:v>0</x:v>
      </x:c>
      <x:c r="G47" s="19" t="str">
        <x:v>Initial</x:v>
      </x:c>
      <x:c r="H47" s="19" t="str">
        <x:v>Ranged</x:v>
      </x:c>
      <x:c r="I47" s="19" t="n">
        <x:v>0</x:v>
      </x:c>
      <x:c r="J47" s="19" t="n">
        <x:v>1</x:v>
      </x:c>
    </x:row>
    <x:row r="48" ht="25" customHeight="1">
      <x:c r="A48" s="19" t="str">
        <x:v>Main</x:v>
      </x:c>
      <x:c r="B48" s="19" t="n">
        <x:v>2</x:v>
      </x:c>
      <x:c r="C48" s="19" t="n">
        <x:v>4</x:v>
      </x:c>
      <x:c r="D48" s="19" t="str">
        <x:v>GOBLIN_SHAMAN</x:v>
      </x:c>
      <x:c r="E48" s="21" t="n">
        <x:f>ROUNDDOWN(ROUNDDOWN('MainBalance'!$F$16*0.25,0)/2,0)+IF(MOD(ROUNDDOWN('MainBalance'!$F$16*0.25,0),2)&gt;1,1,0)</x:f>
        <x:v>1</x:v>
      </x:c>
      <x:c r="F48" s="19" t="n">
        <x:v>0</x:v>
      </x:c>
      <x:c r="G48" s="19" t="str">
        <x:v>Initial</x:v>
      </x:c>
      <x:c r="H48" s="19" t="str">
        <x:v>Ranged</x:v>
      </x:c>
      <x:c r="I48" s="19" t="n">
        <x:v>0</x:v>
      </x:c>
      <x:c r="J48" s="19" t="n">
        <x:v>1</x:v>
      </x:c>
    </x:row>
    <x:row r="49" ht="25" customHeight="1">
      <x:c r="A49" s="19" t="str">
        <x:v>Main</x:v>
      </x:c>
      <x:c r="B49" s="19" t="n">
        <x:v>2</x:v>
      </x:c>
      <x:c r="C49" s="19" t="n">
        <x:v>5</x:v>
      </x:c>
      <x:c r="D49" s="19" t="str">
        <x:v>GOBLIN</x:v>
      </x:c>
      <x:c r="E49" s="21" t="n">
        <x:f>ROUNDDOWN(('MainBalance'!$F$17-ROUNDDOWN('MainBalance'!$F$17*0.25,0))/2,0)+IF(MOD(('MainBalance'!$F$17-ROUNDDOWN('MainBalance'!$F$17*0.25,0)),2)&gt;0,1,0)</x:f>
        <x:v>5</x:v>
      </x:c>
      <x:c r="F49" s="19" t="n">
        <x:v>0</x:v>
      </x:c>
      <x:c r="G49" s="19" t="str">
        <x:v>Initial</x:v>
      </x:c>
      <x:c r="H49" s="19" t="str">
        <x:v>Melee</x:v>
      </x:c>
      <x:c r="I49" s="19" t="n">
        <x:v>0</x:v>
      </x:c>
      <x:c r="J49" s="19" t="n">
        <x:v>1</x:v>
      </x:c>
    </x:row>
    <x:row r="50" ht="25" customHeight="1">
      <x:c r="A50" s="19" t="str">
        <x:v>Main</x:v>
      </x:c>
      <x:c r="B50" s="19" t="n">
        <x:v>2</x:v>
      </x:c>
      <x:c r="C50" s="19" t="n">
        <x:v>5</x:v>
      </x:c>
      <x:c r="D50" s="19" t="str">
        <x:v>GOBLIN_ASSASSIN</x:v>
      </x:c>
      <x:c r="E50" s="21" t="n">
        <x:f>ROUNDDOWN(('MainBalance'!$F$17-ROUNDDOWN('MainBalance'!$F$17*0.25,0))/2,0)+IF(MOD(('MainBalance'!$F$17-ROUNDDOWN('MainBalance'!$F$17*0.25,0)),2)&gt;1,1,0)</x:f>
        <x:v>4</x:v>
      </x:c>
      <x:c r="F50" s="19" t="n">
        <x:v>0</x:v>
      </x:c>
      <x:c r="G50" s="19" t="str">
        <x:v>Initial</x:v>
      </x:c>
      <x:c r="H50" s="19" t="str">
        <x:v>Melee</x:v>
      </x:c>
      <x:c r="I50" s="19" t="n">
        <x:v>0</x:v>
      </x:c>
      <x:c r="J50" s="19" t="n">
        <x:v>1</x:v>
      </x:c>
    </x:row>
    <x:row r="51" ht="25" customHeight="1">
      <x:c r="A51" s="19" t="str">
        <x:v>Main</x:v>
      </x:c>
      <x:c r="B51" s="19" t="n">
        <x:v>2</x:v>
      </x:c>
      <x:c r="C51" s="19" t="n">
        <x:v>5</x:v>
      </x:c>
      <x:c r="D51" s="19" t="str">
        <x:v>GOBLIN_BOMBER</x:v>
      </x:c>
      <x:c r="E51" s="21" t="n">
        <x:f>ROUNDDOWN(ROUNDDOWN('MainBalance'!$F$17*0.25,0)/2,0)+IF(MOD(ROUNDDOWN('MainBalance'!$F$17*0.25,0),2)&gt;0,1,0)</x:f>
        <x:v>2</x:v>
      </x:c>
      <x:c r="F51" s="19" t="n">
        <x:v>0</x:v>
      </x:c>
      <x:c r="G51" s="19" t="str">
        <x:v>Initial</x:v>
      </x:c>
      <x:c r="H51" s="19" t="str">
        <x:v>Ranged</x:v>
      </x:c>
      <x:c r="I51" s="19" t="n">
        <x:v>0</x:v>
      </x:c>
      <x:c r="J51" s="19" t="n">
        <x:v>1</x:v>
      </x:c>
    </x:row>
    <x:row r="52" ht="25" customHeight="1">
      <x:c r="A52" s="19" t="str">
        <x:v>Main</x:v>
      </x:c>
      <x:c r="B52" s="19" t="n">
        <x:v>2</x:v>
      </x:c>
      <x:c r="C52" s="19" t="n">
        <x:v>5</x:v>
      </x:c>
      <x:c r="D52" s="19" t="str">
        <x:v>GOBLIN_SHAMAN</x:v>
      </x:c>
      <x:c r="E52" s="21" t="n">
        <x:f>ROUNDDOWN(ROUNDDOWN('MainBalance'!$F$17*0.25,0)/2,0)+IF(MOD(ROUNDDOWN('MainBalance'!$F$17*0.25,0),2)&gt;1,1,0)</x:f>
        <x:v>1</x:v>
      </x:c>
      <x:c r="F52" s="19" t="n">
        <x:v>0</x:v>
      </x:c>
      <x:c r="G52" s="19" t="str">
        <x:v>Initial</x:v>
      </x:c>
      <x:c r="H52" s="19" t="str">
        <x:v>Ranged</x:v>
      </x:c>
      <x:c r="I52" s="19" t="n">
        <x:v>0</x:v>
      </x:c>
      <x:c r="J52" s="19" t="n">
        <x:v>1</x:v>
      </x:c>
    </x:row>
    <x:row r="53" ht="25" customHeight="1">
      <x:c r="A53" s="19" t="str">
        <x:v>Main</x:v>
      </x:c>
      <x:c r="B53" s="19" t="n">
        <x:v>2</x:v>
      </x:c>
      <x:c r="C53" s="19" t="n">
        <x:v>6</x:v>
      </x:c>
      <x:c r="D53" s="19" t="str">
        <x:v>GOBLIN</x:v>
      </x:c>
      <x:c r="E53" s="21" t="n">
        <x:f>ROUNDDOWN(('MainBalance'!$F$18-ROUNDDOWN('MainBalance'!$F$18*0.25,0))/2,0)+IF(MOD(('MainBalance'!$F$18-ROUNDDOWN('MainBalance'!$F$18*0.25,0)),2)&gt;0,1,0)</x:f>
        <x:v>6</x:v>
      </x:c>
      <x:c r="F53" s="19" t="n">
        <x:v>0</x:v>
      </x:c>
      <x:c r="G53" s="19" t="str">
        <x:v>Initial</x:v>
      </x:c>
      <x:c r="H53" s="19" t="str">
        <x:v>Melee</x:v>
      </x:c>
      <x:c r="I53" s="19" t="n">
        <x:v>0</x:v>
      </x:c>
      <x:c r="J53" s="19" t="n">
        <x:v>1</x:v>
      </x:c>
    </x:row>
    <x:row r="54" ht="25" customHeight="1">
      <x:c r="A54" s="19" t="str">
        <x:v>Main</x:v>
      </x:c>
      <x:c r="B54" s="19" t="n">
        <x:v>2</x:v>
      </x:c>
      <x:c r="C54" s="19" t="n">
        <x:v>6</x:v>
      </x:c>
      <x:c r="D54" s="19" t="str">
        <x:v>GOBLIN_ASSASSIN</x:v>
      </x:c>
      <x:c r="E54" s="21" t="n">
        <x:f>ROUNDDOWN(('MainBalance'!$F$18-ROUNDDOWN('MainBalance'!$F$18*0.25,0))/2,0)+IF(MOD(('MainBalance'!$F$18-ROUNDDOWN('MainBalance'!$F$18*0.25,0)),2)&gt;1,1,0)</x:f>
        <x:v>5</x:v>
      </x:c>
      <x:c r="F54" s="19" t="n">
        <x:v>0</x:v>
      </x:c>
      <x:c r="G54" s="19" t="str">
        <x:v>Initial</x:v>
      </x:c>
      <x:c r="H54" s="19" t="str">
        <x:v>Melee</x:v>
      </x:c>
      <x:c r="I54" s="19" t="n">
        <x:v>0</x:v>
      </x:c>
      <x:c r="J54" s="19" t="n">
        <x:v>1</x:v>
      </x:c>
    </x:row>
    <x:row r="55" ht="25" customHeight="1">
      <x:c r="A55" s="19" t="str">
        <x:v>Main</x:v>
      </x:c>
      <x:c r="B55" s="19" t="n">
        <x:v>2</x:v>
      </x:c>
      <x:c r="C55" s="19" t="n">
        <x:v>6</x:v>
      </x:c>
      <x:c r="D55" s="19" t="str">
        <x:v>GOBLIN_BOMBER</x:v>
      </x:c>
      <x:c r="E55" s="21" t="n">
        <x:f>ROUNDDOWN(ROUNDDOWN('MainBalance'!$F$18*0.25,0)/2,0)+IF(MOD(ROUNDDOWN('MainBalance'!$F$18*0.25,0),2)&gt;0,1,0)</x:f>
        <x:v>2</x:v>
      </x:c>
      <x:c r="F55" s="19" t="n">
        <x:v>0</x:v>
      </x:c>
      <x:c r="G55" s="19" t="str">
        <x:v>Initial</x:v>
      </x:c>
      <x:c r="H55" s="19" t="str">
        <x:v>Ranged</x:v>
      </x:c>
      <x:c r="I55" s="19" t="n">
        <x:v>0</x:v>
      </x:c>
      <x:c r="J55" s="19" t="n">
        <x:v>1</x:v>
      </x:c>
    </x:row>
    <x:row r="56" ht="25" customHeight="1">
      <x:c r="A56" s="19" t="str">
        <x:v>Main</x:v>
      </x:c>
      <x:c r="B56" s="19" t="n">
        <x:v>2</x:v>
      </x:c>
      <x:c r="C56" s="19" t="n">
        <x:v>6</x:v>
      </x:c>
      <x:c r="D56" s="19" t="str">
        <x:v>GOBLIN_SHAMAN</x:v>
      </x:c>
      <x:c r="E56" s="21" t="n">
        <x:f>ROUNDDOWN(ROUNDDOWN('MainBalance'!$F$18*0.25,0)/2,0)+IF(MOD(ROUNDDOWN('MainBalance'!$F$18*0.25,0),2)&gt;1,1,0)</x:f>
        <x:v>1</x:v>
      </x:c>
      <x:c r="F56" s="19" t="n">
        <x:v>0</x:v>
      </x:c>
      <x:c r="G56" s="19" t="str">
        <x:v>Initial</x:v>
      </x:c>
      <x:c r="H56" s="19" t="str">
        <x:v>Ranged</x:v>
      </x:c>
      <x:c r="I56" s="19" t="n">
        <x:v>0</x:v>
      </x:c>
      <x:c r="J56" s="19" t="n">
        <x:v>1</x:v>
      </x:c>
    </x:row>
    <x:row r="57" ht="25" customHeight="1">
      <x:c r="A57" s="19" t="str">
        <x:v>Main</x:v>
      </x:c>
      <x:c r="B57" s="19" t="n">
        <x:v>2</x:v>
      </x:c>
      <x:c r="C57" s="19" t="n">
        <x:v>7</x:v>
      </x:c>
      <x:c r="D57" s="19" t="str">
        <x:v>GOBLIN</x:v>
      </x:c>
      <x:c r="E57" s="21" t="n">
        <x:f>ROUNDDOWN(('MainBalance'!$F$19-ROUNDDOWN('MainBalance'!$F$19*0.25,0))/2,0)+IF(MOD(('MainBalance'!$F$19-ROUNDDOWN('MainBalance'!$F$19*0.25,0)),2)&gt;0,1,0)</x:f>
        <x:v>6</x:v>
      </x:c>
      <x:c r="F57" s="19" t="n">
        <x:v>0</x:v>
      </x:c>
      <x:c r="G57" s="19" t="str">
        <x:v>Initial</x:v>
      </x:c>
      <x:c r="H57" s="19" t="str">
        <x:v>Melee</x:v>
      </x:c>
      <x:c r="I57" s="19" t="n">
        <x:v>0</x:v>
      </x:c>
      <x:c r="J57" s="19" t="n">
        <x:v>1</x:v>
      </x:c>
    </x:row>
    <x:row r="58" ht="25" customHeight="1">
      <x:c r="A58" s="19" t="str">
        <x:v>Main</x:v>
      </x:c>
      <x:c r="B58" s="19" t="n">
        <x:v>2</x:v>
      </x:c>
      <x:c r="C58" s="19" t="n">
        <x:v>7</x:v>
      </x:c>
      <x:c r="D58" s="19" t="str">
        <x:v>GOBLIN_ASSASSIN</x:v>
      </x:c>
      <x:c r="E58" s="21" t="n">
        <x:f>ROUNDDOWN(('MainBalance'!$F$19-ROUNDDOWN('MainBalance'!$F$19*0.25,0))/2,0)+IF(MOD(('MainBalance'!$F$19-ROUNDDOWN('MainBalance'!$F$19*0.25,0)),2)&gt;1,1,0)</x:f>
        <x:v>6</x:v>
      </x:c>
      <x:c r="F58" s="19" t="n">
        <x:v>0</x:v>
      </x:c>
      <x:c r="G58" s="19" t="str">
        <x:v>Initial</x:v>
      </x:c>
      <x:c r="H58" s="19" t="str">
        <x:v>Melee</x:v>
      </x:c>
      <x:c r="I58" s="19" t="n">
        <x:v>0</x:v>
      </x:c>
      <x:c r="J58" s="19" t="n">
        <x:v>1</x:v>
      </x:c>
    </x:row>
    <x:row r="59" ht="25" customHeight="1">
      <x:c r="A59" s="19" t="str">
        <x:v>Main</x:v>
      </x:c>
      <x:c r="B59" s="19" t="n">
        <x:v>2</x:v>
      </x:c>
      <x:c r="C59" s="19" t="n">
        <x:v>7</x:v>
      </x:c>
      <x:c r="D59" s="19" t="str">
        <x:v>GOBLIN_BOMBER</x:v>
      </x:c>
      <x:c r="E59" s="21" t="n">
        <x:f>ROUNDDOWN(ROUNDDOWN('MainBalance'!$F$19*0.25,0)/2,0)+IF(MOD(ROUNDDOWN('MainBalance'!$F$19*0.25,0),2)&gt;0,1,0)</x:f>
        <x:v>2</x:v>
      </x:c>
      <x:c r="F59" s="19" t="n">
        <x:v>0</x:v>
      </x:c>
      <x:c r="G59" s="19" t="str">
        <x:v>Initial</x:v>
      </x:c>
      <x:c r="H59" s="19" t="str">
        <x:v>Ranged</x:v>
      </x:c>
      <x:c r="I59" s="19" t="n">
        <x:v>0</x:v>
      </x:c>
      <x:c r="J59" s="19" t="n">
        <x:v>1</x:v>
      </x:c>
    </x:row>
    <x:row r="60" ht="25" customHeight="1">
      <x:c r="A60" s="19" t="str">
        <x:v>Main</x:v>
      </x:c>
      <x:c r="B60" s="19" t="n">
        <x:v>2</x:v>
      </x:c>
      <x:c r="C60" s="19" t="n">
        <x:v>7</x:v>
      </x:c>
      <x:c r="D60" s="19" t="str">
        <x:v>GOBLIN_SHAMAN</x:v>
      </x:c>
      <x:c r="E60" s="21" t="n">
        <x:f>ROUNDDOWN(ROUNDDOWN('MainBalance'!$F$19*0.25,0)/2,0)+IF(MOD(ROUNDDOWN('MainBalance'!$F$19*0.25,0),2)&gt;1,1,0)</x:f>
        <x:v>2</x:v>
      </x:c>
      <x:c r="F60" s="19" t="n">
        <x:v>0</x:v>
      </x:c>
      <x:c r="G60" s="19" t="str">
        <x:v>Initial</x:v>
      </x:c>
      <x:c r="H60" s="19" t="str">
        <x:v>Ranged</x:v>
      </x:c>
      <x:c r="I60" s="19" t="n">
        <x:v>0</x:v>
      </x:c>
      <x:c r="J60" s="19" t="n">
        <x:v>1</x:v>
      </x:c>
    </x:row>
    <x:row r="61" ht="25" customHeight="1">
      <x:c r="A61" s="19" t="str">
        <x:v>Main</x:v>
      </x:c>
      <x:c r="B61" s="19" t="n">
        <x:v>2</x:v>
      </x:c>
      <x:c r="C61" s="19" t="n">
        <x:v>8</x:v>
      </x:c>
      <x:c r="D61" s="19" t="str">
        <x:v>GOBLIN</x:v>
      </x:c>
      <x:c r="E61" s="21" t="n">
        <x:f>ROUNDDOWN(('MainBalance'!$F$20-ROUNDDOWN('MainBalance'!$F$20*0.4,0))/2,0)+IF(MOD(('MainBalance'!$F$20-ROUNDDOWN('MainBalance'!$F$20*0.4,0)),2)&gt;0,1,0)</x:f>
        <x:v>6</x:v>
      </x:c>
      <x:c r="F61" s="19" t="n">
        <x:v>0</x:v>
      </x:c>
      <x:c r="G61" s="19" t="str">
        <x:v>Initial</x:v>
      </x:c>
      <x:c r="H61" s="19" t="str">
        <x:v>Melee</x:v>
      </x:c>
      <x:c r="I61" s="19" t="n">
        <x:v>0</x:v>
      </x:c>
      <x:c r="J61" s="19" t="n">
        <x:v>1</x:v>
      </x:c>
    </x:row>
    <x:row r="62" ht="25" customHeight="1">
      <x:c r="A62" s="19" t="str">
        <x:v>Main</x:v>
      </x:c>
      <x:c r="B62" s="19" t="n">
        <x:v>2</x:v>
      </x:c>
      <x:c r="C62" s="19" t="n">
        <x:v>8</x:v>
      </x:c>
      <x:c r="D62" s="19" t="str">
        <x:v>GOBLIN_ASSASSIN</x:v>
      </x:c>
      <x:c r="E62" s="21" t="n">
        <x:f>ROUNDDOWN(('MainBalance'!$F$20-ROUNDDOWN('MainBalance'!$F$20*0.4,0))/2,0)+IF(MOD(('MainBalance'!$F$20-ROUNDDOWN('MainBalance'!$F$20*0.4,0)),2)&gt;1,1,0)</x:f>
        <x:v>5</x:v>
      </x:c>
      <x:c r="F62" s="19" t="n">
        <x:v>0</x:v>
      </x:c>
      <x:c r="G62" s="19" t="str">
        <x:v>Initial</x:v>
      </x:c>
      <x:c r="H62" s="19" t="str">
        <x:v>Melee</x:v>
      </x:c>
      <x:c r="I62" s="19" t="n">
        <x:v>0</x:v>
      </x:c>
      <x:c r="J62" s="19" t="n">
        <x:v>1</x:v>
      </x:c>
    </x:row>
    <x:row r="63" ht="25" customHeight="1">
      <x:c r="A63" s="19" t="str">
        <x:v>Main</x:v>
      </x:c>
      <x:c r="B63" s="19" t="n">
        <x:v>2</x:v>
      </x:c>
      <x:c r="C63" s="19" t="n">
        <x:v>8</x:v>
      </x:c>
      <x:c r="D63" s="19" t="str">
        <x:v>GOBLIN_BOMBER</x:v>
      </x:c>
      <x:c r="E63" s="21" t="n">
        <x:f>ROUNDDOWN(ROUNDDOWN('MainBalance'!$F$20*0.4,0)/2,0)+IF(MOD(ROUNDDOWN('MainBalance'!$F$20*0.4,0),2)&gt;0,1,0)</x:f>
        <x:v>4</x:v>
      </x:c>
      <x:c r="F63" s="19" t="n">
        <x:v>0</x:v>
      </x:c>
      <x:c r="G63" s="19" t="str">
        <x:v>Initial</x:v>
      </x:c>
      <x:c r="H63" s="19" t="str">
        <x:v>Ranged</x:v>
      </x:c>
      <x:c r="I63" s="19" t="n">
        <x:v>0</x:v>
      </x:c>
      <x:c r="J63" s="19" t="n">
        <x:v>1</x:v>
      </x:c>
    </x:row>
    <x:row r="64" ht="25" customHeight="1">
      <x:c r="A64" s="19" t="str">
        <x:v>Main</x:v>
      </x:c>
      <x:c r="B64" s="19" t="n">
        <x:v>2</x:v>
      </x:c>
      <x:c r="C64" s="19" t="n">
        <x:v>8</x:v>
      </x:c>
      <x:c r="D64" s="19" t="str">
        <x:v>GOBLIN_SHAMAN</x:v>
      </x:c>
      <x:c r="E64" s="21" t="n">
        <x:f>ROUNDDOWN(ROUNDDOWN('MainBalance'!$F$20*0.4,0)/2,0)+IF(MOD(ROUNDDOWN('MainBalance'!$F$20*0.4,0),2)&gt;1,1,0)</x:f>
        <x:v>3</x:v>
      </x:c>
      <x:c r="F64" s="19" t="n">
        <x:v>0</x:v>
      </x:c>
      <x:c r="G64" s="19" t="str">
        <x:v>Initial</x:v>
      </x:c>
      <x:c r="H64" s="19" t="str">
        <x:v>Ranged</x:v>
      </x:c>
      <x:c r="I64" s="19" t="n">
        <x:v>0</x:v>
      </x:c>
      <x:c r="J64" s="19" t="n">
        <x:v>1</x:v>
      </x:c>
    </x:row>
    <x:row r="65" ht="25" customHeight="1">
      <x:c r="A65" s="19" t="str">
        <x:v>Main</x:v>
      </x:c>
      <x:c r="B65" s="19" t="n">
        <x:v>2</x:v>
      </x:c>
      <x:c r="C65" s="19" t="n">
        <x:v>9</x:v>
      </x:c>
      <x:c r="D65" s="19" t="str">
        <x:v>GOBLIN</x:v>
      </x:c>
      <x:c r="E65" s="21" t="n">
        <x:f>ROUNDDOWN(('MainBalance'!$F$21-ROUNDDOWN('MainBalance'!$F$21*0.4,0))/2,0)+IF(MOD(('MainBalance'!$F$21-ROUNDDOWN('MainBalance'!$F$21*0.4,0)),2)&gt;0,1,0)</x:f>
        <x:v>6</x:v>
      </x:c>
      <x:c r="F65" s="19" t="n">
        <x:v>0</x:v>
      </x:c>
      <x:c r="G65" s="19" t="str">
        <x:v>Initial</x:v>
      </x:c>
      <x:c r="H65" s="19" t="str">
        <x:v>Melee</x:v>
      </x:c>
      <x:c r="I65" s="19" t="n">
        <x:v>0</x:v>
      </x:c>
      <x:c r="J65" s="19" t="n">
        <x:v>1</x:v>
      </x:c>
    </x:row>
    <x:row r="66" ht="25" customHeight="1">
      <x:c r="A66" s="19" t="str">
        <x:v>Main</x:v>
      </x:c>
      <x:c r="B66" s="19" t="n">
        <x:v>2</x:v>
      </x:c>
      <x:c r="C66" s="19" t="n">
        <x:v>9</x:v>
      </x:c>
      <x:c r="D66" s="19" t="str">
        <x:v>GOBLIN_ASSASSIN</x:v>
      </x:c>
      <x:c r="E66" s="21" t="n">
        <x:f>ROUNDDOWN(('MainBalance'!$F$21-ROUNDDOWN('MainBalance'!$F$21*0.4,0))/2,0)+IF(MOD(('MainBalance'!$F$21-ROUNDDOWN('MainBalance'!$F$21*0.4,0)),2)&gt;1,1,0)</x:f>
        <x:v>6</x:v>
      </x:c>
      <x:c r="F66" s="19" t="n">
        <x:v>0</x:v>
      </x:c>
      <x:c r="G66" s="19" t="str">
        <x:v>Initial</x:v>
      </x:c>
      <x:c r="H66" s="19" t="str">
        <x:v>Melee</x:v>
      </x:c>
      <x:c r="I66" s="19" t="n">
        <x:v>0</x:v>
      </x:c>
      <x:c r="J66" s="19" t="n">
        <x:v>1</x:v>
      </x:c>
    </x:row>
    <x:row r="67" ht="25" customHeight="1">
      <x:c r="A67" s="19" t="str">
        <x:v>Main</x:v>
      </x:c>
      <x:c r="B67" s="19" t="n">
        <x:v>2</x:v>
      </x:c>
      <x:c r="C67" s="19" t="n">
        <x:v>9</x:v>
      </x:c>
      <x:c r="D67" s="19" t="str">
        <x:v>GOBLIN_BOMBER</x:v>
      </x:c>
      <x:c r="E67" s="21" t="n">
        <x:f>ROUNDDOWN(ROUNDDOWN('MainBalance'!$F$21*0.4,0)/2,0)+IF(MOD(ROUNDDOWN('MainBalance'!$F$21*0.4,0),2)&gt;0,1,0)</x:f>
        <x:v>4</x:v>
      </x:c>
      <x:c r="F67" s="19" t="n">
        <x:v>0</x:v>
      </x:c>
      <x:c r="G67" s="19" t="str">
        <x:v>Initial</x:v>
      </x:c>
      <x:c r="H67" s="19" t="str">
        <x:v>Ranged</x:v>
      </x:c>
      <x:c r="I67" s="19" t="n">
        <x:v>0</x:v>
      </x:c>
      <x:c r="J67" s="19" t="n">
        <x:v>1</x:v>
      </x:c>
    </x:row>
    <x:row r="68" ht="25" customHeight="1">
      <x:c r="A68" s="19" t="str">
        <x:v>Main</x:v>
      </x:c>
      <x:c r="B68" s="19" t="n">
        <x:v>2</x:v>
      </x:c>
      <x:c r="C68" s="19" t="n">
        <x:v>9</x:v>
      </x:c>
      <x:c r="D68" s="19" t="str">
        <x:v>GOBLIN_SHAMAN</x:v>
      </x:c>
      <x:c r="E68" s="21" t="n">
        <x:f>ROUNDDOWN(ROUNDDOWN('MainBalance'!$F$21*0.4,0)/2,0)+IF(MOD(ROUNDDOWN('MainBalance'!$F$21*0.4,0),2)&gt;1,1,0)</x:f>
        <x:v>4</x:v>
      </x:c>
      <x:c r="F68" s="19" t="n">
        <x:v>0</x:v>
      </x:c>
      <x:c r="G68" s="19" t="str">
        <x:v>Initial</x:v>
      </x:c>
      <x:c r="H68" s="19" t="str">
        <x:v>Ranged</x:v>
      </x:c>
      <x:c r="I68" s="19" t="n">
        <x:v>0</x:v>
      </x:c>
      <x:c r="J68" s="19" t="n">
        <x:v>1</x:v>
      </x:c>
    </x:row>
    <x:row r="69" ht="25" customHeight="1">
      <x:c r="A69" s="19" t="str">
        <x:v>Main</x:v>
      </x:c>
      <x:c r="B69" s="19" t="n">
        <x:v>2</x:v>
      </x:c>
      <x:c r="C69" s="19" t="n">
        <x:v>10</x:v>
      </x:c>
      <x:c r="D69" s="19" t="str">
        <x:v>GOBLIN</x:v>
      </x:c>
      <x:c r="E69" s="21" t="n">
        <x:f>ROUNDDOWN(('MainBalance'!$F$22-ROUNDDOWN('MainBalance'!$F$22*0.4,0))/2,0)+IF(MOD(('MainBalance'!$F$22-ROUNDDOWN('MainBalance'!$F$22*0.4,0)),2)&gt;0,1,0)</x:f>
        <x:v>8</x:v>
      </x:c>
      <x:c r="F69" s="19" t="n">
        <x:v>0</x:v>
      </x:c>
      <x:c r="G69" s="19" t="str">
        <x:v>Initial</x:v>
      </x:c>
      <x:c r="H69" s="19" t="str">
        <x:v>Melee</x:v>
      </x:c>
      <x:c r="I69" s="19" t="n">
        <x:v>0</x:v>
      </x:c>
      <x:c r="J69" s="19" t="n">
        <x:v>1</x:v>
      </x:c>
    </x:row>
    <x:row r="70" ht="25" customHeight="1">
      <x:c r="A70" s="19" t="str">
        <x:v>Main</x:v>
      </x:c>
      <x:c r="B70" s="19" t="n">
        <x:v>2</x:v>
      </x:c>
      <x:c r="C70" s="19" t="n">
        <x:v>10</x:v>
      </x:c>
      <x:c r="D70" s="19" t="str">
        <x:v>GOBLIN_ASSASSIN</x:v>
      </x:c>
      <x:c r="E70" s="21" t="n">
        <x:f>ROUNDDOWN(('MainBalance'!$F$22-ROUNDDOWN('MainBalance'!$F$22*0.4,0))/2,0)+IF(MOD(('MainBalance'!$F$22-ROUNDDOWN('MainBalance'!$F$22*0.4,0)),2)&gt;1,1,0)</x:f>
        <x:v>7</x:v>
      </x:c>
      <x:c r="F70" s="19" t="n">
        <x:v>0</x:v>
      </x:c>
      <x:c r="G70" s="19" t="str">
        <x:v>Initial</x:v>
      </x:c>
      <x:c r="H70" s="19" t="str">
        <x:v>Melee</x:v>
      </x:c>
      <x:c r="I70" s="19" t="n">
        <x:v>0</x:v>
      </x:c>
      <x:c r="J70" s="19" t="n">
        <x:v>1</x:v>
      </x:c>
    </x:row>
    <x:row r="71" ht="25" customHeight="1">
      <x:c r="A71" s="19" t="str">
        <x:v>Main</x:v>
      </x:c>
      <x:c r="B71" s="19" t="n">
        <x:v>2</x:v>
      </x:c>
      <x:c r="C71" s="19" t="n">
        <x:v>10</x:v>
      </x:c>
      <x:c r="D71" s="19" t="str">
        <x:v>GOBLIN_BOMBER</x:v>
      </x:c>
      <x:c r="E71" s="21" t="n">
        <x:f>ROUNDDOWN(ROUNDDOWN('MainBalance'!$F$22*0.4,0)/2,0)+IF(MOD(ROUNDDOWN('MainBalance'!$F$22*0.4,0),2)&gt;0,1,0)</x:f>
        <x:v>5</x:v>
      </x:c>
      <x:c r="F71" s="19" t="n">
        <x:v>0</x:v>
      </x:c>
      <x:c r="G71" s="19" t="str">
        <x:v>Initial</x:v>
      </x:c>
      <x:c r="H71" s="19" t="str">
        <x:v>Ranged</x:v>
      </x:c>
      <x:c r="I71" s="19" t="n">
        <x:v>0</x:v>
      </x:c>
      <x:c r="J71" s="19" t="n">
        <x:v>1</x:v>
      </x:c>
    </x:row>
    <x:row r="72" ht="25" customHeight="1">
      <x:c r="A72" s="19" t="str">
        <x:v>Main</x:v>
      </x:c>
      <x:c r="B72" s="19" t="n">
        <x:v>2</x:v>
      </x:c>
      <x:c r="C72" s="19" t="n">
        <x:v>10</x:v>
      </x:c>
      <x:c r="D72" s="19" t="str">
        <x:v>GOBLIN_SHAMAN</x:v>
      </x:c>
      <x:c r="E72" s="21" t="n">
        <x:f>ROUNDDOWN(ROUNDDOWN('MainBalance'!$F$22*0.4,0)/2,0)+IF(MOD(ROUNDDOWN('MainBalance'!$F$22*0.4,0),2)&gt;1,1,0)</x:f>
        <x:v>4</x:v>
      </x:c>
      <x:c r="F72" s="19" t="n">
        <x:v>0</x:v>
      </x:c>
      <x:c r="G72" s="19" t="str">
        <x:v>Initial</x:v>
      </x:c>
      <x:c r="H72" s="19" t="str">
        <x:v>Ranged</x:v>
      </x:c>
      <x:c r="I72" s="19" t="n">
        <x:v>0</x:v>
      </x:c>
      <x:c r="J72" s="19" t="n">
        <x:v>1</x:v>
      </x:c>
    </x:row>
    <x:row r="73" ht="25" customHeight="1">
      <x:c r="A73" s="19" t="str">
        <x:v>Main</x:v>
      </x:c>
      <x:c r="B73" s="19" t="n">
        <x:v>2</x:v>
      </x:c>
      <x:c r="C73" s="19" t="n">
        <x:v>11</x:v>
      </x:c>
      <x:c r="D73" s="19" t="str">
        <x:v>GOBLIN_KING</x:v>
      </x:c>
      <x:c r="E73" s="21" t="n">
        <x:f>'MainBalance'!F23</x:f>
        <x:v>1</x:v>
      </x:c>
      <x:c r="F73" s="19" t="n">
        <x:v>0</x:v>
      </x:c>
      <x:c r="G73" s="19" t="str">
        <x:v>Initial</x:v>
      </x:c>
      <x:c r="H73" s="19" t="str">
        <x:v>Boss</x:v>
      </x:c>
      <x:c r="I73" s="19" t="n">
        <x:v>0</x:v>
      </x:c>
      <x:c r="J73" s="19" t="n">
        <x:v>1</x:v>
      </x:c>
    </x:row>
    <x:row r="74" ht="25" customHeight="1">
      <x:c r="A74" s="19" t="str">
        <x:v>Main</x:v>
      </x:c>
      <x:c r="B74" s="19" t="n">
        <x:v>3</x:v>
      </x:c>
      <x:c r="C74" s="19" t="n">
        <x:v>1</x:v>
      </x:c>
      <x:c r="D74" s="19" t="str">
        <x:v>ORC_WARRIOR</x:v>
      </x:c>
      <x:c r="E74" s="21" t="n">
        <x:f>ROUNDDOWN(('MainBalance'!$F$24-ROUNDDOWN('MainBalance'!$F$24*0,0))/2,0)+IF(MOD(('MainBalance'!$F$24-ROUNDDOWN('MainBalance'!$F$24*0,0)),2)&gt;0,1,0)</x:f>
        <x:v>2</x:v>
      </x:c>
      <x:c r="F74" s="19" t="n">
        <x:v>0</x:v>
      </x:c>
      <x:c r="G74" s="19" t="str">
        <x:v>Initial</x:v>
      </x:c>
      <x:c r="H74" s="19" t="str">
        <x:v>Melee</x:v>
      </x:c>
      <x:c r="I74" s="19" t="n">
        <x:v>0</x:v>
      </x:c>
      <x:c r="J74" s="19" t="n">
        <x:v>1</x:v>
      </x:c>
    </x:row>
    <x:row r="75" ht="25" customHeight="1">
      <x:c r="A75" s="19" t="str">
        <x:v>Main</x:v>
      </x:c>
      <x:c r="B75" s="19" t="n">
        <x:v>3</x:v>
      </x:c>
      <x:c r="C75" s="19" t="n">
        <x:v>1</x:v>
      </x:c>
      <x:c r="D75" s="19" t="str">
        <x:v>ORC_TASKMASTER</x:v>
      </x:c>
      <x:c r="E75" s="21" t="n">
        <x:f>ROUNDDOWN(('MainBalance'!$F$24-ROUNDDOWN('MainBalance'!$F$24*0,0))/2,0)+IF(MOD(('MainBalance'!$F$24-ROUNDDOWN('MainBalance'!$F$24*0,0)),2)&gt;1,1,0)</x:f>
        <x:v>1</x:v>
      </x:c>
      <x:c r="F75" s="19" t="n">
        <x:v>0</x:v>
      </x:c>
      <x:c r="G75" s="19" t="str">
        <x:v>Initial</x:v>
      </x:c>
      <x:c r="H75" s="19" t="str">
        <x:v>Melee</x:v>
      </x:c>
      <x:c r="I75" s="19" t="n">
        <x:v>0</x:v>
      </x:c>
      <x:c r="J75" s="19" t="n">
        <x:v>1</x:v>
      </x:c>
    </x:row>
    <x:row r="76" ht="25" customHeight="1">
      <x:c r="A76" s="19" t="str">
        <x:v>Main</x:v>
      </x:c>
      <x:c r="B76" s="19" t="n">
        <x:v>3</x:v>
      </x:c>
      <x:c r="C76" s="19" t="n">
        <x:v>1</x:v>
      </x:c>
      <x:c r="D76" s="19" t="str">
        <x:v>ORC_HUNTER</x:v>
      </x:c>
      <x:c r="E76" s="21" t="n">
        <x:f>ROUNDDOWN(ROUNDDOWN('MainBalance'!$F$24*0,0)/2,0)+IF(MOD(ROUNDDOWN('MainBalance'!$F$24*0,0),2)&gt;0,1,0)</x:f>
        <x:v>0</x:v>
      </x:c>
      <x:c r="F76" s="19" t="n">
        <x:v>0</x:v>
      </x:c>
      <x:c r="G76" s="19" t="str">
        <x:v>Initial</x:v>
      </x:c>
      <x:c r="H76" s="19" t="str">
        <x:v>Ranged</x:v>
      </x:c>
      <x:c r="I76" s="19" t="n">
        <x:v>0</x:v>
      </x:c>
      <x:c r="J76" s="19" t="n">
        <x:v>1</x:v>
      </x:c>
    </x:row>
    <x:row r="77" ht="25" customHeight="1">
      <x:c r="A77" s="19" t="str">
        <x:v>Main</x:v>
      </x:c>
      <x:c r="B77" s="19" t="n">
        <x:v>3</x:v>
      </x:c>
      <x:c r="C77" s="19" t="n">
        <x:v>1</x:v>
      </x:c>
      <x:c r="D77" s="19" t="str">
        <x:v>ORC_SHAMAN</x:v>
      </x:c>
      <x:c r="E77" s="21" t="n">
        <x:f>ROUNDDOWN(ROUNDDOWN('MainBalance'!$F$24*0,0)/2,0)+IF(MOD(ROUNDDOWN('MainBalance'!$F$24*0,0),2)&gt;1,1,0)</x:f>
        <x:v>0</x:v>
      </x:c>
      <x:c r="F77" s="19" t="n">
        <x:v>0</x:v>
      </x:c>
      <x:c r="G77" s="19" t="str">
        <x:v>Initial</x:v>
      </x:c>
      <x:c r="H77" s="19" t="str">
        <x:v>Ranged</x:v>
      </x:c>
      <x:c r="I77" s="19" t="n">
        <x:v>0</x:v>
      </x:c>
      <x:c r="J77" s="19" t="n">
        <x:v>1</x:v>
      </x:c>
    </x:row>
    <x:row r="78" ht="25" customHeight="1">
      <x:c r="A78" s="19" t="str">
        <x:v>Main</x:v>
      </x:c>
      <x:c r="B78" s="19" t="n">
        <x:v>3</x:v>
      </x:c>
      <x:c r="C78" s="19" t="n">
        <x:v>2</x:v>
      </x:c>
      <x:c r="D78" s="19" t="str">
        <x:v>ORC_WARRIOR</x:v>
      </x:c>
      <x:c r="E78" s="21" t="n">
        <x:f>ROUNDDOWN(('MainBalance'!$F$25-ROUNDDOWN('MainBalance'!$F$25*0,0))/2,0)+IF(MOD(('MainBalance'!$F$25-ROUNDDOWN('MainBalance'!$F$25*0,0)),2)&gt;0,1,0)</x:f>
        <x:v>3</x:v>
      </x:c>
      <x:c r="F78" s="19" t="n">
        <x:v>0</x:v>
      </x:c>
      <x:c r="G78" s="19" t="str">
        <x:v>Initial</x:v>
      </x:c>
      <x:c r="H78" s="19" t="str">
        <x:v>Melee</x:v>
      </x:c>
      <x:c r="I78" s="19" t="n">
        <x:v>0</x:v>
      </x:c>
      <x:c r="J78" s="19" t="n">
        <x:v>1</x:v>
      </x:c>
    </x:row>
    <x:row r="79" ht="25" customHeight="1">
      <x:c r="A79" s="19" t="str">
        <x:v>Main</x:v>
      </x:c>
      <x:c r="B79" s="19" t="n">
        <x:v>3</x:v>
      </x:c>
      <x:c r="C79" s="19" t="n">
        <x:v>2</x:v>
      </x:c>
      <x:c r="D79" s="19" t="str">
        <x:v>ORC_TASKMASTER</x:v>
      </x:c>
      <x:c r="E79" s="21" t="n">
        <x:f>ROUNDDOWN(('MainBalance'!$F$25-ROUNDDOWN('MainBalance'!$F$25*0,0))/2,0)+IF(MOD(('MainBalance'!$F$25-ROUNDDOWN('MainBalance'!$F$25*0,0)),2)&gt;1,1,0)</x:f>
        <x:v>3</x:v>
      </x:c>
      <x:c r="F79" s="19" t="n">
        <x:v>0</x:v>
      </x:c>
      <x:c r="G79" s="19" t="str">
        <x:v>Initial</x:v>
      </x:c>
      <x:c r="H79" s="19" t="str">
        <x:v>Melee</x:v>
      </x:c>
      <x:c r="I79" s="19" t="n">
        <x:v>0</x:v>
      </x:c>
      <x:c r="J79" s="19" t="n">
        <x:v>1</x:v>
      </x:c>
    </x:row>
    <x:row r="80" ht="25" customHeight="1">
      <x:c r="A80" s="19" t="str">
        <x:v>Main</x:v>
      </x:c>
      <x:c r="B80" s="19" t="n">
        <x:v>3</x:v>
      </x:c>
      <x:c r="C80" s="19" t="n">
        <x:v>2</x:v>
      </x:c>
      <x:c r="D80" s="19" t="str">
        <x:v>ORC_HUNTER</x:v>
      </x:c>
      <x:c r="E80" s="21" t="n">
        <x:f>ROUNDDOWN(ROUNDDOWN('MainBalance'!$F$25*0,0)/2,0)+IF(MOD(ROUNDDOWN('MainBalance'!$F$25*0,0),2)&gt;0,1,0)</x:f>
        <x:v>0</x:v>
      </x:c>
      <x:c r="F80" s="19" t="n">
        <x:v>0</x:v>
      </x:c>
      <x:c r="G80" s="19" t="str">
        <x:v>Initial</x:v>
      </x:c>
      <x:c r="H80" s="19" t="str">
        <x:v>Ranged</x:v>
      </x:c>
      <x:c r="I80" s="19" t="n">
        <x:v>0</x:v>
      </x:c>
      <x:c r="J80" s="19" t="n">
        <x:v>1</x:v>
      </x:c>
    </x:row>
    <x:row r="81" ht="25" customHeight="1">
      <x:c r="A81" s="19" t="str">
        <x:v>Main</x:v>
      </x:c>
      <x:c r="B81" s="19" t="n">
        <x:v>3</x:v>
      </x:c>
      <x:c r="C81" s="19" t="n">
        <x:v>2</x:v>
      </x:c>
      <x:c r="D81" s="19" t="str">
        <x:v>ORC_SHAMAN</x:v>
      </x:c>
      <x:c r="E81" s="21" t="n">
        <x:f>ROUNDDOWN(ROUNDDOWN('MainBalance'!$F$25*0,0)/2,0)+IF(MOD(ROUNDDOWN('MainBalance'!$F$25*0,0),2)&gt;1,1,0)</x:f>
        <x:v>0</x:v>
      </x:c>
      <x:c r="F81" s="19" t="n">
        <x:v>0</x:v>
      </x:c>
      <x:c r="G81" s="19" t="str">
        <x:v>Initial</x:v>
      </x:c>
      <x:c r="H81" s="19" t="str">
        <x:v>Ranged</x:v>
      </x:c>
      <x:c r="I81" s="19" t="n">
        <x:v>0</x:v>
      </x:c>
      <x:c r="J81" s="19" t="n">
        <x:v>1</x:v>
      </x:c>
    </x:row>
    <x:row r="82" ht="25" customHeight="1">
      <x:c r="A82" s="19" t="str">
        <x:v>Main</x:v>
      </x:c>
      <x:c r="B82" s="19" t="n">
        <x:v>3</x:v>
      </x:c>
      <x:c r="C82" s="19" t="n">
        <x:v>3</x:v>
      </x:c>
      <x:c r="D82" s="19" t="str">
        <x:v>ORC_WARRIOR</x:v>
      </x:c>
      <x:c r="E82" s="21" t="n">
        <x:f>ROUNDDOWN(('MainBalance'!$F$26-ROUNDDOWN('MainBalance'!$F$26*0,0))/2,0)+IF(MOD(('MainBalance'!$F$26-ROUNDDOWN('MainBalance'!$F$26*0,0)),2)&gt;0,1,0)</x:f>
        <x:v>4</x:v>
      </x:c>
      <x:c r="F82" s="19" t="n">
        <x:v>0</x:v>
      </x:c>
      <x:c r="G82" s="19" t="str">
        <x:v>Initial</x:v>
      </x:c>
      <x:c r="H82" s="19" t="str">
        <x:v>Melee</x:v>
      </x:c>
      <x:c r="I82" s="19" t="n">
        <x:v>0</x:v>
      </x:c>
      <x:c r="J82" s="19" t="n">
        <x:v>1</x:v>
      </x:c>
    </x:row>
    <x:row r="83" ht="25" customHeight="1">
      <x:c r="A83" s="19" t="str">
        <x:v>Main</x:v>
      </x:c>
      <x:c r="B83" s="19" t="n">
        <x:v>3</x:v>
      </x:c>
      <x:c r="C83" s="19" t="n">
        <x:v>3</x:v>
      </x:c>
      <x:c r="D83" s="19" t="str">
        <x:v>ORC_TASKMASTER</x:v>
      </x:c>
      <x:c r="E83" s="21" t="n">
        <x:f>ROUNDDOWN(('MainBalance'!$F$26-ROUNDDOWN('MainBalance'!$F$26*0,0))/2,0)+IF(MOD(('MainBalance'!$F$26-ROUNDDOWN('MainBalance'!$F$26*0,0)),2)&gt;1,1,0)</x:f>
        <x:v>4</x:v>
      </x:c>
      <x:c r="F83" s="19" t="n">
        <x:v>0</x:v>
      </x:c>
      <x:c r="G83" s="19" t="str">
        <x:v>Initial</x:v>
      </x:c>
      <x:c r="H83" s="19" t="str">
        <x:v>Melee</x:v>
      </x:c>
      <x:c r="I83" s="19" t="n">
        <x:v>0</x:v>
      </x:c>
      <x:c r="J83" s="19" t="n">
        <x:v>1</x:v>
      </x:c>
    </x:row>
    <x:row r="84" ht="25" customHeight="1">
      <x:c r="A84" s="19" t="str">
        <x:v>Main</x:v>
      </x:c>
      <x:c r="B84" s="19" t="n">
        <x:v>3</x:v>
      </x:c>
      <x:c r="C84" s="19" t="n">
        <x:v>3</x:v>
      </x:c>
      <x:c r="D84" s="19" t="str">
        <x:v>ORC_HUNTER</x:v>
      </x:c>
      <x:c r="E84" s="21" t="n">
        <x:f>ROUNDDOWN(ROUNDDOWN('MainBalance'!$F$26*0,0)/2,0)+IF(MOD(ROUNDDOWN('MainBalance'!$F$26*0,0),2)&gt;0,1,0)</x:f>
        <x:v>0</x:v>
      </x:c>
      <x:c r="F84" s="19" t="n">
        <x:v>0</x:v>
      </x:c>
      <x:c r="G84" s="19" t="str">
        <x:v>Initial</x:v>
      </x:c>
      <x:c r="H84" s="19" t="str">
        <x:v>Ranged</x:v>
      </x:c>
      <x:c r="I84" s="19" t="n">
        <x:v>0</x:v>
      </x:c>
      <x:c r="J84" s="19" t="n">
        <x:v>1</x:v>
      </x:c>
    </x:row>
    <x:row r="85" ht="25" customHeight="1">
      <x:c r="A85" s="19" t="str">
        <x:v>Main</x:v>
      </x:c>
      <x:c r="B85" s="19" t="n">
        <x:v>3</x:v>
      </x:c>
      <x:c r="C85" s="19" t="n">
        <x:v>3</x:v>
      </x:c>
      <x:c r="D85" s="19" t="str">
        <x:v>ORC_SHAMAN</x:v>
      </x:c>
      <x:c r="E85" s="21" t="n">
        <x:f>ROUNDDOWN(ROUNDDOWN('MainBalance'!$F$26*0,0)/2,0)+IF(MOD(ROUNDDOWN('MainBalance'!$F$26*0,0),2)&gt;1,1,0)</x:f>
        <x:v>0</x:v>
      </x:c>
      <x:c r="F85" s="19" t="n">
        <x:v>0</x:v>
      </x:c>
      <x:c r="G85" s="19" t="str">
        <x:v>Initial</x:v>
      </x:c>
      <x:c r="H85" s="19" t="str">
        <x:v>Ranged</x:v>
      </x:c>
      <x:c r="I85" s="19" t="n">
        <x:v>0</x:v>
      </x:c>
      <x:c r="J85" s="19" t="n">
        <x:v>1</x:v>
      </x:c>
    </x:row>
    <x:row r="86" ht="25" customHeight="1">
      <x:c r="A86" s="19" t="str">
        <x:v>Main</x:v>
      </x:c>
      <x:c r="B86" s="19" t="n">
        <x:v>3</x:v>
      </x:c>
      <x:c r="C86" s="19" t="n">
        <x:v>4</x:v>
      </x:c>
      <x:c r="D86" s="19" t="str">
        <x:v>ORC_WARRIOR</x:v>
      </x:c>
      <x:c r="E86" s="21" t="n">
        <x:f>ROUNDDOWN(('MainBalance'!$F$27-ROUNDDOWN('MainBalance'!$F$27*0.25,0))/2,0)+IF(MOD(('MainBalance'!$F$27-ROUNDDOWN('MainBalance'!$F$27*0.25,0)),2)&gt;0,1,0)</x:f>
        <x:v>4</x:v>
      </x:c>
      <x:c r="F86" s="19" t="n">
        <x:v>0</x:v>
      </x:c>
      <x:c r="G86" s="19" t="str">
        <x:v>Initial</x:v>
      </x:c>
      <x:c r="H86" s="19" t="str">
        <x:v>Melee</x:v>
      </x:c>
      <x:c r="I86" s="19" t="n">
        <x:v>0</x:v>
      </x:c>
      <x:c r="J86" s="19" t="n">
        <x:v>1</x:v>
      </x:c>
    </x:row>
    <x:row r="87" ht="25" customHeight="1">
      <x:c r="A87" s="19" t="str">
        <x:v>Main</x:v>
      </x:c>
      <x:c r="B87" s="19" t="n">
        <x:v>3</x:v>
      </x:c>
      <x:c r="C87" s="19" t="n">
        <x:v>4</x:v>
      </x:c>
      <x:c r="D87" s="19" t="str">
        <x:v>ORC_TASKMASTER</x:v>
      </x:c>
      <x:c r="E87" s="21" t="n">
        <x:f>ROUNDDOWN(('MainBalance'!$F$27-ROUNDDOWN('MainBalance'!$F$27*0.25,0))/2,0)+IF(MOD(('MainBalance'!$F$27-ROUNDDOWN('MainBalance'!$F$27*0.25,0)),2)&gt;1,1,0)</x:f>
        <x:v>4</x:v>
      </x:c>
      <x:c r="F87" s="19" t="n">
        <x:v>0</x:v>
      </x:c>
      <x:c r="G87" s="19" t="str">
        <x:v>Initial</x:v>
      </x:c>
      <x:c r="H87" s="19" t="str">
        <x:v>Melee</x:v>
      </x:c>
      <x:c r="I87" s="19" t="n">
        <x:v>0</x:v>
      </x:c>
      <x:c r="J87" s="19" t="n">
        <x:v>1</x:v>
      </x:c>
    </x:row>
    <x:row r="88" ht="25" customHeight="1">
      <x:c r="A88" s="19" t="str">
        <x:v>Main</x:v>
      </x:c>
      <x:c r="B88" s="19" t="n">
        <x:v>3</x:v>
      </x:c>
      <x:c r="C88" s="19" t="n">
        <x:v>4</x:v>
      </x:c>
      <x:c r="D88" s="19" t="str">
        <x:v>ORC_HUNTER</x:v>
      </x:c>
      <x:c r="E88" s="21" t="n">
        <x:f>ROUNDDOWN(ROUNDDOWN('MainBalance'!$F$27*0.25,0)/2,0)+IF(MOD(ROUNDDOWN('MainBalance'!$F$27*0.25,0),2)&gt;0,1,0)</x:f>
        <x:v>1</x:v>
      </x:c>
      <x:c r="F88" s="19" t="n">
        <x:v>0</x:v>
      </x:c>
      <x:c r="G88" s="19" t="str">
        <x:v>Initial</x:v>
      </x:c>
      <x:c r="H88" s="19" t="str">
        <x:v>Ranged</x:v>
      </x:c>
      <x:c r="I88" s="19" t="n">
        <x:v>0</x:v>
      </x:c>
      <x:c r="J88" s="19" t="n">
        <x:v>1</x:v>
      </x:c>
    </x:row>
    <x:row r="89" ht="25" customHeight="1">
      <x:c r="A89" s="19" t="str">
        <x:v>Main</x:v>
      </x:c>
      <x:c r="B89" s="19" t="n">
        <x:v>3</x:v>
      </x:c>
      <x:c r="C89" s="19" t="n">
        <x:v>4</x:v>
      </x:c>
      <x:c r="D89" s="19" t="str">
        <x:v>ORC_SHAMAN</x:v>
      </x:c>
      <x:c r="E89" s="21" t="n">
        <x:f>ROUNDDOWN(ROUNDDOWN('MainBalance'!$F$27*0.25,0)/2,0)+IF(MOD(ROUNDDOWN('MainBalance'!$F$27*0.25,0),2)&gt;1,1,0)</x:f>
        <x:v>1</x:v>
      </x:c>
      <x:c r="F89" s="19" t="n">
        <x:v>0</x:v>
      </x:c>
      <x:c r="G89" s="19" t="str">
        <x:v>Initial</x:v>
      </x:c>
      <x:c r="H89" s="19" t="str">
        <x:v>Ranged</x:v>
      </x:c>
      <x:c r="I89" s="19" t="n">
        <x:v>0</x:v>
      </x:c>
      <x:c r="J89" s="19" t="n">
        <x:v>1</x:v>
      </x:c>
    </x:row>
    <x:row r="90" ht="25" customHeight="1">
      <x:c r="A90" s="19" t="str">
        <x:v>Main</x:v>
      </x:c>
      <x:c r="B90" s="19" t="n">
        <x:v>3</x:v>
      </x:c>
      <x:c r="C90" s="19" t="n">
        <x:v>5</x:v>
      </x:c>
      <x:c r="D90" s="19" t="str">
        <x:v>ORC_WARRIOR</x:v>
      </x:c>
      <x:c r="E90" s="21" t="n">
        <x:f>ROUNDDOWN(('MainBalance'!$F$28-ROUNDDOWN('MainBalance'!$F$28*0.25,0))/2,0)+IF(MOD(('MainBalance'!$F$28-ROUNDDOWN('MainBalance'!$F$28*0.25,0)),2)&gt;0,1,0)</x:f>
        <x:v>5</x:v>
      </x:c>
      <x:c r="F90" s="19" t="n">
        <x:v>0</x:v>
      </x:c>
      <x:c r="G90" s="19" t="str">
        <x:v>Initial</x:v>
      </x:c>
      <x:c r="H90" s="19" t="str">
        <x:v>Melee</x:v>
      </x:c>
      <x:c r="I90" s="19" t="n">
        <x:v>0</x:v>
      </x:c>
      <x:c r="J90" s="19" t="n">
        <x:v>1</x:v>
      </x:c>
    </x:row>
    <x:row r="91" ht="25" customHeight="1">
      <x:c r="A91" s="19" t="str">
        <x:v>Main</x:v>
      </x:c>
      <x:c r="B91" s="19" t="n">
        <x:v>3</x:v>
      </x:c>
      <x:c r="C91" s="19" t="n">
        <x:v>5</x:v>
      </x:c>
      <x:c r="D91" s="19" t="str">
        <x:v>ORC_TASKMASTER</x:v>
      </x:c>
      <x:c r="E91" s="21" t="n">
        <x:f>ROUNDDOWN(('MainBalance'!$F$28-ROUNDDOWN('MainBalance'!$F$28*0.25,0))/2,0)+IF(MOD(('MainBalance'!$F$28-ROUNDDOWN('MainBalance'!$F$28*0.25,0)),2)&gt;1,1,0)</x:f>
        <x:v>4</x:v>
      </x:c>
      <x:c r="F91" s="19" t="n">
        <x:v>0</x:v>
      </x:c>
      <x:c r="G91" s="19" t="str">
        <x:v>Initial</x:v>
      </x:c>
      <x:c r="H91" s="19" t="str">
        <x:v>Melee</x:v>
      </x:c>
      <x:c r="I91" s="19" t="n">
        <x:v>0</x:v>
      </x:c>
      <x:c r="J91" s="19" t="n">
        <x:v>1</x:v>
      </x:c>
    </x:row>
    <x:row r="92" ht="25" customHeight="1">
      <x:c r="A92" s="19" t="str">
        <x:v>Main</x:v>
      </x:c>
      <x:c r="B92" s="19" t="n">
        <x:v>3</x:v>
      </x:c>
      <x:c r="C92" s="19" t="n">
        <x:v>5</x:v>
      </x:c>
      <x:c r="D92" s="19" t="str">
        <x:v>ORC_HUNTER</x:v>
      </x:c>
      <x:c r="E92" s="21" t="n">
        <x:f>ROUNDDOWN(ROUNDDOWN('MainBalance'!$F$28*0.25,0)/2,0)+IF(MOD(ROUNDDOWN('MainBalance'!$F$28*0.25,0),2)&gt;0,1,0)</x:f>
        <x:v>2</x:v>
      </x:c>
      <x:c r="F92" s="19" t="n">
        <x:v>0</x:v>
      </x:c>
      <x:c r="G92" s="19" t="str">
        <x:v>Initial</x:v>
      </x:c>
      <x:c r="H92" s="19" t="str">
        <x:v>Ranged</x:v>
      </x:c>
      <x:c r="I92" s="19" t="n">
        <x:v>0</x:v>
      </x:c>
      <x:c r="J92" s="19" t="n">
        <x:v>1</x:v>
      </x:c>
    </x:row>
    <x:row r="93" ht="25" customHeight="1">
      <x:c r="A93" s="19" t="str">
        <x:v>Main</x:v>
      </x:c>
      <x:c r="B93" s="19" t="n">
        <x:v>3</x:v>
      </x:c>
      <x:c r="C93" s="19" t="n">
        <x:v>5</x:v>
      </x:c>
      <x:c r="D93" s="19" t="str">
        <x:v>ORC_SHAMAN</x:v>
      </x:c>
      <x:c r="E93" s="21" t="n">
        <x:f>ROUNDDOWN(ROUNDDOWN('MainBalance'!$F$28*0.25,0)/2,0)+IF(MOD(ROUNDDOWN('MainBalance'!$F$28*0.25,0),2)&gt;1,1,0)</x:f>
        <x:v>1</x:v>
      </x:c>
      <x:c r="F93" s="19" t="n">
        <x:v>0</x:v>
      </x:c>
      <x:c r="G93" s="19" t="str">
        <x:v>Initial</x:v>
      </x:c>
      <x:c r="H93" s="19" t="str">
        <x:v>Ranged</x:v>
      </x:c>
      <x:c r="I93" s="19" t="n">
        <x:v>0</x:v>
      </x:c>
      <x:c r="J93" s="19" t="n">
        <x:v>1</x:v>
      </x:c>
    </x:row>
    <x:row r="94" ht="25" customHeight="1">
      <x:c r="A94" s="19" t="str">
        <x:v>Main</x:v>
      </x:c>
      <x:c r="B94" s="19" t="n">
        <x:v>3</x:v>
      </x:c>
      <x:c r="C94" s="19" t="n">
        <x:v>6</x:v>
      </x:c>
      <x:c r="D94" s="19" t="str">
        <x:v>ORC_WARRIOR</x:v>
      </x:c>
      <x:c r="E94" s="21" t="n">
        <x:f>ROUNDDOWN(('MainBalance'!$F$29-ROUNDDOWN('MainBalance'!$F$29*0.25,0))/2,0)+IF(MOD(('MainBalance'!$F$29-ROUNDDOWN('MainBalance'!$F$29*0.25,0)),2)&gt;0,1,0)</x:f>
        <x:v>6</x:v>
      </x:c>
      <x:c r="F94" s="19" t="n">
        <x:v>0</x:v>
      </x:c>
      <x:c r="G94" s="19" t="str">
        <x:v>Initial</x:v>
      </x:c>
      <x:c r="H94" s="19" t="str">
        <x:v>Melee</x:v>
      </x:c>
      <x:c r="I94" s="19" t="n">
        <x:v>0</x:v>
      </x:c>
      <x:c r="J94" s="19" t="n">
        <x:v>1</x:v>
      </x:c>
    </x:row>
    <x:row r="95" ht="25" customHeight="1">
      <x:c r="A95" s="19" t="str">
        <x:v>Main</x:v>
      </x:c>
      <x:c r="B95" s="19" t="n">
        <x:v>3</x:v>
      </x:c>
      <x:c r="C95" s="19" t="n">
        <x:v>6</x:v>
      </x:c>
      <x:c r="D95" s="19" t="str">
        <x:v>ORC_TASKMASTER</x:v>
      </x:c>
      <x:c r="E95" s="21" t="n">
        <x:f>ROUNDDOWN(('MainBalance'!$F$29-ROUNDDOWN('MainBalance'!$F$29*0.25,0))/2,0)+IF(MOD(('MainBalance'!$F$29-ROUNDDOWN('MainBalance'!$F$29*0.25,0)),2)&gt;1,1,0)</x:f>
        <x:v>5</x:v>
      </x:c>
      <x:c r="F95" s="19" t="n">
        <x:v>0</x:v>
      </x:c>
      <x:c r="G95" s="19" t="str">
        <x:v>Initial</x:v>
      </x:c>
      <x:c r="H95" s="19" t="str">
        <x:v>Melee</x:v>
      </x:c>
      <x:c r="I95" s="19" t="n">
        <x:v>0</x:v>
      </x:c>
      <x:c r="J95" s="19" t="n">
        <x:v>1</x:v>
      </x:c>
    </x:row>
    <x:row r="96" ht="25" customHeight="1">
      <x:c r="A96" s="19" t="str">
        <x:v>Main</x:v>
      </x:c>
      <x:c r="B96" s="19" t="n">
        <x:v>3</x:v>
      </x:c>
      <x:c r="C96" s="19" t="n">
        <x:v>6</x:v>
      </x:c>
      <x:c r="D96" s="19" t="str">
        <x:v>ORC_HUNTER</x:v>
      </x:c>
      <x:c r="E96" s="21" t="n">
        <x:f>ROUNDDOWN(ROUNDDOWN('MainBalance'!$F$29*0.25,0)/2,0)+IF(MOD(ROUNDDOWN('MainBalance'!$F$29*0.25,0),2)&gt;0,1,0)</x:f>
        <x:v>2</x:v>
      </x:c>
      <x:c r="F96" s="19" t="n">
        <x:v>0</x:v>
      </x:c>
      <x:c r="G96" s="19" t="str">
        <x:v>Initial</x:v>
      </x:c>
      <x:c r="H96" s="19" t="str">
        <x:v>Ranged</x:v>
      </x:c>
      <x:c r="I96" s="19" t="n">
        <x:v>0</x:v>
      </x:c>
      <x:c r="J96" s="19" t="n">
        <x:v>1</x:v>
      </x:c>
    </x:row>
    <x:row r="97" ht="25" customHeight="1">
      <x:c r="A97" s="19" t="str">
        <x:v>Main</x:v>
      </x:c>
      <x:c r="B97" s="19" t="n">
        <x:v>3</x:v>
      </x:c>
      <x:c r="C97" s="19" t="n">
        <x:v>6</x:v>
      </x:c>
      <x:c r="D97" s="19" t="str">
        <x:v>ORC_SHAMAN</x:v>
      </x:c>
      <x:c r="E97" s="21" t="n">
        <x:f>ROUNDDOWN(ROUNDDOWN('MainBalance'!$F$29*0.25,0)/2,0)+IF(MOD(ROUNDDOWN('MainBalance'!$F$29*0.25,0),2)&gt;1,1,0)</x:f>
        <x:v>1</x:v>
      </x:c>
      <x:c r="F97" s="19" t="n">
        <x:v>0</x:v>
      </x:c>
      <x:c r="G97" s="19" t="str">
        <x:v>Initial</x:v>
      </x:c>
      <x:c r="H97" s="19" t="str">
        <x:v>Ranged</x:v>
      </x:c>
      <x:c r="I97" s="19" t="n">
        <x:v>0</x:v>
      </x:c>
      <x:c r="J97" s="19" t="n">
        <x:v>1</x:v>
      </x:c>
    </x:row>
    <x:row r="98" ht="25" customHeight="1">
      <x:c r="A98" s="19" t="str">
        <x:v>Main</x:v>
      </x:c>
      <x:c r="B98" s="19" t="n">
        <x:v>3</x:v>
      </x:c>
      <x:c r="C98" s="19" t="n">
        <x:v>7</x:v>
      </x:c>
      <x:c r="D98" s="19" t="str">
        <x:v>ORC_WARRIOR</x:v>
      </x:c>
      <x:c r="E98" s="21" t="n">
        <x:f>ROUNDDOWN(('MainBalance'!$F$30-ROUNDDOWN('MainBalance'!$F$30*0.25,0))/2,0)+IF(MOD(('MainBalance'!$F$30-ROUNDDOWN('MainBalance'!$F$30*0.25,0)),2)&gt;0,1,0)</x:f>
        <x:v>6</x:v>
      </x:c>
      <x:c r="F98" s="19" t="n">
        <x:v>0</x:v>
      </x:c>
      <x:c r="G98" s="19" t="str">
        <x:v>Initial</x:v>
      </x:c>
      <x:c r="H98" s="19" t="str">
        <x:v>Melee</x:v>
      </x:c>
      <x:c r="I98" s="19" t="n">
        <x:v>0</x:v>
      </x:c>
      <x:c r="J98" s="19" t="n">
        <x:v>1</x:v>
      </x:c>
    </x:row>
    <x:row r="99" ht="25" customHeight="1">
      <x:c r="A99" s="19" t="str">
        <x:v>Main</x:v>
      </x:c>
      <x:c r="B99" s="19" t="n">
        <x:v>3</x:v>
      </x:c>
      <x:c r="C99" s="19" t="n">
        <x:v>7</x:v>
      </x:c>
      <x:c r="D99" s="19" t="str">
        <x:v>ORC_TASKMASTER</x:v>
      </x:c>
      <x:c r="E99" s="21" t="n">
        <x:f>ROUNDDOWN(('MainBalance'!$F$30-ROUNDDOWN('MainBalance'!$F$30*0.25,0))/2,0)+IF(MOD(('MainBalance'!$F$30-ROUNDDOWN('MainBalance'!$F$30*0.25,0)),2)&gt;1,1,0)</x:f>
        <x:v>6</x:v>
      </x:c>
      <x:c r="F99" s="19" t="n">
        <x:v>0</x:v>
      </x:c>
      <x:c r="G99" s="19" t="str">
        <x:v>Initial</x:v>
      </x:c>
      <x:c r="H99" s="19" t="str">
        <x:v>Melee</x:v>
      </x:c>
      <x:c r="I99" s="19" t="n">
        <x:v>0</x:v>
      </x:c>
      <x:c r="J99" s="19" t="n">
        <x:v>1</x:v>
      </x:c>
    </x:row>
    <x:row r="100" ht="25" customHeight="1">
      <x:c r="A100" s="19" t="str">
        <x:v>Main</x:v>
      </x:c>
      <x:c r="B100" s="19" t="n">
        <x:v>3</x:v>
      </x:c>
      <x:c r="C100" s="19" t="n">
        <x:v>7</x:v>
      </x:c>
      <x:c r="D100" s="19" t="str">
        <x:v>ORC_HUNTER</x:v>
      </x:c>
      <x:c r="E100" s="21" t="n">
        <x:f>ROUNDDOWN(ROUNDDOWN('MainBalance'!$F$30*0.25,0)/2,0)+IF(MOD(ROUNDDOWN('MainBalance'!$F$30*0.25,0),2)&gt;0,1,0)</x:f>
        <x:v>2</x:v>
      </x:c>
      <x:c r="F100" s="19" t="n">
        <x:v>0</x:v>
      </x:c>
      <x:c r="G100" s="19" t="str">
        <x:v>Initial</x:v>
      </x:c>
      <x:c r="H100" s="19" t="str">
        <x:v>Ranged</x:v>
      </x:c>
      <x:c r="I100" s="19" t="n">
        <x:v>0</x:v>
      </x:c>
      <x:c r="J100" s="19" t="n">
        <x:v>1</x:v>
      </x:c>
    </x:row>
    <x:row r="101" ht="25" customHeight="1">
      <x:c r="A101" s="19" t="str">
        <x:v>Main</x:v>
      </x:c>
      <x:c r="B101" s="19" t="n">
        <x:v>3</x:v>
      </x:c>
      <x:c r="C101" s="19" t="n">
        <x:v>7</x:v>
      </x:c>
      <x:c r="D101" s="19" t="str">
        <x:v>ORC_SHAMAN</x:v>
      </x:c>
      <x:c r="E101" s="21" t="n">
        <x:f>ROUNDDOWN(ROUNDDOWN('MainBalance'!$F$30*0.25,0)/2,0)+IF(MOD(ROUNDDOWN('MainBalance'!$F$30*0.25,0),2)&gt;1,1,0)</x:f>
        <x:v>2</x:v>
      </x:c>
      <x:c r="F101" s="19" t="n">
        <x:v>0</x:v>
      </x:c>
      <x:c r="G101" s="19" t="str">
        <x:v>Initial</x:v>
      </x:c>
      <x:c r="H101" s="19" t="str">
        <x:v>Ranged</x:v>
      </x:c>
      <x:c r="I101" s="19" t="n">
        <x:v>0</x:v>
      </x:c>
      <x:c r="J101" s="19" t="n">
        <x:v>1</x:v>
      </x:c>
    </x:row>
    <x:row r="102" ht="25" customHeight="1">
      <x:c r="A102" s="19" t="str">
        <x:v>Main</x:v>
      </x:c>
      <x:c r="B102" s="19" t="n">
        <x:v>3</x:v>
      </x:c>
      <x:c r="C102" s="19" t="n">
        <x:v>8</x:v>
      </x:c>
      <x:c r="D102" s="19" t="str">
        <x:v>ORC_WARRIOR</x:v>
      </x:c>
      <x:c r="E102" s="21" t="n">
        <x:f>ROUNDDOWN(('MainBalance'!$F$31-ROUNDDOWN('MainBalance'!$F$31*0.4,0))/2,0)+IF(MOD(('MainBalance'!$F$31-ROUNDDOWN('MainBalance'!$F$31*0.4,0)),2)&gt;0,1,0)</x:f>
        <x:v>6</x:v>
      </x:c>
      <x:c r="F102" s="19" t="n">
        <x:v>0</x:v>
      </x:c>
      <x:c r="G102" s="19" t="str">
        <x:v>Initial</x:v>
      </x:c>
      <x:c r="H102" s="19" t="str">
        <x:v>Melee</x:v>
      </x:c>
      <x:c r="I102" s="19" t="n">
        <x:v>0</x:v>
      </x:c>
      <x:c r="J102" s="19" t="n">
        <x:v>1</x:v>
      </x:c>
    </x:row>
    <x:row r="103" ht="25" customHeight="1">
      <x:c r="A103" s="19" t="str">
        <x:v>Main</x:v>
      </x:c>
      <x:c r="B103" s="19" t="n">
        <x:v>3</x:v>
      </x:c>
      <x:c r="C103" s="19" t="n">
        <x:v>8</x:v>
      </x:c>
      <x:c r="D103" s="19" t="str">
        <x:v>ORC_TASKMASTER</x:v>
      </x:c>
      <x:c r="E103" s="21" t="n">
        <x:f>ROUNDDOWN(('MainBalance'!$F$31-ROUNDDOWN('MainBalance'!$F$31*0.4,0))/2,0)+IF(MOD(('MainBalance'!$F$31-ROUNDDOWN('MainBalance'!$F$31*0.4,0)),2)&gt;1,1,0)</x:f>
        <x:v>5</x:v>
      </x:c>
      <x:c r="F103" s="19" t="n">
        <x:v>0</x:v>
      </x:c>
      <x:c r="G103" s="19" t="str">
        <x:v>Initial</x:v>
      </x:c>
      <x:c r="H103" s="19" t="str">
        <x:v>Melee</x:v>
      </x:c>
      <x:c r="I103" s="19" t="n">
        <x:v>0</x:v>
      </x:c>
      <x:c r="J103" s="19" t="n">
        <x:v>1</x:v>
      </x:c>
    </x:row>
    <x:row r="104" ht="25" customHeight="1">
      <x:c r="A104" s="19" t="str">
        <x:v>Main</x:v>
      </x:c>
      <x:c r="B104" s="19" t="n">
        <x:v>3</x:v>
      </x:c>
      <x:c r="C104" s="19" t="n">
        <x:v>8</x:v>
      </x:c>
      <x:c r="D104" s="19" t="str">
        <x:v>ORC_HUNTER</x:v>
      </x:c>
      <x:c r="E104" s="21" t="n">
        <x:f>ROUNDDOWN(ROUNDDOWN('MainBalance'!$F$31*0.4,0)/2,0)+IF(MOD(ROUNDDOWN('MainBalance'!$F$31*0.4,0),2)&gt;0,1,0)</x:f>
        <x:v>4</x:v>
      </x:c>
      <x:c r="F104" s="19" t="n">
        <x:v>0</x:v>
      </x:c>
      <x:c r="G104" s="19" t="str">
        <x:v>Initial</x:v>
      </x:c>
      <x:c r="H104" s="19" t="str">
        <x:v>Ranged</x:v>
      </x:c>
      <x:c r="I104" s="19" t="n">
        <x:v>0</x:v>
      </x:c>
      <x:c r="J104" s="19" t="n">
        <x:v>1</x:v>
      </x:c>
    </x:row>
    <x:row r="105" ht="25" customHeight="1">
      <x:c r="A105" s="19" t="str">
        <x:v>Main</x:v>
      </x:c>
      <x:c r="B105" s="19" t="n">
        <x:v>3</x:v>
      </x:c>
      <x:c r="C105" s="19" t="n">
        <x:v>8</x:v>
      </x:c>
      <x:c r="D105" s="19" t="str">
        <x:v>ORC_SHAMAN</x:v>
      </x:c>
      <x:c r="E105" s="21" t="n">
        <x:f>ROUNDDOWN(ROUNDDOWN('MainBalance'!$F$31*0.4,0)/2,0)+IF(MOD(ROUNDDOWN('MainBalance'!$F$31*0.4,0),2)&gt;1,1,0)</x:f>
        <x:v>3</x:v>
      </x:c>
      <x:c r="F105" s="19" t="n">
        <x:v>0</x:v>
      </x:c>
      <x:c r="G105" s="19" t="str">
        <x:v>Initial</x:v>
      </x:c>
      <x:c r="H105" s="19" t="str">
        <x:v>Ranged</x:v>
      </x:c>
      <x:c r="I105" s="19" t="n">
        <x:v>0</x:v>
      </x:c>
      <x:c r="J105" s="19" t="n">
        <x:v>1</x:v>
      </x:c>
    </x:row>
    <x:row r="106" ht="25" customHeight="1">
      <x:c r="A106" s="19" t="str">
        <x:v>Main</x:v>
      </x:c>
      <x:c r="B106" s="19" t="n">
        <x:v>3</x:v>
      </x:c>
      <x:c r="C106" s="19" t="n">
        <x:v>9</x:v>
      </x:c>
      <x:c r="D106" s="19" t="str">
        <x:v>ORC_WARRIOR</x:v>
      </x:c>
      <x:c r="E106" s="21" t="n">
        <x:f>ROUNDDOWN(('MainBalance'!$F$32-ROUNDDOWN('MainBalance'!$F$32*0.4,0))/2,0)+IF(MOD(('MainBalance'!$F$32-ROUNDDOWN('MainBalance'!$F$32*0.4,0)),2)&gt;0,1,0)</x:f>
        <x:v>6</x:v>
      </x:c>
      <x:c r="F106" s="19" t="n">
        <x:v>0</x:v>
      </x:c>
      <x:c r="G106" s="19" t="str">
        <x:v>Initial</x:v>
      </x:c>
      <x:c r="H106" s="19" t="str">
        <x:v>Melee</x:v>
      </x:c>
      <x:c r="I106" s="19" t="n">
        <x:v>0</x:v>
      </x:c>
      <x:c r="J106" s="19" t="n">
        <x:v>1</x:v>
      </x:c>
    </x:row>
    <x:row r="107" ht="25" customHeight="1">
      <x:c r="A107" s="19" t="str">
        <x:v>Main</x:v>
      </x:c>
      <x:c r="B107" s="19" t="n">
        <x:v>3</x:v>
      </x:c>
      <x:c r="C107" s="19" t="n">
        <x:v>9</x:v>
      </x:c>
      <x:c r="D107" s="19" t="str">
        <x:v>ORC_TASKMASTER</x:v>
      </x:c>
      <x:c r="E107" s="21" t="n">
        <x:f>ROUNDDOWN(('MainBalance'!$F$32-ROUNDDOWN('MainBalance'!$F$32*0.4,0))/2,0)+IF(MOD(('MainBalance'!$F$32-ROUNDDOWN('MainBalance'!$F$32*0.4,0)),2)&gt;1,1,0)</x:f>
        <x:v>6</x:v>
      </x:c>
      <x:c r="F107" s="19" t="n">
        <x:v>0</x:v>
      </x:c>
      <x:c r="G107" s="19" t="str">
        <x:v>Initial</x:v>
      </x:c>
      <x:c r="H107" s="19" t="str">
        <x:v>Melee</x:v>
      </x:c>
      <x:c r="I107" s="19" t="n">
        <x:v>0</x:v>
      </x:c>
      <x:c r="J107" s="19" t="n">
        <x:v>1</x:v>
      </x:c>
    </x:row>
    <x:row r="108" ht="25" customHeight="1">
      <x:c r="A108" s="19" t="str">
        <x:v>Main</x:v>
      </x:c>
      <x:c r="B108" s="19" t="n">
        <x:v>3</x:v>
      </x:c>
      <x:c r="C108" s="19" t="n">
        <x:v>9</x:v>
      </x:c>
      <x:c r="D108" s="19" t="str">
        <x:v>ORC_HUNTER</x:v>
      </x:c>
      <x:c r="E108" s="21" t="n">
        <x:f>ROUNDDOWN(ROUNDDOWN('MainBalance'!$F$32*0.4,0)/2,0)+IF(MOD(ROUNDDOWN('MainBalance'!$F$32*0.4,0),2)&gt;0,1,0)</x:f>
        <x:v>4</x:v>
      </x:c>
      <x:c r="F108" s="19" t="n">
        <x:v>0</x:v>
      </x:c>
      <x:c r="G108" s="19" t="str">
        <x:v>Initial</x:v>
      </x:c>
      <x:c r="H108" s="19" t="str">
        <x:v>Ranged</x:v>
      </x:c>
      <x:c r="I108" s="19" t="n">
        <x:v>0</x:v>
      </x:c>
      <x:c r="J108" s="19" t="n">
        <x:v>1</x:v>
      </x:c>
    </x:row>
    <x:row r="109" ht="25" customHeight="1">
      <x:c r="A109" s="19" t="str">
        <x:v>Main</x:v>
      </x:c>
      <x:c r="B109" s="19" t="n">
        <x:v>3</x:v>
      </x:c>
      <x:c r="C109" s="19" t="n">
        <x:v>9</x:v>
      </x:c>
      <x:c r="D109" s="19" t="str">
        <x:v>ORC_SHAMAN</x:v>
      </x:c>
      <x:c r="E109" s="21" t="n">
        <x:f>ROUNDDOWN(ROUNDDOWN('MainBalance'!$F$32*0.4,0)/2,0)+IF(MOD(ROUNDDOWN('MainBalance'!$F$32*0.4,0),2)&gt;1,1,0)</x:f>
        <x:v>4</x:v>
      </x:c>
      <x:c r="F109" s="19" t="n">
        <x:v>0</x:v>
      </x:c>
      <x:c r="G109" s="19" t="str">
        <x:v>Initial</x:v>
      </x:c>
      <x:c r="H109" s="19" t="str">
        <x:v>Ranged</x:v>
      </x:c>
      <x:c r="I109" s="19" t="n">
        <x:v>0</x:v>
      </x:c>
      <x:c r="J109" s="19" t="n">
        <x:v>1</x:v>
      </x:c>
    </x:row>
    <x:row r="110" ht="25" customHeight="1">
      <x:c r="A110" s="19" t="str">
        <x:v>Main</x:v>
      </x:c>
      <x:c r="B110" s="19" t="n">
        <x:v>3</x:v>
      </x:c>
      <x:c r="C110" s="19" t="n">
        <x:v>10</x:v>
      </x:c>
      <x:c r="D110" s="19" t="str">
        <x:v>ORC_WARRIOR</x:v>
      </x:c>
      <x:c r="E110" s="21" t="n">
        <x:f>ROUNDDOWN(('MainBalance'!$F$33-ROUNDDOWN('MainBalance'!$F$33*0.4,0))/2,0)+IF(MOD(('MainBalance'!$F$33-ROUNDDOWN('MainBalance'!$F$33*0.4,0)),2)&gt;0,1,0)</x:f>
        <x:v>8</x:v>
      </x:c>
      <x:c r="F110" s="19" t="n">
        <x:v>0</x:v>
      </x:c>
      <x:c r="G110" s="19" t="str">
        <x:v>Initial</x:v>
      </x:c>
      <x:c r="H110" s="19" t="str">
        <x:v>Melee</x:v>
      </x:c>
      <x:c r="I110" s="19" t="n">
        <x:v>0</x:v>
      </x:c>
      <x:c r="J110" s="19" t="n">
        <x:v>1</x:v>
      </x:c>
    </x:row>
    <x:row r="111" ht="25" customHeight="1">
      <x:c r="A111" s="19" t="str">
        <x:v>Main</x:v>
      </x:c>
      <x:c r="B111" s="19" t="n">
        <x:v>3</x:v>
      </x:c>
      <x:c r="C111" s="19" t="n">
        <x:v>10</x:v>
      </x:c>
      <x:c r="D111" s="19" t="str">
        <x:v>ORC_TASKMASTER</x:v>
      </x:c>
      <x:c r="E111" s="21" t="n">
        <x:f>ROUNDDOWN(('MainBalance'!$F$33-ROUNDDOWN('MainBalance'!$F$33*0.4,0))/2,0)+IF(MOD(('MainBalance'!$F$33-ROUNDDOWN('MainBalance'!$F$33*0.4,0)),2)&gt;1,1,0)</x:f>
        <x:v>7</x:v>
      </x:c>
      <x:c r="F111" s="19" t="n">
        <x:v>0</x:v>
      </x:c>
      <x:c r="G111" s="19" t="str">
        <x:v>Initial</x:v>
      </x:c>
      <x:c r="H111" s="19" t="str">
        <x:v>Melee</x:v>
      </x:c>
      <x:c r="I111" s="19" t="n">
        <x:v>0</x:v>
      </x:c>
      <x:c r="J111" s="19" t="n">
        <x:v>1</x:v>
      </x:c>
    </x:row>
    <x:row r="112" ht="25" customHeight="1">
      <x:c r="A112" s="19" t="str">
        <x:v>Main</x:v>
      </x:c>
      <x:c r="B112" s="19" t="n">
        <x:v>3</x:v>
      </x:c>
      <x:c r="C112" s="19" t="n">
        <x:v>10</x:v>
      </x:c>
      <x:c r="D112" s="19" t="str">
        <x:v>ORC_HUNTER</x:v>
      </x:c>
      <x:c r="E112" s="21" t="n">
        <x:f>ROUNDDOWN(ROUNDDOWN('MainBalance'!$F$33*0.4,0)/2,0)+IF(MOD(ROUNDDOWN('MainBalance'!$F$33*0.4,0),2)&gt;0,1,0)</x:f>
        <x:v>5</x:v>
      </x:c>
      <x:c r="F112" s="19" t="n">
        <x:v>0</x:v>
      </x:c>
      <x:c r="G112" s="19" t="str">
        <x:v>Initial</x:v>
      </x:c>
      <x:c r="H112" s="19" t="str">
        <x:v>Ranged</x:v>
      </x:c>
      <x:c r="I112" s="19" t="n">
        <x:v>0</x:v>
      </x:c>
      <x:c r="J112" s="19" t="n">
        <x:v>1</x:v>
      </x:c>
    </x:row>
    <x:row r="113" ht="25" customHeight="1">
      <x:c r="A113" s="19" t="str">
        <x:v>Main</x:v>
      </x:c>
      <x:c r="B113" s="19" t="n">
        <x:v>3</x:v>
      </x:c>
      <x:c r="C113" s="19" t="n">
        <x:v>10</x:v>
      </x:c>
      <x:c r="D113" s="19" t="str">
        <x:v>ORC_SHAMAN</x:v>
      </x:c>
      <x:c r="E113" s="21" t="n">
        <x:f>ROUNDDOWN(ROUNDDOWN('MainBalance'!$F$33*0.4,0)/2,0)+IF(MOD(ROUNDDOWN('MainBalance'!$F$33*0.4,0),2)&gt;1,1,0)</x:f>
        <x:v>4</x:v>
      </x:c>
      <x:c r="F113" s="19" t="n">
        <x:v>0</x:v>
      </x:c>
      <x:c r="G113" s="19" t="str">
        <x:v>Initial</x:v>
      </x:c>
      <x:c r="H113" s="19" t="str">
        <x:v>Ranged</x:v>
      </x:c>
      <x:c r="I113" s="19" t="n">
        <x:v>0</x:v>
      </x:c>
      <x:c r="J113" s="19" t="n">
        <x:v>1</x:v>
      </x:c>
    </x:row>
    <x:row r="114" ht="25" customHeight="1">
      <x:c r="A114" s="19" t="str">
        <x:v>Main</x:v>
      </x:c>
      <x:c r="B114" s="19" t="n">
        <x:v>3</x:v>
      </x:c>
      <x:c r="C114" s="19" t="n">
        <x:v>11</x:v>
      </x:c>
      <x:c r="D114" s="19" t="str">
        <x:v>ORC_BRUTE</x:v>
      </x:c>
      <x:c r="E114" s="21" t="n">
        <x:f>'MainBalance'!F34</x:f>
        <x:v>1</x:v>
      </x:c>
      <x:c r="F114" s="19" t="n">
        <x:v>0</x:v>
      </x:c>
      <x:c r="G114" s="19" t="str">
        <x:v>Initial</x:v>
      </x:c>
      <x:c r="H114" s="19" t="str">
        <x:v>Boss</x:v>
      </x:c>
      <x:c r="I114" s="19" t="n">
        <x:v>0</x:v>
      </x:c>
      <x:c r="J114" s="19" t="n">
        <x:v>1</x:v>
      </x:c>
    </x:row>
    <x:row r="115" ht="25" customHeight="1">
      <x:c r="A115" s="19" t="str">
        <x:v>GoldDungeon</x:v>
      </x:c>
      <x:c r="B115" s="19" t="n">
        <x:v>1</x:v>
      </x:c>
      <x:c r="C115" s="19" t="n">
        <x:v>1</x:v>
      </x:c>
      <x:c r="D115" s="19" t="str">
        <x:v>HERESY_MIMIC</x:v>
      </x:c>
      <x:c r="E115" s="21" t="n">
        <x:f>'GoldBalance'!B2</x:f>
        <x:v>20</x:v>
      </x:c>
      <x:c r="F115" s="19" t="n">
        <x:v>0</x:v>
      </x:c>
      <x:c r="G115" s="19" t="str">
        <x:v>Initial</x:v>
      </x:c>
      <x:c r="H115" s="19" t="str">
        <x:v>Melee</x:v>
      </x:c>
      <x:c r="I115" s="19" t="n">
        <x:v>0</x:v>
      </x:c>
      <x:c r="J115" s="19" t="n">
        <x:v>1</x:v>
      </x:c>
    </x:row>
    <x:row r="116" ht="25" customHeight="1">
      <x:c r="A116" s="19" t="str">
        <x:v>RubyDungeon</x:v>
      </x:c>
      <x:c r="B116" s="19" t="n">
        <x:v>1</x:v>
      </x:c>
      <x:c r="C116" s="19" t="n">
        <x:v>1</x:v>
      </x:c>
      <x:c r="D116" s="19" t="str">
        <x:v>BANDIT_KING</x:v>
      </x:c>
      <x:c r="E116" s="19" t="n">
        <x:v>1</x:v>
      </x:c>
      <x:c r="F116" s="19" t="n">
        <x:v>0</x:v>
      </x:c>
      <x:c r="G116" s="19" t="str">
        <x:v>Initial</x:v>
      </x:c>
      <x:c r="H116" s="19" t="str">
        <x:v>Boss</x:v>
      </x:c>
      <x:c r="I116" s="19" t="n">
        <x:v>0</x:v>
      </x:c>
      <x:c r="J116" s="19" t="n">
        <x:v>1</x:v>
      </x:c>
    </x:row>
    <x:row r="117" ht="25" customHeight="1">
      <x:c r="A117" s="19" t="str">
        <x:v>RubyDungeon</x:v>
      </x:c>
      <x:c r="B117" s="19" t="n">
        <x:v>1</x:v>
      </x:c>
      <x:c r="C117" s="19" t="n">
        <x:v>1</x:v>
      </x:c>
      <x:c r="D117" s="19" t="str">
        <x:v>GOBLIN_KING</x:v>
      </x:c>
      <x:c r="E117" s="19" t="n">
        <x:v>1</x:v>
      </x:c>
      <x:c r="F117" s="19" t="n">
        <x:v>0</x:v>
      </x:c>
      <x:c r="G117" s="19" t="str">
        <x:v>Initial</x:v>
      </x:c>
      <x:c r="H117" s="19" t="str">
        <x:v>Boss</x:v>
      </x:c>
      <x:c r="I117" s="19" t="n">
        <x:v>0</x:v>
      </x:c>
      <x:c r="J117" s="19" t="n">
        <x:v>2</x:v>
      </x:c>
    </x:row>
    <x:row r="118" ht="25" customHeight="1">
      <x:c r="A118" s="19" t="str">
        <x:v>RubyDungeon</x:v>
      </x:c>
      <x:c r="B118" s="19" t="n">
        <x:v>1</x:v>
      </x:c>
      <x:c r="C118" s="19" t="n">
        <x:v>1</x:v>
      </x:c>
      <x:c r="D118" s="19" t="str">
        <x:v>ORC_BRUTE</x:v>
      </x:c>
      <x:c r="E118" s="19" t="n">
        <x:v>1</x:v>
      </x:c>
      <x:c r="F118" s="19" t="n">
        <x:v>0</x:v>
      </x:c>
      <x:c r="G118" s="19" t="str">
        <x:v>Initial</x:v>
      </x:c>
      <x:c r="H118" s="19" t="str">
        <x:v>Boss</x:v>
      </x:c>
      <x:c r="I118" s="19" t="n">
        <x:v>0</x:v>
      </x:c>
      <x:c r="J118" s="19" t="n">
        <x:v>3</x:v>
      </x:c>
    </x:row>
    <x:row r="119" ht="25" customHeight="1">
      <x:c r="A119" s="19" t="str">
        <x:v>GoldDungeon</x:v>
      </x:c>
      <x:c r="B119" s="19" t="n">
        <x:v>2</x:v>
      </x:c>
      <x:c r="C119" s="19" t="n">
        <x:v>1</x:v>
      </x:c>
      <x:c r="D119" s="19" t="str">
        <x:v>HERESY_MIMIC</x:v>
      </x:c>
      <x:c r="E119" s="21" t="n">
        <x:f>'GoldBalance'!B3</x:f>
        <x:v>20</x:v>
      </x:c>
      <x:c r="F119" s="19" t="n">
        <x:v>0</x:v>
      </x:c>
      <x:c r="G119" s="19" t="str">
        <x:v>Initial</x:v>
      </x:c>
      <x:c r="H119" s="19" t="str">
        <x:v>Melee</x:v>
      </x:c>
      <x:c r="I119" s="19" t="n">
        <x:v>0</x:v>
      </x:c>
      <x:c r="J119" s="19" t="n">
        <x:v>1</x:v>
      </x:c>
    </x:row>
    <x:row r="120" ht="25" customHeight="1">
      <x:c r="A120" s="19" t="str">
        <x:v>RubyDungeon</x:v>
      </x:c>
      <x:c r="B120" s="19" t="n">
        <x:v>2</x:v>
      </x:c>
      <x:c r="C120" s="19" t="n">
        <x:v>1</x:v>
      </x:c>
      <x:c r="D120" s="19" t="str">
        <x:v>BANDIT_KING</x:v>
      </x:c>
      <x:c r="E120" s="19" t="n">
        <x:v>1</x:v>
      </x:c>
      <x:c r="F120" s="19" t="n">
        <x:v>0</x:v>
      </x:c>
      <x:c r="G120" s="19" t="str">
        <x:v>Initial</x:v>
      </x:c>
      <x:c r="H120" s="19" t="str">
        <x:v>Boss</x:v>
      </x:c>
      <x:c r="I120" s="19" t="n">
        <x:v>0</x:v>
      </x:c>
      <x:c r="J120" s="19" t="n">
        <x:v>1</x:v>
      </x:c>
    </x:row>
    <x:row r="121" ht="25" customHeight="1">
      <x:c r="A121" s="19" t="str">
        <x:v>RubyDungeon</x:v>
      </x:c>
      <x:c r="B121" s="19" t="n">
        <x:v>2</x:v>
      </x:c>
      <x:c r="C121" s="19" t="n">
        <x:v>1</x:v>
      </x:c>
      <x:c r="D121" s="19" t="str">
        <x:v>GOBLIN_KING</x:v>
      </x:c>
      <x:c r="E121" s="19" t="n">
        <x:v>1</x:v>
      </x:c>
      <x:c r="F121" s="19" t="n">
        <x:v>0</x:v>
      </x:c>
      <x:c r="G121" s="19" t="str">
        <x:v>Initial</x:v>
      </x:c>
      <x:c r="H121" s="19" t="str">
        <x:v>Boss</x:v>
      </x:c>
      <x:c r="I121" s="19" t="n">
        <x:v>0</x:v>
      </x:c>
      <x:c r="J121" s="19" t="n">
        <x:v>2</x:v>
      </x:c>
    </x:row>
    <x:row r="122" ht="25" customHeight="1">
      <x:c r="A122" s="19" t="str">
        <x:v>RubyDungeon</x:v>
      </x:c>
      <x:c r="B122" s="19" t="n">
        <x:v>2</x:v>
      </x:c>
      <x:c r="C122" s="19" t="n">
        <x:v>1</x:v>
      </x:c>
      <x:c r="D122" s="19" t="str">
        <x:v>ORC_BRUTE</x:v>
      </x:c>
      <x:c r="E122" s="19" t="n">
        <x:v>1</x:v>
      </x:c>
      <x:c r="F122" s="19" t="n">
        <x:v>0</x:v>
      </x:c>
      <x:c r="G122" s="19" t="str">
        <x:v>Initial</x:v>
      </x:c>
      <x:c r="H122" s="19" t="str">
        <x:v>Boss</x:v>
      </x:c>
      <x:c r="I122" s="19" t="n">
        <x:v>0</x:v>
      </x:c>
      <x:c r="J122" s="19" t="n">
        <x:v>3</x:v>
      </x:c>
    </x:row>
    <x:row r="123" ht="25" customHeight="1">
      <x:c r="A123" s="19" t="str">
        <x:v>GoldDungeon</x:v>
      </x:c>
      <x:c r="B123" s="19" t="n">
        <x:v>3</x:v>
      </x:c>
      <x:c r="C123" s="19" t="n">
        <x:v>1</x:v>
      </x:c>
      <x:c r="D123" s="19" t="str">
        <x:v>HERESY_MIMIC</x:v>
      </x:c>
      <x:c r="E123" s="21" t="n">
        <x:f>'GoldBalance'!B4</x:f>
        <x:v>20</x:v>
      </x:c>
      <x:c r="F123" s="19" t="n">
        <x:v>0</x:v>
      </x:c>
      <x:c r="G123" s="19" t="str">
        <x:v>Initial</x:v>
      </x:c>
      <x:c r="H123" s="19" t="str">
        <x:v>Melee</x:v>
      </x:c>
      <x:c r="I123" s="19" t="n">
        <x:v>0</x:v>
      </x:c>
      <x:c r="J123" s="19" t="n">
        <x:v>1</x:v>
      </x:c>
    </x:row>
    <x:row r="124" ht="25" customHeight="1">
      <x:c r="A124" s="19" t="str">
        <x:v>RubyDungeon</x:v>
      </x:c>
      <x:c r="B124" s="19" t="n">
        <x:v>3</x:v>
      </x:c>
      <x:c r="C124" s="19" t="n">
        <x:v>1</x:v>
      </x:c>
      <x:c r="D124" s="19" t="str">
        <x:v>BANDIT_KING</x:v>
      </x:c>
      <x:c r="E124" s="19" t="n">
        <x:v>1</x:v>
      </x:c>
      <x:c r="F124" s="19" t="n">
        <x:v>0</x:v>
      </x:c>
      <x:c r="G124" s="19" t="str">
        <x:v>Initial</x:v>
      </x:c>
      <x:c r="H124" s="19" t="str">
        <x:v>Boss</x:v>
      </x:c>
      <x:c r="I124" s="19" t="n">
        <x:v>0</x:v>
      </x:c>
      <x:c r="J124" s="19" t="n">
        <x:v>1</x:v>
      </x:c>
    </x:row>
    <x:row r="125" ht="25" customHeight="1">
      <x:c r="A125" s="19" t="str">
        <x:v>RubyDungeon</x:v>
      </x:c>
      <x:c r="B125" s="19" t="n">
        <x:v>3</x:v>
      </x:c>
      <x:c r="C125" s="19" t="n">
        <x:v>1</x:v>
      </x:c>
      <x:c r="D125" s="19" t="str">
        <x:v>GOBLIN_KING</x:v>
      </x:c>
      <x:c r="E125" s="19" t="n">
        <x:v>1</x:v>
      </x:c>
      <x:c r="F125" s="19" t="n">
        <x:v>0</x:v>
      </x:c>
      <x:c r="G125" s="19" t="str">
        <x:v>Initial</x:v>
      </x:c>
      <x:c r="H125" s="19" t="str">
        <x:v>Boss</x:v>
      </x:c>
      <x:c r="I125" s="19" t="n">
        <x:v>0</x:v>
      </x:c>
      <x:c r="J125" s="19" t="n">
        <x:v>2</x:v>
      </x:c>
    </x:row>
    <x:row r="126" ht="25" customHeight="1">
      <x:c r="A126" s="19" t="str">
        <x:v>RubyDungeon</x:v>
      </x:c>
      <x:c r="B126" s="19" t="n">
        <x:v>3</x:v>
      </x:c>
      <x:c r="C126" s="19" t="n">
        <x:v>1</x:v>
      </x:c>
      <x:c r="D126" s="19" t="str">
        <x:v>ORC_BRUTE</x:v>
      </x:c>
      <x:c r="E126" s="19" t="n">
        <x:v>1</x:v>
      </x:c>
      <x:c r="F126" s="19" t="n">
        <x:v>0</x:v>
      </x:c>
      <x:c r="G126" s="19" t="str">
        <x:v>Initial</x:v>
      </x:c>
      <x:c r="H126" s="19" t="str">
        <x:v>Boss</x:v>
      </x:c>
      <x:c r="I126" s="19" t="n">
        <x:v>0</x:v>
      </x:c>
      <x:c r="J126" s="19" t="n">
        <x:v>3</x:v>
      </x:c>
    </x:row>
    <x:row r="127" ht="25" customHeight="1">
      <x:c r="A127" s="19" t="str">
        <x:v>GoldDungeon</x:v>
      </x:c>
      <x:c r="B127" s="19" t="n">
        <x:v>4</x:v>
      </x:c>
      <x:c r="C127" s="19" t="n">
        <x:v>1</x:v>
      </x:c>
      <x:c r="D127" s="19" t="str">
        <x:v>HERESY_MIMIC</x:v>
      </x:c>
      <x:c r="E127" s="21" t="n">
        <x:f>'GoldBalance'!B5</x:f>
        <x:v>20</x:v>
      </x:c>
      <x:c r="F127" s="19" t="n">
        <x:v>0</x:v>
      </x:c>
      <x:c r="G127" s="19" t="str">
        <x:v>Initial</x:v>
      </x:c>
      <x:c r="H127" s="19" t="str">
        <x:v>Melee</x:v>
      </x:c>
      <x:c r="I127" s="19" t="n">
        <x:v>0</x:v>
      </x:c>
      <x:c r="J127" s="19" t="n">
        <x:v>1</x:v>
      </x:c>
    </x:row>
    <x:row r="128" ht="25" customHeight="1">
      <x:c r="A128" s="19" t="str">
        <x:v>RubyDungeon</x:v>
      </x:c>
      <x:c r="B128" s="19" t="n">
        <x:v>4</x:v>
      </x:c>
      <x:c r="C128" s="19" t="n">
        <x:v>1</x:v>
      </x:c>
      <x:c r="D128" s="19" t="str">
        <x:v>BANDIT_KING</x:v>
      </x:c>
      <x:c r="E128" s="19" t="n">
        <x:v>1</x:v>
      </x:c>
      <x:c r="F128" s="19" t="n">
        <x:v>0</x:v>
      </x:c>
      <x:c r="G128" s="19" t="str">
        <x:v>Initial</x:v>
      </x:c>
      <x:c r="H128" s="19" t="str">
        <x:v>Boss</x:v>
      </x:c>
      <x:c r="I128" s="19" t="n">
        <x:v>0</x:v>
      </x:c>
      <x:c r="J128" s="19" t="n">
        <x:v>1</x:v>
      </x:c>
    </x:row>
    <x:row r="129" ht="25" customHeight="1">
      <x:c r="A129" s="19" t="str">
        <x:v>RubyDungeon</x:v>
      </x:c>
      <x:c r="B129" s="19" t="n">
        <x:v>4</x:v>
      </x:c>
      <x:c r="C129" s="19" t="n">
        <x:v>1</x:v>
      </x:c>
      <x:c r="D129" s="19" t="str">
        <x:v>GOBLIN_KING</x:v>
      </x:c>
      <x:c r="E129" s="19" t="n">
        <x:v>1</x:v>
      </x:c>
      <x:c r="F129" s="19" t="n">
        <x:v>0</x:v>
      </x:c>
      <x:c r="G129" s="19" t="str">
        <x:v>Initial</x:v>
      </x:c>
      <x:c r="H129" s="19" t="str">
        <x:v>Boss</x:v>
      </x:c>
      <x:c r="I129" s="19" t="n">
        <x:v>0</x:v>
      </x:c>
      <x:c r="J129" s="19" t="n">
        <x:v>2</x:v>
      </x:c>
    </x:row>
    <x:row r="130" ht="25" customHeight="1">
      <x:c r="A130" s="19" t="str">
        <x:v>RubyDungeon</x:v>
      </x:c>
      <x:c r="B130" s="19" t="n">
        <x:v>4</x:v>
      </x:c>
      <x:c r="C130" s="19" t="n">
        <x:v>1</x:v>
      </x:c>
      <x:c r="D130" s="19" t="str">
        <x:v>ORC_BRUTE</x:v>
      </x:c>
      <x:c r="E130" s="19" t="n">
        <x:v>1</x:v>
      </x:c>
      <x:c r="F130" s="19" t="n">
        <x:v>0</x:v>
      </x:c>
      <x:c r="G130" s="19" t="str">
        <x:v>Initial</x:v>
      </x:c>
      <x:c r="H130" s="19" t="str">
        <x:v>Boss</x:v>
      </x:c>
      <x:c r="I130" s="19" t="n">
        <x:v>0</x:v>
      </x:c>
      <x:c r="J130" s="19" t="n">
        <x:v>3</x:v>
      </x:c>
    </x:row>
    <x:row r="131" ht="25" customHeight="1">
      <x:c r="A131" s="19" t="str">
        <x:v>GoldDungeon</x:v>
      </x:c>
      <x:c r="B131" s="19" t="n">
        <x:v>5</x:v>
      </x:c>
      <x:c r="C131" s="19" t="n">
        <x:v>1</x:v>
      </x:c>
      <x:c r="D131" s="19" t="str">
        <x:v>HERESY_MIMIC</x:v>
      </x:c>
      <x:c r="E131" s="21" t="n">
        <x:f>'GoldBalance'!B6</x:f>
        <x:v>20</x:v>
      </x:c>
      <x:c r="F131" s="19" t="n">
        <x:v>0</x:v>
      </x:c>
      <x:c r="G131" s="19" t="str">
        <x:v>Initial</x:v>
      </x:c>
      <x:c r="H131" s="19" t="str">
        <x:v>Melee</x:v>
      </x:c>
      <x:c r="I131" s="19" t="n">
        <x:v>0</x:v>
      </x:c>
      <x:c r="J131" s="19" t="n">
        <x:v>1</x:v>
      </x:c>
    </x:row>
    <x:row r="132" ht="25" customHeight="1">
      <x:c r="A132" s="19" t="str">
        <x:v>RubyDungeon</x:v>
      </x:c>
      <x:c r="B132" s="19" t="n">
        <x:v>5</x:v>
      </x:c>
      <x:c r="C132" s="19" t="n">
        <x:v>1</x:v>
      </x:c>
      <x:c r="D132" s="19" t="str">
        <x:v>BANDIT_KING</x:v>
      </x:c>
      <x:c r="E132" s="19" t="n">
        <x:v>1</x:v>
      </x:c>
      <x:c r="F132" s="19" t="n">
        <x:v>0</x:v>
      </x:c>
      <x:c r="G132" s="19" t="str">
        <x:v>Initial</x:v>
      </x:c>
      <x:c r="H132" s="19" t="str">
        <x:v>Boss</x:v>
      </x:c>
      <x:c r="I132" s="19" t="n">
        <x:v>0</x:v>
      </x:c>
      <x:c r="J132" s="19" t="n">
        <x:v>1</x:v>
      </x:c>
    </x:row>
    <x:row r="133" ht="25" customHeight="1">
      <x:c r="A133" s="19" t="str">
        <x:v>RubyDungeon</x:v>
      </x:c>
      <x:c r="B133" s="19" t="n">
        <x:v>5</x:v>
      </x:c>
      <x:c r="C133" s="19" t="n">
        <x:v>1</x:v>
      </x:c>
      <x:c r="D133" s="19" t="str">
        <x:v>GOBLIN_KING</x:v>
      </x:c>
      <x:c r="E133" s="19" t="n">
        <x:v>1</x:v>
      </x:c>
      <x:c r="F133" s="19" t="n">
        <x:v>0</x:v>
      </x:c>
      <x:c r="G133" s="19" t="str">
        <x:v>Initial</x:v>
      </x:c>
      <x:c r="H133" s="19" t="str">
        <x:v>Boss</x:v>
      </x:c>
      <x:c r="I133" s="19" t="n">
        <x:v>0</x:v>
      </x:c>
      <x:c r="J133" s="19" t="n">
        <x:v>2</x:v>
      </x:c>
    </x:row>
    <x:row r="134" ht="25" customHeight="1">
      <x:c r="A134" s="19" t="str">
        <x:v>RubyDungeon</x:v>
      </x:c>
      <x:c r="B134" s="19" t="n">
        <x:v>5</x:v>
      </x:c>
      <x:c r="C134" s="19" t="n">
        <x:v>1</x:v>
      </x:c>
      <x:c r="D134" s="19" t="str">
        <x:v>ORC_BRUTE</x:v>
      </x:c>
      <x:c r="E134" s="19" t="n">
        <x:v>1</x:v>
      </x:c>
      <x:c r="F134" s="19" t="n">
        <x:v>0</x:v>
      </x:c>
      <x:c r="G134" s="19" t="str">
        <x:v>Initial</x:v>
      </x:c>
      <x:c r="H134" s="19" t="str">
        <x:v>Boss</x:v>
      </x:c>
      <x:c r="I134" s="19" t="n">
        <x:v>0</x:v>
      </x:c>
      <x:c r="J134" s="19" t="n">
        <x:v>3</x:v>
      </x:c>
    </x:row>
  </x:sheetData>
  <x:dataValidations count="1">
    <x:dataValidation type="list" sqref="H2:H134">
      <x:formula1>"Melee,Ranged,Boss"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c3c1aff38bff4f39"/>
  </x:tableParts>
</x:worksheet>
</file>

<file path=xl/worksheets/sheet3.xml><?xml version="1.0" encoding="utf-8"?>
<x:worksheet xmlns:x="http://schemas.openxmlformats.org/spreadsheetml/2006/main">
  <x:sheetPr>
    <x:tabColor rgb="FF2D6176"/>
  </x:sheetPr>
  <x:sheetViews>
    <x:sheetView showGridLines="0" workbookViewId="0">
      <x:pane xSplit="2" ySplit="1" topLeftCell="C2" activePane="bottomRight" state="frozen"/>
    </x:sheetView>
  </x:sheetViews>
  <x:sheetFormatPr defaultRowHeight="15"/>
  <x:cols>
    <x:col min="1" max="1" width="18" hidden="0" customWidth="1"/>
    <x:col min="2" max="2" width="18" hidden="0" customWidth="1"/>
    <x:col min="3" max="3" width="18" hidden="0" customWidth="1"/>
    <x:col min="4" max="4" width="18" hidden="0" customWidth="1"/>
    <x:col min="5" max="5" width="18" hidden="0" customWidth="1"/>
    <x:col min="6" max="6" width="18" hidden="0" customWidth="1"/>
    <x:col min="7" max="7" width="18" hidden="0" customWidth="1"/>
    <x:col min="8" max="8" width="18" hidden="0" customWidth="1"/>
    <x:col min="9" max="9" width="18" hidden="0" customWidth="1"/>
    <x:col min="10" max="10" width="18" hidden="0" customWidth="1"/>
    <x:col min="11" max="11" width="18" hidden="0" customWidth="1"/>
    <x:col min="12" max="12" width="18" hidden="0" customWidth="1"/>
    <x:col min="13" max="13" width="18" hidden="0" customWidth="1"/>
    <x:col min="14" max="14" width="18" hidden="0" customWidth="1"/>
    <x:col min="15" max="15" width="18" hidden="0" customWidth="1"/>
    <x:col min="16" max="16" width="18" hidden="0" customWidth="1"/>
  </x:cols>
  <x:sheetData>
    <x:row r="1" ht="43" customHeight="1">
      <x:c r="A1" s="18" t="str">
        <x:v>Stage</x:v>
      </x:c>
      <x:c r="B1" s="18" t="str">
        <x:v>Wave</x:v>
      </x:c>
      <x:c r="C1" s="18" t="str">
        <x:v>ProgressIndex</x:v>
      </x:c>
      <x:c r="D1" s="18" t="str">
        <x:v>Concept</x:v>
      </x:c>
      <x:c r="E1" s="18" t="str">
        <x:v>Encounter</x:v>
      </x:c>
      <x:c r="F1" s="18" t="str">
        <x:v>Count</x:v>
      </x:c>
      <x:c r="G1" s="18" t="str">
        <x:v>HP</x:v>
      </x:c>
      <x:c r="H1" s="18" t="str">
        <x:v>ATK</x:v>
      </x:c>
      <x:c r="I1" s="18" t="str">
        <x:v>GoldEach</x:v>
      </x:c>
      <x:c r="J1" s="18" t="str">
        <x:v>GoldWave</x:v>
      </x:c>
      <x:c r="K1" s="18" t="str">
        <x:v>ExpEach</x:v>
      </x:c>
      <x:c r="L1" s="18" t="str">
        <x:v>ExpWave</x:v>
      </x:c>
      <x:c r="M1" s="18" t="str">
        <x:v>EquipmentDropRate</x:v>
      </x:c>
      <x:c r="N1" s="18" t="str">
        <x:v>TimeLimitSec</x:v>
      </x:c>
      <x:c r="O1" s="18" t="str">
        <x:v>GoldPerMinute</x:v>
      </x:c>
      <x:c r="P1" s="18" t="str">
        <x:v>StageId</x:v>
      </x:c>
    </x:row>
    <x:row r="2" ht="25" customHeight="1">
      <x:c r="A2" s="19" t="n">
        <x:v>1</x:v>
      </x:c>
      <x:c r="B2" s="19" t="n">
        <x:v>1</x:v>
      </x:c>
      <x:c r="C2" s="13" t="n">
        <x:f>11*(A2-1)+B2</x:f>
        <x:v>1</x:v>
      </x:c>
      <x:c r="D2" s="19" t="str">
        <x:v>산적</x:v>
      </x:c>
      <x:c r="E2" s="19" t="str">
        <x:v>일반</x:v>
      </x:c>
      <x:c r="F2" s="19" t="n">
        <x:v>3</x:v>
      </x:c>
      <x:c r="G2" s="21" t="n">
        <x:f>ROUNDUP(ROUND('Inputs'!$B$2*'Inputs'!$B$3^(C2-1)*IF(B2=11,'Inputs'!$B$10,1),6),0)</x:f>
        <x:v>80</x:v>
      </x:c>
      <x:c r="H2" s="21" t="n">
        <x:f>ROUNDUP(ROUND('Inputs'!$B$4*'Inputs'!$B$5^(C2-1)*IF(B2=11,'Inputs'!$B$11,1),6),0)</x:f>
        <x:v>5</x:v>
      </x:c>
      <x:c r="I2" s="21" t="n">
        <x:f>ROUNDDOWN(ROUND('Inputs'!$B$6*'Inputs'!$B$7^(C2-1)*IF(B2=11,'Inputs'!$B$12,1),6),0)</x:f>
        <x:v>10</x:v>
      </x:c>
      <x:c r="J2" s="13" t="n">
        <x:f>F2*I2</x:f>
        <x:v>30</x:v>
      </x:c>
      <x:c r="K2" s="21" t="n">
        <x:f>ROUNDDOWN(ROUND('Inputs'!$B$8*'Inputs'!$B$9^(C2-1)*IF(B2=11,'Inputs'!$B$13,1),6),0)</x:f>
        <x:v>3</x:v>
      </x:c>
      <x:c r="L2" s="13" t="n">
        <x:f>F2*K2</x:f>
        <x:v>9</x:v>
      </x:c>
      <x:c r="M2" s="23" t="n">
        <x:f>IF(B2=11,0,MIN('Inputs'!$B$20,'Inputs'!$B$18+'Inputs'!$B$19*(A2-1)))</x:f>
        <x:v>0.02</x:v>
      </x:c>
      <x:c r="N2" s="21" t="n">
        <x:f>IF(B2=11,'Inputs'!$B$14,0)</x:f>
        <x:v>0</x:v>
      </x:c>
      <x:c r="O2" s="21" t="n">
        <x:f>IF(B2=11,0,ROUNDDOWN(ROUND(I2*'Inputs'!$B$15*(1+'Inputs'!$B$31*'Inputs'!$B$53),6),0))</x:f>
        <x:v>300</x:v>
      </x:c>
      <x:c r="P2" s="24" t="n">
        <x:f>8589934592+A2*65536+B2</x:f>
        <x:v>8590000129</x:v>
      </x:c>
    </x:row>
    <x:row r="3" ht="25" customHeight="1">
      <x:c r="A3" s="19" t="n">
        <x:v>1</x:v>
      </x:c>
      <x:c r="B3" s="19" t="n">
        <x:v>2</x:v>
      </x:c>
      <x:c r="C3" s="13" t="n">
        <x:f>11*(A3-1)+B3</x:f>
        <x:v>2</x:v>
      </x:c>
      <x:c r="D3" s="19" t="str">
        <x:v>산적</x:v>
      </x:c>
      <x:c r="E3" s="19" t="str">
        <x:v>일반</x:v>
      </x:c>
      <x:c r="F3" s="19" t="n">
        <x:v>6</x:v>
      </x:c>
      <x:c r="G3" s="21" t="n">
        <x:f>ROUNDUP(ROUND('Inputs'!$B$2*'Inputs'!$B$3^(C3-1)*IF(B3=11,'Inputs'!$B$10,1),6),0)</x:f>
        <x:v>88</x:v>
      </x:c>
      <x:c r="H3" s="21" t="n">
        <x:f>ROUNDUP(ROUND('Inputs'!$B$4*'Inputs'!$B$5^(C3-1)*IF(B3=11,'Inputs'!$B$11,1),6),0)</x:f>
        <x:v>6</x:v>
      </x:c>
      <x:c r="I3" s="21" t="n">
        <x:f>ROUNDDOWN(ROUND('Inputs'!$B$6*'Inputs'!$B$7^(C3-1)*IF(B3=11,'Inputs'!$B$12,1),6),0)</x:f>
        <x:v>10</x:v>
      </x:c>
      <x:c r="J3" s="13" t="n">
        <x:f>F3*I3</x:f>
        <x:v>60</x:v>
      </x:c>
      <x:c r="K3" s="21" t="n">
        <x:f>ROUNDDOWN(ROUND('Inputs'!$B$8*'Inputs'!$B$9^(C3-1)*IF(B3=11,'Inputs'!$B$13,1),6),0)</x:f>
        <x:v>3</x:v>
      </x:c>
      <x:c r="L3" s="13" t="n">
        <x:f>F3*K3</x:f>
        <x:v>18</x:v>
      </x:c>
      <x:c r="M3" s="23" t="n">
        <x:f>IF(B3=11,0,MIN('Inputs'!$B$20,'Inputs'!$B$18+'Inputs'!$B$19*(A3-1)))</x:f>
        <x:v>0.02</x:v>
      </x:c>
      <x:c r="N3" s="21" t="n">
        <x:f>IF(B3=11,'Inputs'!$B$14,0)</x:f>
        <x:v>0</x:v>
      </x:c>
      <x:c r="O3" s="21" t="n">
        <x:f>IF(B3=11,0,ROUNDDOWN(ROUND(I3*'Inputs'!$B$15*(1+'Inputs'!$B$31*'Inputs'!$B$53),6),0))</x:f>
        <x:v>300</x:v>
      </x:c>
      <x:c r="P3" s="24" t="n">
        <x:f>8589934592+A3*65536+B3</x:f>
        <x:v>8590000130</x:v>
      </x:c>
    </x:row>
    <x:row r="4" ht="25" customHeight="1">
      <x:c r="A4" s="19" t="n">
        <x:v>1</x:v>
      </x:c>
      <x:c r="B4" s="19" t="n">
        <x:v>3</x:v>
      </x:c>
      <x:c r="C4" s="13" t="n">
        <x:f>11*(A4-1)+B4</x:f>
        <x:v>3</x:v>
      </x:c>
      <x:c r="D4" s="19" t="str">
        <x:v>산적</x:v>
      </x:c>
      <x:c r="E4" s="19" t="str">
        <x:v>일반</x:v>
      </x:c>
      <x:c r="F4" s="19" t="n">
        <x:v>8</x:v>
      </x:c>
      <x:c r="G4" s="21" t="n">
        <x:f>ROUNDUP(ROUND('Inputs'!$B$2*'Inputs'!$B$3^(C4-1)*IF(B4=11,'Inputs'!$B$10,1),6),0)</x:f>
        <x:v>97</x:v>
      </x:c>
      <x:c r="H4" s="21" t="n">
        <x:f>ROUNDUP(ROUND('Inputs'!$B$4*'Inputs'!$B$5^(C4-1)*IF(B4=11,'Inputs'!$B$11,1),6),0)</x:f>
        <x:v>6</x:v>
      </x:c>
      <x:c r="I4" s="21" t="n">
        <x:f>ROUNDDOWN(ROUND('Inputs'!$B$6*'Inputs'!$B$7^(C4-1)*IF(B4=11,'Inputs'!$B$12,1),6),0)</x:f>
        <x:v>11</x:v>
      </x:c>
      <x:c r="J4" s="13" t="n">
        <x:f>F4*I4</x:f>
        <x:v>88</x:v>
      </x:c>
      <x:c r="K4" s="21" t="n">
        <x:f>ROUNDDOWN(ROUND('Inputs'!$B$8*'Inputs'!$B$9^(C4-1)*IF(B4=11,'Inputs'!$B$13,1),6),0)</x:f>
        <x:v>3</x:v>
      </x:c>
      <x:c r="L4" s="13" t="n">
        <x:f>F4*K4</x:f>
        <x:v>24</x:v>
      </x:c>
      <x:c r="M4" s="23" t="n">
        <x:f>IF(B4=11,0,MIN('Inputs'!$B$20,'Inputs'!$B$18+'Inputs'!$B$19*(A4-1)))</x:f>
        <x:v>0.02</x:v>
      </x:c>
      <x:c r="N4" s="21" t="n">
        <x:f>IF(B4=11,'Inputs'!$B$14,0)</x:f>
        <x:v>0</x:v>
      </x:c>
      <x:c r="O4" s="21" t="n">
        <x:f>IF(B4=11,0,ROUNDDOWN(ROUND(I4*'Inputs'!$B$15*(1+'Inputs'!$B$31*'Inputs'!$B$53),6),0))</x:f>
        <x:v>330</x:v>
      </x:c>
      <x:c r="P4" s="24" t="n">
        <x:f>8589934592+A4*65536+B4</x:f>
        <x:v>8590000131</x:v>
      </x:c>
    </x:row>
    <x:row r="5" ht="25" customHeight="1">
      <x:c r="A5" s="19" t="n">
        <x:v>1</x:v>
      </x:c>
      <x:c r="B5" s="19" t="n">
        <x:v>4</x:v>
      </x:c>
      <x:c r="C5" s="13" t="n">
        <x:f>11*(A5-1)+B5</x:f>
        <x:v>4</x:v>
      </x:c>
      <x:c r="D5" s="19" t="str">
        <x:v>산적</x:v>
      </x:c>
      <x:c r="E5" s="19" t="str">
        <x:v>일반</x:v>
      </x:c>
      <x:c r="F5" s="19" t="n">
        <x:v>10</x:v>
      </x:c>
      <x:c r="G5" s="21" t="n">
        <x:f>ROUNDUP(ROUND('Inputs'!$B$2*'Inputs'!$B$3^(C5-1)*IF(B5=11,'Inputs'!$B$10,1),6),0)</x:f>
        <x:v>107</x:v>
      </x:c>
      <x:c r="H5" s="21" t="n">
        <x:f>ROUNDUP(ROUND('Inputs'!$B$4*'Inputs'!$B$5^(C5-1)*IF(B5=11,'Inputs'!$B$11,1),6),0)</x:f>
        <x:v>7</x:v>
      </x:c>
      <x:c r="I5" s="21" t="n">
        <x:f>ROUNDDOWN(ROUND('Inputs'!$B$6*'Inputs'!$B$7^(C5-1)*IF(B5=11,'Inputs'!$B$12,1),6),0)</x:f>
        <x:v>12</x:v>
      </x:c>
      <x:c r="J5" s="13" t="n">
        <x:f>F5*I5</x:f>
        <x:v>120</x:v>
      </x:c>
      <x:c r="K5" s="21" t="n">
        <x:f>ROUNDDOWN(ROUND('Inputs'!$B$8*'Inputs'!$B$9^(C5-1)*IF(B5=11,'Inputs'!$B$13,1),6),0)</x:f>
        <x:v>3</x:v>
      </x:c>
      <x:c r="L5" s="13" t="n">
        <x:f>F5*K5</x:f>
        <x:v>30</x:v>
      </x:c>
      <x:c r="M5" s="23" t="n">
        <x:f>IF(B5=11,0,MIN('Inputs'!$B$20,'Inputs'!$B$18+'Inputs'!$B$19*(A5-1)))</x:f>
        <x:v>0.02</x:v>
      </x:c>
      <x:c r="N5" s="21" t="n">
        <x:f>IF(B5=11,'Inputs'!$B$14,0)</x:f>
        <x:v>0</x:v>
      </x:c>
      <x:c r="O5" s="21" t="n">
        <x:f>IF(B5=11,0,ROUNDDOWN(ROUND(I5*'Inputs'!$B$15*(1+'Inputs'!$B$31*'Inputs'!$B$53),6),0))</x:f>
        <x:v>360</x:v>
      </x:c>
      <x:c r="P5" s="24" t="n">
        <x:f>8589934592+A5*65536+B5</x:f>
        <x:v>8590000132</x:v>
      </x:c>
    </x:row>
    <x:row r="6" ht="25" customHeight="1">
      <x:c r="A6" s="19" t="n">
        <x:v>1</x:v>
      </x:c>
      <x:c r="B6" s="19" t="n">
        <x:v>5</x:v>
      </x:c>
      <x:c r="C6" s="13" t="n">
        <x:f>11*(A6-1)+B6</x:f>
        <x:v>5</x:v>
      </x:c>
      <x:c r="D6" s="19" t="str">
        <x:v>산적</x:v>
      </x:c>
      <x:c r="E6" s="19" t="str">
        <x:v>일반</x:v>
      </x:c>
      <x:c r="F6" s="19" t="n">
        <x:v>12</x:v>
      </x:c>
      <x:c r="G6" s="21" t="n">
        <x:f>ROUNDUP(ROUND('Inputs'!$B$2*'Inputs'!$B$3^(C6-1)*IF(B6=11,'Inputs'!$B$10,1),6),0)</x:f>
        <x:v>118</x:v>
      </x:c>
      <x:c r="H6" s="21" t="n">
        <x:f>ROUNDUP(ROUND('Inputs'!$B$4*'Inputs'!$B$5^(C6-1)*IF(B6=11,'Inputs'!$B$11,1),6),0)</x:f>
        <x:v>7</x:v>
      </x:c>
      <x:c r="I6" s="21" t="n">
        <x:f>ROUNDDOWN(ROUND('Inputs'!$B$6*'Inputs'!$B$7^(C6-1)*IF(B6=11,'Inputs'!$B$12,1),6),0)</x:f>
        <x:v>13</x:v>
      </x:c>
      <x:c r="J6" s="13" t="n">
        <x:f>F6*I6</x:f>
        <x:v>156</x:v>
      </x:c>
      <x:c r="K6" s="21" t="n">
        <x:f>ROUNDDOWN(ROUND('Inputs'!$B$8*'Inputs'!$B$9^(C6-1)*IF(B6=11,'Inputs'!$B$13,1),6),0)</x:f>
        <x:v>3</x:v>
      </x:c>
      <x:c r="L6" s="13" t="n">
        <x:f>F6*K6</x:f>
        <x:v>36</x:v>
      </x:c>
      <x:c r="M6" s="23" t="n">
        <x:f>IF(B6=11,0,MIN('Inputs'!$B$20,'Inputs'!$B$18+'Inputs'!$B$19*(A6-1)))</x:f>
        <x:v>0.02</x:v>
      </x:c>
      <x:c r="N6" s="21" t="n">
        <x:f>IF(B6=11,'Inputs'!$B$14,0)</x:f>
        <x:v>0</x:v>
      </x:c>
      <x:c r="O6" s="21" t="n">
        <x:f>IF(B6=11,0,ROUNDDOWN(ROUND(I6*'Inputs'!$B$15*(1+'Inputs'!$B$31*'Inputs'!$B$53),6),0))</x:f>
        <x:v>390</x:v>
      </x:c>
      <x:c r="P6" s="24" t="n">
        <x:f>8589934592+A6*65536+B6</x:f>
        <x:v>8590000133</x:v>
      </x:c>
    </x:row>
    <x:row r="7" ht="25" customHeight="1">
      <x:c r="A7" s="19" t="n">
        <x:v>1</x:v>
      </x:c>
      <x:c r="B7" s="19" t="n">
        <x:v>6</x:v>
      </x:c>
      <x:c r="C7" s="13" t="n">
        <x:f>11*(A7-1)+B7</x:f>
        <x:v>6</x:v>
      </x:c>
      <x:c r="D7" s="19" t="str">
        <x:v>산적</x:v>
      </x:c>
      <x:c r="E7" s="19" t="str">
        <x:v>일반</x:v>
      </x:c>
      <x:c r="F7" s="19" t="n">
        <x:v>14</x:v>
      </x:c>
      <x:c r="G7" s="21" t="n">
        <x:f>ROUNDUP(ROUND('Inputs'!$B$2*'Inputs'!$B$3^(C7-1)*IF(B7=11,'Inputs'!$B$10,1),6),0)</x:f>
        <x:v>129</x:v>
      </x:c>
      <x:c r="H7" s="21" t="n">
        <x:f>ROUNDUP(ROUND('Inputs'!$B$4*'Inputs'!$B$5^(C7-1)*IF(B7=11,'Inputs'!$B$11,1),6),0)</x:f>
        <x:v>7</x:v>
      </x:c>
      <x:c r="I7" s="21" t="n">
        <x:f>ROUNDDOWN(ROUND('Inputs'!$B$6*'Inputs'!$B$7^(C7-1)*IF(B7=11,'Inputs'!$B$12,1),6),0)</x:f>
        <x:v>14</x:v>
      </x:c>
      <x:c r="J7" s="13" t="n">
        <x:f>F7*I7</x:f>
        <x:v>196</x:v>
      </x:c>
      <x:c r="K7" s="21" t="n">
        <x:f>ROUNDDOWN(ROUND('Inputs'!$B$8*'Inputs'!$B$9^(C7-1)*IF(B7=11,'Inputs'!$B$13,1),6),0)</x:f>
        <x:v>4</x:v>
      </x:c>
      <x:c r="L7" s="13" t="n">
        <x:f>F7*K7</x:f>
        <x:v>56</x:v>
      </x:c>
      <x:c r="M7" s="23" t="n">
        <x:f>IF(B7=11,0,MIN('Inputs'!$B$20,'Inputs'!$B$18+'Inputs'!$B$19*(A7-1)))</x:f>
        <x:v>0.02</x:v>
      </x:c>
      <x:c r="N7" s="21" t="n">
        <x:f>IF(B7=11,'Inputs'!$B$14,0)</x:f>
        <x:v>0</x:v>
      </x:c>
      <x:c r="O7" s="21" t="n">
        <x:f>IF(B7=11,0,ROUNDDOWN(ROUND(I7*'Inputs'!$B$15*(1+'Inputs'!$B$31*'Inputs'!$B$53),6),0))</x:f>
        <x:v>420</x:v>
      </x:c>
      <x:c r="P7" s="24" t="n">
        <x:f>8589934592+A7*65536+B7</x:f>
        <x:v>8590000134</x:v>
      </x:c>
    </x:row>
    <x:row r="8" ht="25" customHeight="1">
      <x:c r="A8" s="19" t="n">
        <x:v>1</x:v>
      </x:c>
      <x:c r="B8" s="19" t="n">
        <x:v>7</x:v>
      </x:c>
      <x:c r="C8" s="13" t="n">
        <x:f>11*(A8-1)+B8</x:f>
        <x:v>7</x:v>
      </x:c>
      <x:c r="D8" s="19" t="str">
        <x:v>산적</x:v>
      </x:c>
      <x:c r="E8" s="19" t="str">
        <x:v>일반</x:v>
      </x:c>
      <x:c r="F8" s="19" t="n">
        <x:v>16</x:v>
      </x:c>
      <x:c r="G8" s="21" t="n">
        <x:f>ROUNDUP(ROUND('Inputs'!$B$2*'Inputs'!$B$3^(C8-1)*IF(B8=11,'Inputs'!$B$10,1),6),0)</x:f>
        <x:v>142</x:v>
      </x:c>
      <x:c r="H8" s="21" t="n">
        <x:f>ROUNDUP(ROUND('Inputs'!$B$4*'Inputs'!$B$5^(C8-1)*IF(B8=11,'Inputs'!$B$11,1),6),0)</x:f>
        <x:v>8</x:v>
      </x:c>
      <x:c r="I8" s="21" t="n">
        <x:f>ROUNDDOWN(ROUND('Inputs'!$B$6*'Inputs'!$B$7^(C8-1)*IF(B8=11,'Inputs'!$B$12,1),6),0)</x:f>
        <x:v>15</x:v>
      </x:c>
      <x:c r="J8" s="13" t="n">
        <x:f>F8*I8</x:f>
        <x:v>240</x:v>
      </x:c>
      <x:c r="K8" s="21" t="n">
        <x:f>ROUNDDOWN(ROUND('Inputs'!$B$8*'Inputs'!$B$9^(C8-1)*IF(B8=11,'Inputs'!$B$13,1),6),0)</x:f>
        <x:v>4</x:v>
      </x:c>
      <x:c r="L8" s="13" t="n">
        <x:f>F8*K8</x:f>
        <x:v>64</x:v>
      </x:c>
      <x:c r="M8" s="23" t="n">
        <x:f>IF(B8=11,0,MIN('Inputs'!$B$20,'Inputs'!$B$18+'Inputs'!$B$19*(A8-1)))</x:f>
        <x:v>0.02</x:v>
      </x:c>
      <x:c r="N8" s="21" t="n">
        <x:f>IF(B8=11,'Inputs'!$B$14,0)</x:f>
        <x:v>0</x:v>
      </x:c>
      <x:c r="O8" s="21" t="n">
        <x:f>IF(B8=11,0,ROUNDDOWN(ROUND(I8*'Inputs'!$B$15*(1+'Inputs'!$B$31*'Inputs'!$B$53),6),0))</x:f>
        <x:v>450</x:v>
      </x:c>
      <x:c r="P8" s="24" t="n">
        <x:f>8589934592+A8*65536+B8</x:f>
        <x:v>8590000135</x:v>
      </x:c>
    </x:row>
    <x:row r="9" ht="25" customHeight="1">
      <x:c r="A9" s="19" t="n">
        <x:v>1</x:v>
      </x:c>
      <x:c r="B9" s="19" t="n">
        <x:v>8</x:v>
      </x:c>
      <x:c r="C9" s="13" t="n">
        <x:f>11*(A9-1)+B9</x:f>
        <x:v>8</x:v>
      </x:c>
      <x:c r="D9" s="19" t="str">
        <x:v>산적</x:v>
      </x:c>
      <x:c r="E9" s="19" t="str">
        <x:v>일반</x:v>
      </x:c>
      <x:c r="F9" s="19" t="n">
        <x:v>18</x:v>
      </x:c>
      <x:c r="G9" s="21" t="n">
        <x:f>ROUNDUP(ROUND('Inputs'!$B$2*'Inputs'!$B$3^(C9-1)*IF(B9=11,'Inputs'!$B$10,1),6),0)</x:f>
        <x:v>156</x:v>
      </x:c>
      <x:c r="H9" s="21" t="n">
        <x:f>ROUNDUP(ROUND('Inputs'!$B$4*'Inputs'!$B$5^(C9-1)*IF(B9=11,'Inputs'!$B$11,1),6),0)</x:f>
        <x:v>8</x:v>
      </x:c>
      <x:c r="I9" s="21" t="n">
        <x:f>ROUNDDOWN(ROUND('Inputs'!$B$6*'Inputs'!$B$7^(C9-1)*IF(B9=11,'Inputs'!$B$12,1),6),0)</x:f>
        <x:v>17</x:v>
      </x:c>
      <x:c r="J9" s="13" t="n">
        <x:f>F9*I9</x:f>
        <x:v>306</x:v>
      </x:c>
      <x:c r="K9" s="21" t="n">
        <x:f>ROUNDDOWN(ROUND('Inputs'!$B$8*'Inputs'!$B$9^(C9-1)*IF(B9=11,'Inputs'!$B$13,1),6),0)</x:f>
        <x:v>4</x:v>
      </x:c>
      <x:c r="L9" s="13" t="n">
        <x:f>F9*K9</x:f>
        <x:v>72</x:v>
      </x:c>
      <x:c r="M9" s="23" t="n">
        <x:f>IF(B9=11,0,MIN('Inputs'!$B$20,'Inputs'!$B$18+'Inputs'!$B$19*(A9-1)))</x:f>
        <x:v>0.02</x:v>
      </x:c>
      <x:c r="N9" s="21" t="n">
        <x:f>IF(B9=11,'Inputs'!$B$14,0)</x:f>
        <x:v>0</x:v>
      </x:c>
      <x:c r="O9" s="21" t="n">
        <x:f>IF(B9=11,0,ROUNDDOWN(ROUND(I9*'Inputs'!$B$15*(1+'Inputs'!$B$31*'Inputs'!$B$53),6),0))</x:f>
        <x:v>510</x:v>
      </x:c>
      <x:c r="P9" s="24" t="n">
        <x:f>8589934592+A9*65536+B9</x:f>
        <x:v>8590000136</x:v>
      </x:c>
    </x:row>
    <x:row r="10" ht="25" customHeight="1">
      <x:c r="A10" s="19" t="n">
        <x:v>1</x:v>
      </x:c>
      <x:c r="B10" s="19" t="n">
        <x:v>9</x:v>
      </x:c>
      <x:c r="C10" s="13" t="n">
        <x:f>11*(A10-1)+B10</x:f>
        <x:v>9</x:v>
      </x:c>
      <x:c r="D10" s="19" t="str">
        <x:v>산적</x:v>
      </x:c>
      <x:c r="E10" s="19" t="str">
        <x:v>일반</x:v>
      </x:c>
      <x:c r="F10" s="19" t="n">
        <x:v>20</x:v>
      </x:c>
      <x:c r="G10" s="21" t="n">
        <x:f>ROUNDUP(ROUND('Inputs'!$B$2*'Inputs'!$B$3^(C10-1)*IF(B10=11,'Inputs'!$B$10,1),6),0)</x:f>
        <x:v>172</x:v>
      </x:c>
      <x:c r="H10" s="21" t="n">
        <x:f>ROUNDUP(ROUND('Inputs'!$B$4*'Inputs'!$B$5^(C10-1)*IF(B10=11,'Inputs'!$B$11,1),6),0)</x:f>
        <x:v>9</x:v>
      </x:c>
      <x:c r="I10" s="21" t="n">
        <x:f>ROUNDDOWN(ROUND('Inputs'!$B$6*'Inputs'!$B$7^(C10-1)*IF(B10=11,'Inputs'!$B$12,1),6),0)</x:f>
        <x:v>18</x:v>
      </x:c>
      <x:c r="J10" s="13" t="n">
        <x:f>F10*I10</x:f>
        <x:v>360</x:v>
      </x:c>
      <x:c r="K10" s="21" t="n">
        <x:f>ROUNDDOWN(ROUND('Inputs'!$B$8*'Inputs'!$B$9^(C10-1)*IF(B10=11,'Inputs'!$B$13,1),6),0)</x:f>
        <x:v>5</x:v>
      </x:c>
      <x:c r="L10" s="13" t="n">
        <x:f>F10*K10</x:f>
        <x:v>100</x:v>
      </x:c>
      <x:c r="M10" s="23" t="n">
        <x:f>IF(B10=11,0,MIN('Inputs'!$B$20,'Inputs'!$B$18+'Inputs'!$B$19*(A10-1)))</x:f>
        <x:v>0.02</x:v>
      </x:c>
      <x:c r="N10" s="21" t="n">
        <x:f>IF(B10=11,'Inputs'!$B$14,0)</x:f>
        <x:v>0</x:v>
      </x:c>
      <x:c r="O10" s="21" t="n">
        <x:f>IF(B10=11,0,ROUNDDOWN(ROUND(I10*'Inputs'!$B$15*(1+'Inputs'!$B$31*'Inputs'!$B$53),6),0))</x:f>
        <x:v>540</x:v>
      </x:c>
      <x:c r="P10" s="24" t="n">
        <x:f>8589934592+A10*65536+B10</x:f>
        <x:v>8590000137</x:v>
      </x:c>
    </x:row>
    <x:row r="11" ht="25" customHeight="1">
      <x:c r="A11" s="19" t="n">
        <x:v>1</x:v>
      </x:c>
      <x:c r="B11" s="19" t="n">
        <x:v>10</x:v>
      </x:c>
      <x:c r="C11" s="13" t="n">
        <x:f>11*(A11-1)+B11</x:f>
        <x:v>10</x:v>
      </x:c>
      <x:c r="D11" s="19" t="str">
        <x:v>산적</x:v>
      </x:c>
      <x:c r="E11" s="19" t="str">
        <x:v>일반</x:v>
      </x:c>
      <x:c r="F11" s="19" t="n">
        <x:v>24</x:v>
      </x:c>
      <x:c r="G11" s="21" t="n">
        <x:f>ROUNDUP(ROUND('Inputs'!$B$2*'Inputs'!$B$3^(C11-1)*IF(B11=11,'Inputs'!$B$10,1),6),0)</x:f>
        <x:v>189</x:v>
      </x:c>
      <x:c r="H11" s="21" t="n">
        <x:f>ROUNDUP(ROUND('Inputs'!$B$4*'Inputs'!$B$5^(C11-1)*IF(B11=11,'Inputs'!$B$11,1),6),0)</x:f>
        <x:v>9</x:v>
      </x:c>
      <x:c r="I11" s="21" t="n">
        <x:f>ROUNDDOWN(ROUND('Inputs'!$B$6*'Inputs'!$B$7^(C11-1)*IF(B11=11,'Inputs'!$B$12,1),6),0)</x:f>
        <x:v>19</x:v>
      </x:c>
      <x:c r="J11" s="13" t="n">
        <x:f>F11*I11</x:f>
        <x:v>456</x:v>
      </x:c>
      <x:c r="K11" s="21" t="n">
        <x:f>ROUNDDOWN(ROUND('Inputs'!$B$8*'Inputs'!$B$9^(C11-1)*IF(B11=11,'Inputs'!$B$13,1),6),0)</x:f>
        <x:v>5</x:v>
      </x:c>
      <x:c r="L11" s="13" t="n">
        <x:f>F11*K11</x:f>
        <x:v>120</x:v>
      </x:c>
      <x:c r="M11" s="23" t="n">
        <x:f>IF(B11=11,0,MIN('Inputs'!$B$20,'Inputs'!$B$18+'Inputs'!$B$19*(A11-1)))</x:f>
        <x:v>0.02</x:v>
      </x:c>
      <x:c r="N11" s="21" t="n">
        <x:f>IF(B11=11,'Inputs'!$B$14,0)</x:f>
        <x:v>0</x:v>
      </x:c>
      <x:c r="O11" s="21" t="n">
        <x:f>IF(B11=11,0,ROUNDDOWN(ROUND(I11*'Inputs'!$B$15*(1+'Inputs'!$B$31*'Inputs'!$B$53),6),0))</x:f>
        <x:v>570</x:v>
      </x:c>
      <x:c r="P11" s="24" t="n">
        <x:f>8589934592+A11*65536+B11</x:f>
        <x:v>8590000138</x:v>
      </x:c>
    </x:row>
    <x:row r="12" ht="25" customHeight="1">
      <x:c r="A12" s="19" t="n">
        <x:v>1</x:v>
      </x:c>
      <x:c r="B12" s="19" t="n">
        <x:v>11</x:v>
      </x:c>
      <x:c r="C12" s="13" t="n">
        <x:f>11*(A12-1)+B12</x:f>
        <x:v>11</x:v>
      </x:c>
      <x:c r="D12" s="19" t="str">
        <x:v>산적</x:v>
      </x:c>
      <x:c r="E12" s="19" t="str">
        <x:v>보스</x:v>
      </x:c>
      <x:c r="F12" s="19" t="n">
        <x:v>1</x:v>
      </x:c>
      <x:c r="G12" s="21" t="n">
        <x:f>ROUNDUP(ROUND('Inputs'!$B$2*'Inputs'!$B$3^(C12-1)*IF(B12=11,'Inputs'!$B$10,1),6),0)</x:f>
        <x:v>3735</x:v>
      </x:c>
      <x:c r="H12" s="21" t="n">
        <x:f>ROUNDUP(ROUND('Inputs'!$B$4*'Inputs'!$B$5^(C12-1)*IF(B12=11,'Inputs'!$B$11,1),6),0)</x:f>
        <x:v>29</x:v>
      </x:c>
      <x:c r="I12" s="21" t="n">
        <x:f>ROUNDDOWN(ROUND('Inputs'!$B$6*'Inputs'!$B$7^(C12-1)*IF(B12=11,'Inputs'!$B$12,1),6),0)</x:f>
        <x:v>215</x:v>
      </x:c>
      <x:c r="J12" s="13" t="n">
        <x:f>F12*I12</x:f>
        <x:v>215</x:v>
      </x:c>
      <x:c r="K12" s="21" t="n">
        <x:f>ROUNDDOWN(ROUND('Inputs'!$B$8*'Inputs'!$B$9^(C12-1)*IF(B12=11,'Inputs'!$B$13,1),6),0)</x:f>
        <x:v>118</x:v>
      </x:c>
      <x:c r="L12" s="13" t="n">
        <x:f>F12*K12</x:f>
        <x:v>118</x:v>
      </x:c>
      <x:c r="M12" s="23" t="n">
        <x:f>IF(B12=11,0,MIN('Inputs'!$B$20,'Inputs'!$B$18+'Inputs'!$B$19*(A12-1)))</x:f>
        <x:v>0</x:v>
      </x:c>
      <x:c r="N12" s="21" t="n">
        <x:f>IF(B12=11,'Inputs'!$B$14,0)</x:f>
        <x:v>60</x:v>
      </x:c>
      <x:c r="O12" s="21" t="n">
        <x:f>IF(B12=11,0,ROUNDDOWN(ROUND(I12*'Inputs'!$B$15*(1+'Inputs'!$B$31*'Inputs'!$B$53),6),0))</x:f>
        <x:v>0</x:v>
      </x:c>
      <x:c r="P12" s="24" t="n">
        <x:f>8589934592+A12*65536+B12</x:f>
        <x:v>8590000139</x:v>
      </x:c>
    </x:row>
    <x:row r="13" ht="25" customHeight="1">
      <x:c r="A13" s="19" t="n">
        <x:v>2</x:v>
      </x:c>
      <x:c r="B13" s="19" t="n">
        <x:v>1</x:v>
      </x:c>
      <x:c r="C13" s="13" t="n">
        <x:f>11*(A13-1)+B13</x:f>
        <x:v>12</x:v>
      </x:c>
      <x:c r="D13" s="19" t="str">
        <x:v>고블린</x:v>
      </x:c>
      <x:c r="E13" s="19" t="str">
        <x:v>일반</x:v>
      </x:c>
      <x:c r="F13" s="19" t="n">
        <x:v>3</x:v>
      </x:c>
      <x:c r="G13" s="21" t="n">
        <x:f>ROUNDUP(ROUND('Inputs'!$B$2*'Inputs'!$B$3^(C13-1)*IF(B13=11,'Inputs'!$B$10,1),6),0)</x:f>
        <x:v>229</x:v>
      </x:c>
      <x:c r="H13" s="21" t="n">
        <x:f>ROUNDUP(ROUND('Inputs'!$B$4*'Inputs'!$B$5^(C13-1)*IF(B13=11,'Inputs'!$B$11,1),6),0)</x:f>
        <x:v>10</x:v>
      </x:c>
      <x:c r="I13" s="21" t="n">
        <x:f>ROUNDDOWN(ROUND('Inputs'!$B$6*'Inputs'!$B$7^(C13-1)*IF(B13=11,'Inputs'!$B$12,1),6),0)</x:f>
        <x:v>23</x:v>
      </x:c>
      <x:c r="J13" s="13" t="n">
        <x:f>F13*I13</x:f>
        <x:v>69</x:v>
      </x:c>
      <x:c r="K13" s="21" t="n">
        <x:f>ROUNDDOWN(ROUND('Inputs'!$B$8*'Inputs'!$B$9^(C13-1)*IF(B13=11,'Inputs'!$B$13,1),6),0)</x:f>
        <x:v>6</x:v>
      </x:c>
      <x:c r="L13" s="13" t="n">
        <x:f>F13*K13</x:f>
        <x:v>18</x:v>
      </x:c>
      <x:c r="M13" s="23" t="n">
        <x:f>IF(B13=11,0,MIN('Inputs'!$B$20,'Inputs'!$B$18+'Inputs'!$B$19*(A13-1)))</x:f>
        <x:v>0.021</x:v>
      </x:c>
      <x:c r="N13" s="21" t="n">
        <x:f>IF(B13=11,'Inputs'!$B$14,0)</x:f>
        <x:v>0</x:v>
      </x:c>
      <x:c r="O13" s="21" t="n">
        <x:f>IF(B13=11,0,ROUNDDOWN(ROUND(I13*'Inputs'!$B$15*(1+'Inputs'!$B$31*'Inputs'!$B$53),6),0))</x:f>
        <x:v>690</x:v>
      </x:c>
      <x:c r="P13" s="24" t="n">
        <x:f>8589934592+A13*65536+B13</x:f>
        <x:v>8590065665</x:v>
      </x:c>
    </x:row>
    <x:row r="14" ht="25" customHeight="1">
      <x:c r="A14" s="19" t="n">
        <x:v>2</x:v>
      </x:c>
      <x:c r="B14" s="19" t="n">
        <x:v>2</x:v>
      </x:c>
      <x:c r="C14" s="13" t="n">
        <x:f>11*(A14-1)+B14</x:f>
        <x:v>13</x:v>
      </x:c>
      <x:c r="D14" s="19" t="str">
        <x:v>고블린</x:v>
      </x:c>
      <x:c r="E14" s="19" t="str">
        <x:v>일반</x:v>
      </x:c>
      <x:c r="F14" s="19" t="n">
        <x:v>6</x:v>
      </x:c>
      <x:c r="G14" s="21" t="n">
        <x:f>ROUNDUP(ROUND('Inputs'!$B$2*'Inputs'!$B$3^(C14-1)*IF(B14=11,'Inputs'!$B$10,1),6),0)</x:f>
        <x:v>252</x:v>
      </x:c>
      <x:c r="H14" s="21" t="n">
        <x:f>ROUNDUP(ROUND('Inputs'!$B$4*'Inputs'!$B$5^(C14-1)*IF(B14=11,'Inputs'!$B$11,1),6),0)</x:f>
        <x:v>11</x:v>
      </x:c>
      <x:c r="I14" s="21" t="n">
        <x:f>ROUNDDOWN(ROUND('Inputs'!$B$6*'Inputs'!$B$7^(C14-1)*IF(B14=11,'Inputs'!$B$12,1),6),0)</x:f>
        <x:v>25</x:v>
      </x:c>
      <x:c r="J14" s="13" t="n">
        <x:f>F14*I14</x:f>
        <x:v>150</x:v>
      </x:c>
      <x:c r="K14" s="21" t="n">
        <x:f>ROUNDDOWN(ROUND('Inputs'!$B$8*'Inputs'!$B$9^(C14-1)*IF(B14=11,'Inputs'!$B$13,1),6),0)</x:f>
        <x:v>6</x:v>
      </x:c>
      <x:c r="L14" s="13" t="n">
        <x:f>F14*K14</x:f>
        <x:v>36</x:v>
      </x:c>
      <x:c r="M14" s="23" t="n">
        <x:f>IF(B14=11,0,MIN('Inputs'!$B$20,'Inputs'!$B$18+'Inputs'!$B$19*(A14-1)))</x:f>
        <x:v>0.021</x:v>
      </x:c>
      <x:c r="N14" s="21" t="n">
        <x:f>IF(B14=11,'Inputs'!$B$14,0)</x:f>
        <x:v>0</x:v>
      </x:c>
      <x:c r="O14" s="21" t="n">
        <x:f>IF(B14=11,0,ROUNDDOWN(ROUND(I14*'Inputs'!$B$15*(1+'Inputs'!$B$31*'Inputs'!$B$53),6),0))</x:f>
        <x:v>750</x:v>
      </x:c>
      <x:c r="P14" s="24" t="n">
        <x:f>8589934592+A14*65536+B14</x:f>
        <x:v>8590065666</x:v>
      </x:c>
    </x:row>
    <x:row r="15" ht="25" customHeight="1">
      <x:c r="A15" s="19" t="n">
        <x:v>2</x:v>
      </x:c>
      <x:c r="B15" s="19" t="n">
        <x:v>3</x:v>
      </x:c>
      <x:c r="C15" s="13" t="n">
        <x:f>11*(A15-1)+B15</x:f>
        <x:v>14</x:v>
      </x:c>
      <x:c r="D15" s="19" t="str">
        <x:v>고블린</x:v>
      </x:c>
      <x:c r="E15" s="19" t="str">
        <x:v>일반</x:v>
      </x:c>
      <x:c r="F15" s="19" t="n">
        <x:v>8</x:v>
      </x:c>
      <x:c r="G15" s="21" t="n">
        <x:f>ROUNDUP(ROUND('Inputs'!$B$2*'Inputs'!$B$3^(C15-1)*IF(B15=11,'Inputs'!$B$10,1),6),0)</x:f>
        <x:v>277</x:v>
      </x:c>
      <x:c r="H15" s="21" t="n">
        <x:f>ROUNDUP(ROUND('Inputs'!$B$4*'Inputs'!$B$5^(C15-1)*IF(B15=11,'Inputs'!$B$11,1),6),0)</x:f>
        <x:v>12</x:v>
      </x:c>
      <x:c r="I15" s="21" t="n">
        <x:f>ROUNDDOWN(ROUND('Inputs'!$B$6*'Inputs'!$B$7^(C15-1)*IF(B15=11,'Inputs'!$B$12,1),6),0)</x:f>
        <x:v>27</x:v>
      </x:c>
      <x:c r="J15" s="13" t="n">
        <x:f>F15*I15</x:f>
        <x:v>216</x:v>
      </x:c>
      <x:c r="K15" s="21" t="n">
        <x:f>ROUNDDOWN(ROUND('Inputs'!$B$8*'Inputs'!$B$9^(C15-1)*IF(B15=11,'Inputs'!$B$13,1),6),0)</x:f>
        <x:v>7</x:v>
      </x:c>
      <x:c r="L15" s="13" t="n">
        <x:f>F15*K15</x:f>
        <x:v>56</x:v>
      </x:c>
      <x:c r="M15" s="23" t="n">
        <x:f>IF(B15=11,0,MIN('Inputs'!$B$20,'Inputs'!$B$18+'Inputs'!$B$19*(A15-1)))</x:f>
        <x:v>0.021</x:v>
      </x:c>
      <x:c r="N15" s="21" t="n">
        <x:f>IF(B15=11,'Inputs'!$B$14,0)</x:f>
        <x:v>0</x:v>
      </x:c>
      <x:c r="O15" s="21" t="n">
        <x:f>IF(B15=11,0,ROUNDDOWN(ROUND(I15*'Inputs'!$B$15*(1+'Inputs'!$B$31*'Inputs'!$B$53),6),0))</x:f>
        <x:v>810</x:v>
      </x:c>
      <x:c r="P15" s="24" t="n">
        <x:f>8589934592+A15*65536+B15</x:f>
        <x:v>8590065667</x:v>
      </x:c>
    </x:row>
    <x:row r="16" ht="25" customHeight="1">
      <x:c r="A16" s="19" t="n">
        <x:v>2</x:v>
      </x:c>
      <x:c r="B16" s="19" t="n">
        <x:v>4</x:v>
      </x:c>
      <x:c r="C16" s="13" t="n">
        <x:f>11*(A16-1)+B16</x:f>
        <x:v>15</x:v>
      </x:c>
      <x:c r="D16" s="19" t="str">
        <x:v>고블린</x:v>
      </x:c>
      <x:c r="E16" s="19" t="str">
        <x:v>일반</x:v>
      </x:c>
      <x:c r="F16" s="19" t="n">
        <x:v>10</x:v>
      </x:c>
      <x:c r="G16" s="21" t="n">
        <x:f>ROUNDUP(ROUND('Inputs'!$B$2*'Inputs'!$B$3^(C16-1)*IF(B16=11,'Inputs'!$B$10,1),6),0)</x:f>
        <x:v>304</x:v>
      </x:c>
      <x:c r="H16" s="21" t="n">
        <x:f>ROUNDUP(ROUND('Inputs'!$B$4*'Inputs'!$B$5^(C16-1)*IF(B16=11,'Inputs'!$B$11,1),6),0)</x:f>
        <x:v>13</x:v>
      </x:c>
      <x:c r="I16" s="21" t="n">
        <x:f>ROUNDDOWN(ROUND('Inputs'!$B$6*'Inputs'!$B$7^(C16-1)*IF(B16=11,'Inputs'!$B$12,1),6),0)</x:f>
        <x:v>29</x:v>
      </x:c>
      <x:c r="J16" s="13" t="n">
        <x:f>F16*I16</x:f>
        <x:v>290</x:v>
      </x:c>
      <x:c r="K16" s="21" t="n">
        <x:f>ROUNDDOWN(ROUND('Inputs'!$B$8*'Inputs'!$B$9^(C16-1)*IF(B16=11,'Inputs'!$B$13,1),6),0)</x:f>
        <x:v>7</x:v>
      </x:c>
      <x:c r="L16" s="13" t="n">
        <x:f>F16*K16</x:f>
        <x:v>70</x:v>
      </x:c>
      <x:c r="M16" s="23" t="n">
        <x:f>IF(B16=11,0,MIN('Inputs'!$B$20,'Inputs'!$B$18+'Inputs'!$B$19*(A16-1)))</x:f>
        <x:v>0.021</x:v>
      </x:c>
      <x:c r="N16" s="21" t="n">
        <x:f>IF(B16=11,'Inputs'!$B$14,0)</x:f>
        <x:v>0</x:v>
      </x:c>
      <x:c r="O16" s="21" t="n">
        <x:f>IF(B16=11,0,ROUNDDOWN(ROUND(I16*'Inputs'!$B$15*(1+'Inputs'!$B$31*'Inputs'!$B$53),6),0))</x:f>
        <x:v>870</x:v>
      </x:c>
      <x:c r="P16" s="24" t="n">
        <x:f>8589934592+A16*65536+B16</x:f>
        <x:v>8590065668</x:v>
      </x:c>
    </x:row>
    <x:row r="17" ht="25" customHeight="1">
      <x:c r="A17" s="19" t="n">
        <x:v>2</x:v>
      </x:c>
      <x:c r="B17" s="19" t="n">
        <x:v>5</x:v>
      </x:c>
      <x:c r="C17" s="13" t="n">
        <x:f>11*(A17-1)+B17</x:f>
        <x:v>16</x:v>
      </x:c>
      <x:c r="D17" s="19" t="str">
        <x:v>고블린</x:v>
      </x:c>
      <x:c r="E17" s="19" t="str">
        <x:v>일반</x:v>
      </x:c>
      <x:c r="F17" s="19" t="n">
        <x:v>12</x:v>
      </x:c>
      <x:c r="G17" s="21" t="n">
        <x:f>ROUNDUP(ROUND('Inputs'!$B$2*'Inputs'!$B$3^(C17-1)*IF(B17=11,'Inputs'!$B$10,1),6),0)</x:f>
        <x:v>335</x:v>
      </x:c>
      <x:c r="H17" s="21" t="n">
        <x:f>ROUNDUP(ROUND('Inputs'!$B$4*'Inputs'!$B$5^(C17-1)*IF(B17=11,'Inputs'!$B$11,1),6),0)</x:f>
        <x:v>13</x:v>
      </x:c>
      <x:c r="I17" s="21" t="n">
        <x:f>ROUNDDOWN(ROUND('Inputs'!$B$6*'Inputs'!$B$7^(C17-1)*IF(B17=11,'Inputs'!$B$12,1),6),0)</x:f>
        <x:v>31</x:v>
      </x:c>
      <x:c r="J17" s="13" t="n">
        <x:f>F17*I17</x:f>
        <x:v>372</x:v>
      </x:c>
      <x:c r="K17" s="21" t="n">
        <x:f>ROUNDDOWN(ROUND('Inputs'!$B$8*'Inputs'!$B$9^(C17-1)*IF(B17=11,'Inputs'!$B$13,1),6),0)</x:f>
        <x:v>8</x:v>
      </x:c>
      <x:c r="L17" s="13" t="n">
        <x:f>F17*K17</x:f>
        <x:v>96</x:v>
      </x:c>
      <x:c r="M17" s="23" t="n">
        <x:f>IF(B17=11,0,MIN('Inputs'!$B$20,'Inputs'!$B$18+'Inputs'!$B$19*(A17-1)))</x:f>
        <x:v>0.021</x:v>
      </x:c>
      <x:c r="N17" s="21" t="n">
        <x:f>IF(B17=11,'Inputs'!$B$14,0)</x:f>
        <x:v>0</x:v>
      </x:c>
      <x:c r="O17" s="21" t="n">
        <x:f>IF(B17=11,0,ROUNDDOWN(ROUND(I17*'Inputs'!$B$15*(1+'Inputs'!$B$31*'Inputs'!$B$53),6),0))</x:f>
        <x:v>930</x:v>
      </x:c>
      <x:c r="P17" s="24" t="n">
        <x:f>8589934592+A17*65536+B17</x:f>
        <x:v>8590065669</x:v>
      </x:c>
    </x:row>
    <x:row r="18" ht="25" customHeight="1">
      <x:c r="A18" s="19" t="n">
        <x:v>2</x:v>
      </x:c>
      <x:c r="B18" s="19" t="n">
        <x:v>6</x:v>
      </x:c>
      <x:c r="C18" s="13" t="n">
        <x:f>11*(A18-1)+B18</x:f>
        <x:v>17</x:v>
      </x:c>
      <x:c r="D18" s="19" t="str">
        <x:v>고블린</x:v>
      </x:c>
      <x:c r="E18" s="19" t="str">
        <x:v>일반</x:v>
      </x:c>
      <x:c r="F18" s="19" t="n">
        <x:v>14</x:v>
      </x:c>
      <x:c r="G18" s="21" t="n">
        <x:f>ROUNDUP(ROUND('Inputs'!$B$2*'Inputs'!$B$3^(C18-1)*IF(B18=11,'Inputs'!$B$10,1),6),0)</x:f>
        <x:v>368</x:v>
      </x:c>
      <x:c r="H18" s="21" t="n">
        <x:f>ROUNDUP(ROUND('Inputs'!$B$4*'Inputs'!$B$5^(C18-1)*IF(B18=11,'Inputs'!$B$11,1),6),0)</x:f>
        <x:v>14</x:v>
      </x:c>
      <x:c r="I18" s="21" t="n">
        <x:f>ROUNDDOWN(ROUND('Inputs'!$B$6*'Inputs'!$B$7^(C18-1)*IF(B18=11,'Inputs'!$B$12,1),6),0)</x:f>
        <x:v>34</x:v>
      </x:c>
      <x:c r="J18" s="13" t="n">
        <x:f>F18*I18</x:f>
        <x:v>476</x:v>
      </x:c>
      <x:c r="K18" s="21" t="n">
        <x:f>ROUNDDOWN(ROUND('Inputs'!$B$8*'Inputs'!$B$9^(C18-1)*IF(B18=11,'Inputs'!$B$13,1),6),0)</x:f>
        <x:v>8</x:v>
      </x:c>
      <x:c r="L18" s="13" t="n">
        <x:f>F18*K18</x:f>
        <x:v>112</x:v>
      </x:c>
      <x:c r="M18" s="23" t="n">
        <x:f>IF(B18=11,0,MIN('Inputs'!$B$20,'Inputs'!$B$18+'Inputs'!$B$19*(A18-1)))</x:f>
        <x:v>0.021</x:v>
      </x:c>
      <x:c r="N18" s="21" t="n">
        <x:f>IF(B18=11,'Inputs'!$B$14,0)</x:f>
        <x:v>0</x:v>
      </x:c>
      <x:c r="O18" s="21" t="n">
        <x:f>IF(B18=11,0,ROUNDDOWN(ROUND(I18*'Inputs'!$B$15*(1+'Inputs'!$B$31*'Inputs'!$B$53),6),0))</x:f>
        <x:v>1020</x:v>
      </x:c>
      <x:c r="P18" s="24" t="n">
        <x:f>8589934592+A18*65536+B18</x:f>
        <x:v>8590065670</x:v>
      </x:c>
    </x:row>
    <x:row r="19" ht="25" customHeight="1">
      <x:c r="A19" s="19" t="n">
        <x:v>2</x:v>
      </x:c>
      <x:c r="B19" s="19" t="n">
        <x:v>7</x:v>
      </x:c>
      <x:c r="C19" s="13" t="n">
        <x:f>11*(A19-1)+B19</x:f>
        <x:v>18</x:v>
      </x:c>
      <x:c r="D19" s="19" t="str">
        <x:v>고블린</x:v>
      </x:c>
      <x:c r="E19" s="19" t="str">
        <x:v>일반</x:v>
      </x:c>
      <x:c r="F19" s="19" t="n">
        <x:v>16</x:v>
      </x:c>
      <x:c r="G19" s="21" t="n">
        <x:f>ROUNDUP(ROUND('Inputs'!$B$2*'Inputs'!$B$3^(C19-1)*IF(B19=11,'Inputs'!$B$10,1),6),0)</x:f>
        <x:v>405</x:v>
      </x:c>
      <x:c r="H19" s="21" t="n">
        <x:f>ROUNDUP(ROUND('Inputs'!$B$4*'Inputs'!$B$5^(C19-1)*IF(B19=11,'Inputs'!$B$11,1),6),0)</x:f>
        <x:v>15</x:v>
      </x:c>
      <x:c r="I19" s="21" t="n">
        <x:f>ROUNDDOWN(ROUND('Inputs'!$B$6*'Inputs'!$B$7^(C19-1)*IF(B19=11,'Inputs'!$B$12,1),6),0)</x:f>
        <x:v>37</x:v>
      </x:c>
      <x:c r="J19" s="13" t="n">
        <x:f>F19*I19</x:f>
        <x:v>592</x:v>
      </x:c>
      <x:c r="K19" s="21" t="n">
        <x:f>ROUNDDOWN(ROUND('Inputs'!$B$8*'Inputs'!$B$9^(C19-1)*IF(B19=11,'Inputs'!$B$13,1),6),0)</x:f>
        <x:v>9</x:v>
      </x:c>
      <x:c r="L19" s="13" t="n">
        <x:f>F19*K19</x:f>
        <x:v>144</x:v>
      </x:c>
      <x:c r="M19" s="23" t="n">
        <x:f>IF(B19=11,0,MIN('Inputs'!$B$20,'Inputs'!$B$18+'Inputs'!$B$19*(A19-1)))</x:f>
        <x:v>0.021</x:v>
      </x:c>
      <x:c r="N19" s="21" t="n">
        <x:f>IF(B19=11,'Inputs'!$B$14,0)</x:f>
        <x:v>0</x:v>
      </x:c>
      <x:c r="O19" s="21" t="n">
        <x:f>IF(B19=11,0,ROUNDDOWN(ROUND(I19*'Inputs'!$B$15*(1+'Inputs'!$B$31*'Inputs'!$B$53),6),0))</x:f>
        <x:v>1110</x:v>
      </x:c>
      <x:c r="P19" s="24" t="n">
        <x:f>8589934592+A19*65536+B19</x:f>
        <x:v>8590065671</x:v>
      </x:c>
    </x:row>
    <x:row r="20" ht="25" customHeight="1">
      <x:c r="A20" s="19" t="n">
        <x:v>2</x:v>
      </x:c>
      <x:c r="B20" s="19" t="n">
        <x:v>8</x:v>
      </x:c>
      <x:c r="C20" s="13" t="n">
        <x:f>11*(A20-1)+B20</x:f>
        <x:v>19</x:v>
      </x:c>
      <x:c r="D20" s="19" t="str">
        <x:v>고블린</x:v>
      </x:c>
      <x:c r="E20" s="19" t="str">
        <x:v>일반</x:v>
      </x:c>
      <x:c r="F20" s="19" t="n">
        <x:v>18</x:v>
      </x:c>
      <x:c r="G20" s="21" t="n">
        <x:f>ROUNDUP(ROUND('Inputs'!$B$2*'Inputs'!$B$3^(C20-1)*IF(B20=11,'Inputs'!$B$10,1),6),0)</x:f>
        <x:v>445</x:v>
      </x:c>
      <x:c r="H20" s="21" t="n">
        <x:f>ROUNDUP(ROUND('Inputs'!$B$4*'Inputs'!$B$5^(C20-1)*IF(B20=11,'Inputs'!$B$11,1),6),0)</x:f>
        <x:v>16</x:v>
      </x:c>
      <x:c r="I20" s="21" t="n">
        <x:f>ROUNDDOWN(ROUND('Inputs'!$B$6*'Inputs'!$B$7^(C20-1)*IF(B20=11,'Inputs'!$B$12,1),6),0)</x:f>
        <x:v>39</x:v>
      </x:c>
      <x:c r="J20" s="13" t="n">
        <x:f>F20*I20</x:f>
        <x:v>702</x:v>
      </x:c>
      <x:c r="K20" s="21" t="n">
        <x:f>ROUNDDOWN(ROUND('Inputs'!$B$8*'Inputs'!$B$9^(C20-1)*IF(B20=11,'Inputs'!$B$13,1),6),0)</x:f>
        <x:v>10</x:v>
      </x:c>
      <x:c r="L20" s="13" t="n">
        <x:f>F20*K20</x:f>
        <x:v>180</x:v>
      </x:c>
      <x:c r="M20" s="23" t="n">
        <x:f>IF(B20=11,0,MIN('Inputs'!$B$20,'Inputs'!$B$18+'Inputs'!$B$19*(A20-1)))</x:f>
        <x:v>0.021</x:v>
      </x:c>
      <x:c r="N20" s="21" t="n">
        <x:f>IF(B20=11,'Inputs'!$B$14,0)</x:f>
        <x:v>0</x:v>
      </x:c>
      <x:c r="O20" s="21" t="n">
        <x:f>IF(B20=11,0,ROUNDDOWN(ROUND(I20*'Inputs'!$B$15*(1+'Inputs'!$B$31*'Inputs'!$B$53),6),0))</x:f>
        <x:v>1170</x:v>
      </x:c>
      <x:c r="P20" s="24" t="n">
        <x:f>8589934592+A20*65536+B20</x:f>
        <x:v>8590065672</x:v>
      </x:c>
    </x:row>
    <x:row r="21" ht="25" customHeight="1">
      <x:c r="A21" s="19" t="n">
        <x:v>2</x:v>
      </x:c>
      <x:c r="B21" s="19" t="n">
        <x:v>9</x:v>
      </x:c>
      <x:c r="C21" s="13" t="n">
        <x:f>11*(A21-1)+B21</x:f>
        <x:v>20</x:v>
      </x:c>
      <x:c r="D21" s="19" t="str">
        <x:v>고블린</x:v>
      </x:c>
      <x:c r="E21" s="19" t="str">
        <x:v>일반</x:v>
      </x:c>
      <x:c r="F21" s="19" t="n">
        <x:v>20</x:v>
      </x:c>
      <x:c r="G21" s="21" t="n">
        <x:f>ROUNDUP(ROUND('Inputs'!$B$2*'Inputs'!$B$3^(C21-1)*IF(B21=11,'Inputs'!$B$10,1),6),0)</x:f>
        <x:v>490</x:v>
      </x:c>
      <x:c r="H21" s="21" t="n">
        <x:f>ROUNDUP(ROUND('Inputs'!$B$4*'Inputs'!$B$5^(C21-1)*IF(B21=11,'Inputs'!$B$11,1),6),0)</x:f>
        <x:v>17</x:v>
      </x:c>
      <x:c r="I21" s="21" t="n">
        <x:f>ROUNDDOWN(ROUND('Inputs'!$B$6*'Inputs'!$B$7^(C21-1)*IF(B21=11,'Inputs'!$B$12,1),6),0)</x:f>
        <x:v>43</x:v>
      </x:c>
      <x:c r="J21" s="13" t="n">
        <x:f>F21*I21</x:f>
        <x:v>860</x:v>
      </x:c>
      <x:c r="K21" s="21" t="n">
        <x:f>ROUNDDOWN(ROUND('Inputs'!$B$8*'Inputs'!$B$9^(C21-1)*IF(B21=11,'Inputs'!$B$13,1),6),0)</x:f>
        <x:v>10</x:v>
      </x:c>
      <x:c r="L21" s="13" t="n">
        <x:f>F21*K21</x:f>
        <x:v>200</x:v>
      </x:c>
      <x:c r="M21" s="23" t="n">
        <x:f>IF(B21=11,0,MIN('Inputs'!$B$20,'Inputs'!$B$18+'Inputs'!$B$19*(A21-1)))</x:f>
        <x:v>0.021</x:v>
      </x:c>
      <x:c r="N21" s="21" t="n">
        <x:f>IF(B21=11,'Inputs'!$B$14,0)</x:f>
        <x:v>0</x:v>
      </x:c>
      <x:c r="O21" s="21" t="n">
        <x:f>IF(B21=11,0,ROUNDDOWN(ROUND(I21*'Inputs'!$B$15*(1+'Inputs'!$B$31*'Inputs'!$B$53),6),0))</x:f>
        <x:v>1290</x:v>
      </x:c>
      <x:c r="P21" s="24" t="n">
        <x:f>8589934592+A21*65536+B21</x:f>
        <x:v>8590065673</x:v>
      </x:c>
    </x:row>
    <x:row r="22" ht="25" customHeight="1">
      <x:c r="A22" s="19" t="n">
        <x:v>2</x:v>
      </x:c>
      <x:c r="B22" s="19" t="n">
        <x:v>10</x:v>
      </x:c>
      <x:c r="C22" s="13" t="n">
        <x:f>11*(A22-1)+B22</x:f>
        <x:v>21</x:v>
      </x:c>
      <x:c r="D22" s="19" t="str">
        <x:v>고블린</x:v>
      </x:c>
      <x:c r="E22" s="19" t="str">
        <x:v>일반</x:v>
      </x:c>
      <x:c r="F22" s="19" t="n">
        <x:v>24</x:v>
      </x:c>
      <x:c r="G22" s="21" t="n">
        <x:f>ROUNDUP(ROUND('Inputs'!$B$2*'Inputs'!$B$3^(C22-1)*IF(B22=11,'Inputs'!$B$10,1),6),0)</x:f>
        <x:v>539</x:v>
      </x:c>
      <x:c r="H22" s="21" t="n">
        <x:f>ROUNDUP(ROUND('Inputs'!$B$4*'Inputs'!$B$5^(C22-1)*IF(B22=11,'Inputs'!$B$11,1),6),0)</x:f>
        <x:v>18</x:v>
      </x:c>
      <x:c r="I22" s="21" t="n">
        <x:f>ROUNDDOWN(ROUND('Inputs'!$B$6*'Inputs'!$B$7^(C22-1)*IF(B22=11,'Inputs'!$B$12,1),6),0)</x:f>
        <x:v>46</x:v>
      </x:c>
      <x:c r="J22" s="13" t="n">
        <x:f>F22*I22</x:f>
        <x:v>1104</x:v>
      </x:c>
      <x:c r="K22" s="21" t="n">
        <x:f>ROUNDDOWN(ROUND('Inputs'!$B$8*'Inputs'!$B$9^(C22-1)*IF(B22=11,'Inputs'!$B$13,1),6),0)</x:f>
        <x:v>11</x:v>
      </x:c>
      <x:c r="L22" s="13" t="n">
        <x:f>F22*K22</x:f>
        <x:v>264</x:v>
      </x:c>
      <x:c r="M22" s="23" t="n">
        <x:f>IF(B22=11,0,MIN('Inputs'!$B$20,'Inputs'!$B$18+'Inputs'!$B$19*(A22-1)))</x:f>
        <x:v>0.021</x:v>
      </x:c>
      <x:c r="N22" s="21" t="n">
        <x:f>IF(B22=11,'Inputs'!$B$14,0)</x:f>
        <x:v>0</x:v>
      </x:c>
      <x:c r="O22" s="21" t="n">
        <x:f>IF(B22=11,0,ROUNDDOWN(ROUND(I22*'Inputs'!$B$15*(1+'Inputs'!$B$31*'Inputs'!$B$53),6),0))</x:f>
        <x:v>1380</x:v>
      </x:c>
      <x:c r="P22" s="24" t="n">
        <x:f>8589934592+A22*65536+B22</x:f>
        <x:v>8590065674</x:v>
      </x:c>
    </x:row>
    <x:row r="23" ht="25" customHeight="1">
      <x:c r="A23" s="19" t="n">
        <x:v>2</x:v>
      </x:c>
      <x:c r="B23" s="19" t="n">
        <x:v>11</x:v>
      </x:c>
      <x:c r="C23" s="13" t="n">
        <x:f>11*(A23-1)+B23</x:f>
        <x:v>22</x:v>
      </x:c>
      <x:c r="D23" s="19" t="str">
        <x:v>고블린</x:v>
      </x:c>
      <x:c r="E23" s="19" t="str">
        <x:v>보스</x:v>
      </x:c>
      <x:c r="F23" s="19" t="n">
        <x:v>1</x:v>
      </x:c>
      <x:c r="G23" s="21" t="n">
        <x:f>ROUNDUP(ROUND('Inputs'!$B$2*'Inputs'!$B$3^(C23-1)*IF(B23=11,'Inputs'!$B$10,1),6),0)</x:f>
        <x:v>10657</x:v>
      </x:c>
      <x:c r="H23" s="21" t="n">
        <x:f>ROUNDUP(ROUND('Inputs'!$B$4*'Inputs'!$B$5^(C23-1)*IF(B23=11,'Inputs'!$B$11,1),6),0)</x:f>
        <x:v>57</x:v>
      </x:c>
      <x:c r="I23" s="21" t="n">
        <x:f>ROUNDDOWN(ROUND('Inputs'!$B$6*'Inputs'!$B$7^(C23-1)*IF(B23=11,'Inputs'!$B$12,1),6),0)</x:f>
        <x:v>503</x:v>
      </x:c>
      <x:c r="J23" s="13" t="n">
        <x:f>F23*I23</x:f>
        <x:v>503</x:v>
      </x:c>
      <x:c r="K23" s="21" t="n">
        <x:f>ROUNDDOWN(ROUND('Inputs'!$B$8*'Inputs'!$B$9^(C23-1)*IF(B23=11,'Inputs'!$B$13,1),6),0)</x:f>
        <x:v>248</x:v>
      </x:c>
      <x:c r="L23" s="13" t="n">
        <x:f>F23*K23</x:f>
        <x:v>248</x:v>
      </x:c>
      <x:c r="M23" s="23" t="n">
        <x:f>IF(B23=11,0,MIN('Inputs'!$B$20,'Inputs'!$B$18+'Inputs'!$B$19*(A23-1)))</x:f>
        <x:v>0</x:v>
      </x:c>
      <x:c r="N23" s="21" t="n">
        <x:f>IF(B23=11,'Inputs'!$B$14,0)</x:f>
        <x:v>60</x:v>
      </x:c>
      <x:c r="O23" s="21" t="n">
        <x:f>IF(B23=11,0,ROUNDDOWN(ROUND(I23*'Inputs'!$B$15*(1+'Inputs'!$B$31*'Inputs'!$B$53),6),0))</x:f>
        <x:v>0</x:v>
      </x:c>
      <x:c r="P23" s="24" t="n">
        <x:f>8589934592+A23*65536+B23</x:f>
        <x:v>8590065675</x:v>
      </x:c>
    </x:row>
    <x:row r="24" ht="25" customHeight="1">
      <x:c r="A24" s="19" t="n">
        <x:v>3</x:v>
      </x:c>
      <x:c r="B24" s="19" t="n">
        <x:v>1</x:v>
      </x:c>
      <x:c r="C24" s="13" t="n">
        <x:f>11*(A24-1)+B24</x:f>
        <x:v>23</x:v>
      </x:c>
      <x:c r="D24" s="19" t="str">
        <x:v>오크</x:v>
      </x:c>
      <x:c r="E24" s="19" t="str">
        <x:v>일반</x:v>
      </x:c>
      <x:c r="F24" s="19" t="n">
        <x:v>3</x:v>
      </x:c>
      <x:c r="G24" s="21" t="n">
        <x:f>ROUNDUP(ROUND('Inputs'!$B$2*'Inputs'!$B$3^(C24-1)*IF(B24=11,'Inputs'!$B$10,1),6),0)</x:f>
        <x:v>652</x:v>
      </x:c>
      <x:c r="H24" s="21" t="n">
        <x:f>ROUNDUP(ROUND('Inputs'!$B$4*'Inputs'!$B$5^(C24-1)*IF(B24=11,'Inputs'!$B$11,1),6),0)</x:f>
        <x:v>20</x:v>
      </x:c>
      <x:c r="I24" s="21" t="n">
        <x:f>ROUNDDOWN(ROUND('Inputs'!$B$6*'Inputs'!$B$7^(C24-1)*IF(B24=11,'Inputs'!$B$12,1),6),0)</x:f>
        <x:v>54</x:v>
      </x:c>
      <x:c r="J24" s="13" t="n">
        <x:f>F24*I24</x:f>
        <x:v>162</x:v>
      </x:c>
      <x:c r="K24" s="21" t="n">
        <x:f>ROUNDDOWN(ROUND('Inputs'!$B$8*'Inputs'!$B$9^(C24-1)*IF(B24=11,'Inputs'!$B$13,1),6),0)</x:f>
        <x:v>13</x:v>
      </x:c>
      <x:c r="L24" s="13" t="n">
        <x:f>F24*K24</x:f>
        <x:v>39</x:v>
      </x:c>
      <x:c r="M24" s="23" t="n">
        <x:f>IF(B24=11,0,MIN('Inputs'!$B$20,'Inputs'!$B$18+'Inputs'!$B$19*(A24-1)))</x:f>
        <x:v>0.022</x:v>
      </x:c>
      <x:c r="N24" s="21" t="n">
        <x:f>IF(B24=11,'Inputs'!$B$14,0)</x:f>
        <x:v>0</x:v>
      </x:c>
      <x:c r="O24" s="21" t="n">
        <x:f>IF(B24=11,0,ROUNDDOWN(ROUND(I24*'Inputs'!$B$15*(1+'Inputs'!$B$31*'Inputs'!$B$53),6),0))</x:f>
        <x:v>1620</x:v>
      </x:c>
      <x:c r="P24" s="24" t="n">
        <x:f>8589934592+A24*65536+B24</x:f>
        <x:v>8590131201</x:v>
      </x:c>
    </x:row>
    <x:row r="25" ht="25" customHeight="1">
      <x:c r="A25" s="19" t="n">
        <x:v>3</x:v>
      </x:c>
      <x:c r="B25" s="19" t="n">
        <x:v>2</x:v>
      </x:c>
      <x:c r="C25" s="13" t="n">
        <x:f>11*(A25-1)+B25</x:f>
        <x:v>24</x:v>
      </x:c>
      <x:c r="D25" s="19" t="str">
        <x:v>오크</x:v>
      </x:c>
      <x:c r="E25" s="19" t="str">
        <x:v>일반</x:v>
      </x:c>
      <x:c r="F25" s="19" t="n">
        <x:v>6</x:v>
      </x:c>
      <x:c r="G25" s="21" t="n">
        <x:f>ROUNDUP(ROUND('Inputs'!$B$2*'Inputs'!$B$3^(C25-1)*IF(B25=11,'Inputs'!$B$10,1),6),0)</x:f>
        <x:v>717</x:v>
      </x:c>
      <x:c r="H25" s="21" t="n">
        <x:f>ROUNDUP(ROUND('Inputs'!$B$4*'Inputs'!$B$5^(C25-1)*IF(B25=11,'Inputs'!$B$11,1),6),0)</x:f>
        <x:v>22</x:v>
      </x:c>
      <x:c r="I25" s="21" t="n">
        <x:f>ROUNDDOWN(ROUND('Inputs'!$B$6*'Inputs'!$B$7^(C25-1)*IF(B25=11,'Inputs'!$B$12,1),6),0)</x:f>
        <x:v>58</x:v>
      </x:c>
      <x:c r="J25" s="13" t="n">
        <x:f>F25*I25</x:f>
        <x:v>348</x:v>
      </x:c>
      <x:c r="K25" s="21" t="n">
        <x:f>ROUNDDOWN(ROUND('Inputs'!$B$8*'Inputs'!$B$9^(C25-1)*IF(B25=11,'Inputs'!$B$13,1),6),0)</x:f>
        <x:v>14</x:v>
      </x:c>
      <x:c r="L25" s="13" t="n">
        <x:f>F25*K25</x:f>
        <x:v>84</x:v>
      </x:c>
      <x:c r="M25" s="23" t="n">
        <x:f>IF(B25=11,0,MIN('Inputs'!$B$20,'Inputs'!$B$18+'Inputs'!$B$19*(A25-1)))</x:f>
        <x:v>0.022</x:v>
      </x:c>
      <x:c r="N25" s="21" t="n">
        <x:f>IF(B25=11,'Inputs'!$B$14,0)</x:f>
        <x:v>0</x:v>
      </x:c>
      <x:c r="O25" s="21" t="n">
        <x:f>IF(B25=11,0,ROUNDDOWN(ROUND(I25*'Inputs'!$B$15*(1+'Inputs'!$B$31*'Inputs'!$B$53),6),0))</x:f>
        <x:v>1740</x:v>
      </x:c>
      <x:c r="P25" s="24" t="n">
        <x:f>8589934592+A25*65536+B25</x:f>
        <x:v>8590131202</x:v>
      </x:c>
    </x:row>
    <x:row r="26" ht="25" customHeight="1">
      <x:c r="A26" s="19" t="n">
        <x:v>3</x:v>
      </x:c>
      <x:c r="B26" s="19" t="n">
        <x:v>3</x:v>
      </x:c>
      <x:c r="C26" s="13" t="n">
        <x:f>11*(A26-1)+B26</x:f>
        <x:v>25</x:v>
      </x:c>
      <x:c r="D26" s="19" t="str">
        <x:v>오크</x:v>
      </x:c>
      <x:c r="E26" s="19" t="str">
        <x:v>일반</x:v>
      </x:c>
      <x:c r="F26" s="19" t="n">
        <x:v>8</x:v>
      </x:c>
      <x:c r="G26" s="21" t="n">
        <x:f>ROUNDUP(ROUND('Inputs'!$B$2*'Inputs'!$B$3^(C26-1)*IF(B26=11,'Inputs'!$B$10,1),6),0)</x:f>
        <x:v>788</x:v>
      </x:c>
      <x:c r="H26" s="21" t="n">
        <x:f>ROUNDUP(ROUND('Inputs'!$B$4*'Inputs'!$B$5^(C26-1)*IF(B26=11,'Inputs'!$B$11,1),6),0)</x:f>
        <x:v>23</x:v>
      </x:c>
      <x:c r="I26" s="21" t="n">
        <x:f>ROUNDDOWN(ROUND('Inputs'!$B$6*'Inputs'!$B$7^(C26-1)*IF(B26=11,'Inputs'!$B$12,1),6),0)</x:f>
        <x:v>63</x:v>
      </x:c>
      <x:c r="J26" s="13" t="n">
        <x:f>F26*I26</x:f>
        <x:v>504</x:v>
      </x:c>
      <x:c r="K26" s="21" t="n">
        <x:f>ROUNDDOWN(ROUND('Inputs'!$B$8*'Inputs'!$B$9^(C26-1)*IF(B26=11,'Inputs'!$B$13,1),6),0)</x:f>
        <x:v>15</x:v>
      </x:c>
      <x:c r="L26" s="13" t="n">
        <x:f>F26*K26</x:f>
        <x:v>120</x:v>
      </x:c>
      <x:c r="M26" s="23" t="n">
        <x:f>IF(B26=11,0,MIN('Inputs'!$B$20,'Inputs'!$B$18+'Inputs'!$B$19*(A26-1)))</x:f>
        <x:v>0.022</x:v>
      </x:c>
      <x:c r="N26" s="21" t="n">
        <x:f>IF(B26=11,'Inputs'!$B$14,0)</x:f>
        <x:v>0</x:v>
      </x:c>
      <x:c r="O26" s="21" t="n">
        <x:f>IF(B26=11,0,ROUNDDOWN(ROUND(I26*'Inputs'!$B$15*(1+'Inputs'!$B$31*'Inputs'!$B$53),6),0))</x:f>
        <x:v>1890</x:v>
      </x:c>
      <x:c r="P26" s="24" t="n">
        <x:f>8589934592+A26*65536+B26</x:f>
        <x:v>8590131203</x:v>
      </x:c>
    </x:row>
    <x:row r="27" ht="25" customHeight="1">
      <x:c r="A27" s="19" t="n">
        <x:v>3</x:v>
      </x:c>
      <x:c r="B27" s="19" t="n">
        <x:v>4</x:v>
      </x:c>
      <x:c r="C27" s="13" t="n">
        <x:f>11*(A27-1)+B27</x:f>
        <x:v>26</x:v>
      </x:c>
      <x:c r="D27" s="19" t="str">
        <x:v>오크</x:v>
      </x:c>
      <x:c r="E27" s="19" t="str">
        <x:v>일반</x:v>
      </x:c>
      <x:c r="F27" s="19" t="n">
        <x:v>10</x:v>
      </x:c>
      <x:c r="G27" s="21" t="n">
        <x:f>ROUNDUP(ROUND('Inputs'!$B$2*'Inputs'!$B$3^(C27-1)*IF(B27=11,'Inputs'!$B$10,1),6),0)</x:f>
        <x:v>867</x:v>
      </x:c>
      <x:c r="H27" s="21" t="n">
        <x:f>ROUNDUP(ROUND('Inputs'!$B$4*'Inputs'!$B$5^(C27-1)*IF(B27=11,'Inputs'!$B$11,1),6),0)</x:f>
        <x:v>25</x:v>
      </x:c>
      <x:c r="I27" s="21" t="n">
        <x:f>ROUNDDOWN(ROUND('Inputs'!$B$6*'Inputs'!$B$7^(C27-1)*IF(B27=11,'Inputs'!$B$12,1),6),0)</x:f>
        <x:v>68</x:v>
      </x:c>
      <x:c r="J27" s="13" t="n">
        <x:f>F27*I27</x:f>
        <x:v>680</x:v>
      </x:c>
      <x:c r="K27" s="21" t="n">
        <x:f>ROUNDDOWN(ROUND('Inputs'!$B$8*'Inputs'!$B$9^(C27-1)*IF(B27=11,'Inputs'!$B$13,1),6),0)</x:f>
        <x:v>16</x:v>
      </x:c>
      <x:c r="L27" s="13" t="n">
        <x:f>F27*K27</x:f>
        <x:v>160</x:v>
      </x:c>
      <x:c r="M27" s="23" t="n">
        <x:f>IF(B27=11,0,MIN('Inputs'!$B$20,'Inputs'!$B$18+'Inputs'!$B$19*(A27-1)))</x:f>
        <x:v>0.022</x:v>
      </x:c>
      <x:c r="N27" s="21" t="n">
        <x:f>IF(B27=11,'Inputs'!$B$14,0)</x:f>
        <x:v>0</x:v>
      </x:c>
      <x:c r="O27" s="21" t="n">
        <x:f>IF(B27=11,0,ROUNDDOWN(ROUND(I27*'Inputs'!$B$15*(1+'Inputs'!$B$31*'Inputs'!$B$53),6),0))</x:f>
        <x:v>2040</x:v>
      </x:c>
      <x:c r="P27" s="24" t="n">
        <x:f>8589934592+A27*65536+B27</x:f>
        <x:v>8590131204</x:v>
      </x:c>
    </x:row>
    <x:row r="28" ht="25" customHeight="1">
      <x:c r="A28" s="19" t="n">
        <x:v>3</x:v>
      </x:c>
      <x:c r="B28" s="19" t="n">
        <x:v>5</x:v>
      </x:c>
      <x:c r="C28" s="13" t="n">
        <x:f>11*(A28-1)+B28</x:f>
        <x:v>27</x:v>
      </x:c>
      <x:c r="D28" s="19" t="str">
        <x:v>오크</x:v>
      </x:c>
      <x:c r="E28" s="19" t="str">
        <x:v>일반</x:v>
      </x:c>
      <x:c r="F28" s="19" t="n">
        <x:v>12</x:v>
      </x:c>
      <x:c r="G28" s="21" t="n">
        <x:f>ROUNDUP(ROUND('Inputs'!$B$2*'Inputs'!$B$3^(C28-1)*IF(B28=11,'Inputs'!$B$10,1),6),0)</x:f>
        <x:v>954</x:v>
      </x:c>
      <x:c r="H28" s="21" t="n">
        <x:f>ROUNDUP(ROUND('Inputs'!$B$4*'Inputs'!$B$5^(C28-1)*IF(B28=11,'Inputs'!$B$11,1),6),0)</x:f>
        <x:v>26</x:v>
      </x:c>
      <x:c r="I28" s="21" t="n">
        <x:f>ROUNDDOWN(ROUND('Inputs'!$B$6*'Inputs'!$B$7^(C28-1)*IF(B28=11,'Inputs'!$B$12,1),6),0)</x:f>
        <x:v>73</x:v>
      </x:c>
      <x:c r="J28" s="13" t="n">
        <x:f>F28*I28</x:f>
        <x:v>876</x:v>
      </x:c>
      <x:c r="K28" s="21" t="n">
        <x:f>ROUNDDOWN(ROUND('Inputs'!$B$8*'Inputs'!$B$9^(C28-1)*IF(B28=11,'Inputs'!$B$13,1),6),0)</x:f>
        <x:v>17</x:v>
      </x:c>
      <x:c r="L28" s="13" t="n">
        <x:f>F28*K28</x:f>
        <x:v>204</x:v>
      </x:c>
      <x:c r="M28" s="23" t="n">
        <x:f>IF(B28=11,0,MIN('Inputs'!$B$20,'Inputs'!$B$18+'Inputs'!$B$19*(A28-1)))</x:f>
        <x:v>0.022</x:v>
      </x:c>
      <x:c r="N28" s="21" t="n">
        <x:f>IF(B28=11,'Inputs'!$B$14,0)</x:f>
        <x:v>0</x:v>
      </x:c>
      <x:c r="O28" s="21" t="n">
        <x:f>IF(B28=11,0,ROUNDDOWN(ROUND(I28*'Inputs'!$B$15*(1+'Inputs'!$B$31*'Inputs'!$B$53),6),0))</x:f>
        <x:v>2190</x:v>
      </x:c>
      <x:c r="P28" s="24" t="n">
        <x:f>8589934592+A28*65536+B28</x:f>
        <x:v>8590131205</x:v>
      </x:c>
    </x:row>
    <x:row r="29" ht="25" customHeight="1">
      <x:c r="A29" s="19" t="n">
        <x:v>3</x:v>
      </x:c>
      <x:c r="B29" s="19" t="n">
        <x:v>6</x:v>
      </x:c>
      <x:c r="C29" s="13" t="n">
        <x:f>11*(A29-1)+B29</x:f>
        <x:v>28</x:v>
      </x:c>
      <x:c r="D29" s="19" t="str">
        <x:v>오크</x:v>
      </x:c>
      <x:c r="E29" s="19" t="str">
        <x:v>일반</x:v>
      </x:c>
      <x:c r="F29" s="19" t="n">
        <x:v>14</x:v>
      </x:c>
      <x:c r="G29" s="21" t="n">
        <x:f>ROUNDUP(ROUND('Inputs'!$B$2*'Inputs'!$B$3^(C29-1)*IF(B29=11,'Inputs'!$B$10,1),6),0)</x:f>
        <x:v>1049</x:v>
      </x:c>
      <x:c r="H29" s="21" t="n">
        <x:f>ROUNDUP(ROUND('Inputs'!$B$4*'Inputs'!$B$5^(C29-1)*IF(B29=11,'Inputs'!$B$11,1),6),0)</x:f>
        <x:v>28</x:v>
      </x:c>
      <x:c r="I29" s="21" t="n">
        <x:f>ROUNDDOWN(ROUND('Inputs'!$B$6*'Inputs'!$B$7^(C29-1)*IF(B29=11,'Inputs'!$B$12,1),6),0)</x:f>
        <x:v>79</x:v>
      </x:c>
      <x:c r="J29" s="13" t="n">
        <x:f>F29*I29</x:f>
        <x:v>1106</x:v>
      </x:c>
      <x:c r="K29" s="21" t="n">
        <x:f>ROUNDDOWN(ROUND('Inputs'!$B$8*'Inputs'!$B$9^(C29-1)*IF(B29=11,'Inputs'!$B$13,1),6),0)</x:f>
        <x:v>18</x:v>
      </x:c>
      <x:c r="L29" s="13" t="n">
        <x:f>F29*K29</x:f>
        <x:v>252</x:v>
      </x:c>
      <x:c r="M29" s="23" t="n">
        <x:f>IF(B29=11,0,MIN('Inputs'!$B$20,'Inputs'!$B$18+'Inputs'!$B$19*(A29-1)))</x:f>
        <x:v>0.022</x:v>
      </x:c>
      <x:c r="N29" s="21" t="n">
        <x:f>IF(B29=11,'Inputs'!$B$14,0)</x:f>
        <x:v>0</x:v>
      </x:c>
      <x:c r="O29" s="21" t="n">
        <x:f>IF(B29=11,0,ROUNDDOWN(ROUND(I29*'Inputs'!$B$15*(1+'Inputs'!$B$31*'Inputs'!$B$53),6),0))</x:f>
        <x:v>2370</x:v>
      </x:c>
      <x:c r="P29" s="24" t="n">
        <x:f>8589934592+A29*65536+B29</x:f>
        <x:v>8590131206</x:v>
      </x:c>
    </x:row>
    <x:row r="30" ht="25" customHeight="1">
      <x:c r="A30" s="19" t="n">
        <x:v>3</x:v>
      </x:c>
      <x:c r="B30" s="19" t="n">
        <x:v>7</x:v>
      </x:c>
      <x:c r="C30" s="13" t="n">
        <x:f>11*(A30-1)+B30</x:f>
        <x:v>29</x:v>
      </x:c>
      <x:c r="D30" s="19" t="str">
        <x:v>오크</x:v>
      </x:c>
      <x:c r="E30" s="19" t="str">
        <x:v>일반</x:v>
      </x:c>
      <x:c r="F30" s="19" t="n">
        <x:v>16</x:v>
      </x:c>
      <x:c r="G30" s="21" t="n">
        <x:f>ROUNDUP(ROUND('Inputs'!$B$2*'Inputs'!$B$3^(C30-1)*IF(B30=11,'Inputs'!$B$10,1),6),0)</x:f>
        <x:v>1154</x:v>
      </x:c>
      <x:c r="H30" s="21" t="n">
        <x:f>ROUNDUP(ROUND('Inputs'!$B$4*'Inputs'!$B$5^(C30-1)*IF(B30=11,'Inputs'!$B$11,1),6),0)</x:f>
        <x:v>30</x:v>
      </x:c>
      <x:c r="I30" s="21" t="n">
        <x:f>ROUNDDOWN(ROUND('Inputs'!$B$6*'Inputs'!$B$7^(C30-1)*IF(B30=11,'Inputs'!$B$12,1),6),0)</x:f>
        <x:v>86</x:v>
      </x:c>
      <x:c r="J30" s="13" t="n">
        <x:f>F30*I30</x:f>
        <x:v>1376</x:v>
      </x:c>
      <x:c r="K30" s="21" t="n">
        <x:f>ROUNDDOWN(ROUND('Inputs'!$B$8*'Inputs'!$B$9^(C30-1)*IF(B30=11,'Inputs'!$B$13,1),6),0)</x:f>
        <x:v>19</x:v>
      </x:c>
      <x:c r="L30" s="13" t="n">
        <x:f>F30*K30</x:f>
        <x:v>304</x:v>
      </x:c>
      <x:c r="M30" s="23" t="n">
        <x:f>IF(B30=11,0,MIN('Inputs'!$B$20,'Inputs'!$B$18+'Inputs'!$B$19*(A30-1)))</x:f>
        <x:v>0.022</x:v>
      </x:c>
      <x:c r="N30" s="21" t="n">
        <x:f>IF(B30=11,'Inputs'!$B$14,0)</x:f>
        <x:v>0</x:v>
      </x:c>
      <x:c r="O30" s="21" t="n">
        <x:f>IF(B30=11,0,ROUNDDOWN(ROUND(I30*'Inputs'!$B$15*(1+'Inputs'!$B$31*'Inputs'!$B$53),6),0))</x:f>
        <x:v>2580</x:v>
      </x:c>
      <x:c r="P30" s="24" t="n">
        <x:f>8589934592+A30*65536+B30</x:f>
        <x:v>8590131207</x:v>
      </x:c>
    </x:row>
    <x:row r="31" ht="25" customHeight="1">
      <x:c r="A31" s="19" t="n">
        <x:v>3</x:v>
      </x:c>
      <x:c r="B31" s="19" t="n">
        <x:v>8</x:v>
      </x:c>
      <x:c r="C31" s="13" t="n">
        <x:f>11*(A31-1)+B31</x:f>
        <x:v>30</x:v>
      </x:c>
      <x:c r="D31" s="19" t="str">
        <x:v>오크</x:v>
      </x:c>
      <x:c r="E31" s="19" t="str">
        <x:v>일반</x:v>
      </x:c>
      <x:c r="F31" s="19" t="n">
        <x:v>18</x:v>
      </x:c>
      <x:c r="G31" s="21" t="n">
        <x:f>ROUNDUP(ROUND('Inputs'!$B$2*'Inputs'!$B$3^(C31-1)*IF(B31=11,'Inputs'!$B$10,1),6),0)</x:f>
        <x:v>1270</x:v>
      </x:c>
      <x:c r="H31" s="21" t="n">
        <x:f>ROUNDUP(ROUND('Inputs'!$B$4*'Inputs'!$B$5^(C31-1)*IF(B31=11,'Inputs'!$B$11,1),6),0)</x:f>
        <x:v>32</x:v>
      </x:c>
      <x:c r="I31" s="21" t="n">
        <x:f>ROUNDDOWN(ROUND('Inputs'!$B$6*'Inputs'!$B$7^(C31-1)*IF(B31=11,'Inputs'!$B$12,1),6),0)</x:f>
        <x:v>93</x:v>
      </x:c>
      <x:c r="J31" s="13" t="n">
        <x:f>F31*I31</x:f>
        <x:v>1674</x:v>
      </x:c>
      <x:c r="K31" s="21" t="n">
        <x:f>ROUNDDOWN(ROUND('Inputs'!$B$8*'Inputs'!$B$9^(C31-1)*IF(B31=11,'Inputs'!$B$13,1),6),0)</x:f>
        <x:v>21</x:v>
      </x:c>
      <x:c r="L31" s="13" t="n">
        <x:f>F31*K31</x:f>
        <x:v>378</x:v>
      </x:c>
      <x:c r="M31" s="23" t="n">
        <x:f>IF(B31=11,0,MIN('Inputs'!$B$20,'Inputs'!$B$18+'Inputs'!$B$19*(A31-1)))</x:f>
        <x:v>0.022</x:v>
      </x:c>
      <x:c r="N31" s="21" t="n">
        <x:f>IF(B31=11,'Inputs'!$B$14,0)</x:f>
        <x:v>0</x:v>
      </x:c>
      <x:c r="O31" s="21" t="n">
        <x:f>IF(B31=11,0,ROUNDDOWN(ROUND(I31*'Inputs'!$B$15*(1+'Inputs'!$B$31*'Inputs'!$B$53),6),0))</x:f>
        <x:v>2790</x:v>
      </x:c>
      <x:c r="P31" s="24" t="n">
        <x:f>8589934592+A31*65536+B31</x:f>
        <x:v>8590131208</x:v>
      </x:c>
    </x:row>
    <x:row r="32" ht="25" customHeight="1">
      <x:c r="A32" s="19" t="n">
        <x:v>3</x:v>
      </x:c>
      <x:c r="B32" s="19" t="n">
        <x:v>9</x:v>
      </x:c>
      <x:c r="C32" s="13" t="n">
        <x:f>11*(A32-1)+B32</x:f>
        <x:v>31</x:v>
      </x:c>
      <x:c r="D32" s="19" t="str">
        <x:v>오크</x:v>
      </x:c>
      <x:c r="E32" s="19" t="str">
        <x:v>일반</x:v>
      </x:c>
      <x:c r="F32" s="19" t="n">
        <x:v>20</x:v>
      </x:c>
      <x:c r="G32" s="21" t="n">
        <x:f>ROUNDUP(ROUND('Inputs'!$B$2*'Inputs'!$B$3^(C32-1)*IF(B32=11,'Inputs'!$B$10,1),6),0)</x:f>
        <x:v>1396</x:v>
      </x:c>
      <x:c r="H32" s="21" t="n">
        <x:f>ROUNDUP(ROUND('Inputs'!$B$4*'Inputs'!$B$5^(C32-1)*IF(B32=11,'Inputs'!$B$11,1),6),0)</x:f>
        <x:v>34</x:v>
      </x:c>
      <x:c r="I32" s="21" t="n">
        <x:f>ROUNDDOWN(ROUND('Inputs'!$B$6*'Inputs'!$B$7^(C32-1)*IF(B32=11,'Inputs'!$B$12,1),6),0)</x:f>
        <x:v>100</x:v>
      </x:c>
      <x:c r="J32" s="13" t="n">
        <x:f>F32*I32</x:f>
        <x:v>2000</x:v>
      </x:c>
      <x:c r="K32" s="21" t="n">
        <x:f>ROUNDDOWN(ROUND('Inputs'!$B$8*'Inputs'!$B$9^(C32-1)*IF(B32=11,'Inputs'!$B$13,1),6),0)</x:f>
        <x:v>22</x:v>
      </x:c>
      <x:c r="L32" s="13" t="n">
        <x:f>F32*K32</x:f>
        <x:v>440</x:v>
      </x:c>
      <x:c r="M32" s="23" t="n">
        <x:f>IF(B32=11,0,MIN('Inputs'!$B$20,'Inputs'!$B$18+'Inputs'!$B$19*(A32-1)))</x:f>
        <x:v>0.022</x:v>
      </x:c>
      <x:c r="N32" s="21" t="n">
        <x:f>IF(B32=11,'Inputs'!$B$14,0)</x:f>
        <x:v>0</x:v>
      </x:c>
      <x:c r="O32" s="21" t="n">
        <x:f>IF(B32=11,0,ROUNDDOWN(ROUND(I32*'Inputs'!$B$15*(1+'Inputs'!$B$31*'Inputs'!$B$53),6),0))</x:f>
        <x:v>3000</x:v>
      </x:c>
      <x:c r="P32" s="24" t="n">
        <x:f>8589934592+A32*65536+B32</x:f>
        <x:v>8590131209</x:v>
      </x:c>
    </x:row>
    <x:row r="33" ht="25" customHeight="1">
      <x:c r="A33" s="19" t="n">
        <x:v>3</x:v>
      </x:c>
      <x:c r="B33" s="19" t="n">
        <x:v>10</x:v>
      </x:c>
      <x:c r="C33" s="13" t="n">
        <x:f>11*(A33-1)+B33</x:f>
        <x:v>32</x:v>
      </x:c>
      <x:c r="D33" s="19" t="str">
        <x:v>오크</x:v>
      </x:c>
      <x:c r="E33" s="19" t="str">
        <x:v>일반</x:v>
      </x:c>
      <x:c r="F33" s="19" t="n">
        <x:v>24</x:v>
      </x:c>
      <x:c r="G33" s="21" t="n">
        <x:f>ROUNDUP(ROUND('Inputs'!$B$2*'Inputs'!$B$3^(C33-1)*IF(B33=11,'Inputs'!$B$10,1),6),0)</x:f>
        <x:v>1536</x:v>
      </x:c>
      <x:c r="H33" s="21" t="n">
        <x:f>ROUNDUP(ROUND('Inputs'!$B$4*'Inputs'!$B$5^(C33-1)*IF(B33=11,'Inputs'!$B$11,1),6),0)</x:f>
        <x:v>36</x:v>
      </x:c>
      <x:c r="I33" s="21" t="n">
        <x:f>ROUNDDOWN(ROUND('Inputs'!$B$6*'Inputs'!$B$7^(C33-1)*IF(B33=11,'Inputs'!$B$12,1),6),0)</x:f>
        <x:v>108</x:v>
      </x:c>
      <x:c r="J33" s="13" t="n">
        <x:f>F33*I33</x:f>
        <x:v>2592</x:v>
      </x:c>
      <x:c r="K33" s="21" t="n">
        <x:f>ROUNDDOWN(ROUND('Inputs'!$B$8*'Inputs'!$B$9^(C33-1)*IF(B33=11,'Inputs'!$B$13,1),6),0)</x:f>
        <x:v>24</x:v>
      </x:c>
      <x:c r="L33" s="13" t="n">
        <x:f>F33*K33</x:f>
        <x:v>576</x:v>
      </x:c>
      <x:c r="M33" s="23" t="n">
        <x:f>IF(B33=11,0,MIN('Inputs'!$B$20,'Inputs'!$B$18+'Inputs'!$B$19*(A33-1)))</x:f>
        <x:v>0.022</x:v>
      </x:c>
      <x:c r="N33" s="21" t="n">
        <x:f>IF(B33=11,'Inputs'!$B$14,0)</x:f>
        <x:v>0</x:v>
      </x:c>
      <x:c r="O33" s="21" t="n">
        <x:f>IF(B33=11,0,ROUNDDOWN(ROUND(I33*'Inputs'!$B$15*(1+'Inputs'!$B$31*'Inputs'!$B$53),6),0))</x:f>
        <x:v>3240</x:v>
      </x:c>
      <x:c r="P33" s="24" t="n">
        <x:f>8589934592+A33*65536+B33</x:f>
        <x:v>8590131210</x:v>
      </x:c>
    </x:row>
    <x:row r="34" ht="25" customHeight="1">
      <x:c r="A34" s="19" t="n">
        <x:v>3</x:v>
      </x:c>
      <x:c r="B34" s="19" t="n">
        <x:v>11</x:v>
      </x:c>
      <x:c r="C34" s="13" t="n">
        <x:f>11*(A34-1)+B34</x:f>
        <x:v>33</x:v>
      </x:c>
      <x:c r="D34" s="19" t="str">
        <x:v>오크</x:v>
      </x:c>
      <x:c r="E34" s="19" t="str">
        <x:v>보스</x:v>
      </x:c>
      <x:c r="F34" s="19" t="n">
        <x:v>1</x:v>
      </x:c>
      <x:c r="G34" s="21" t="n">
        <x:f>ROUNDUP(ROUND('Inputs'!$B$2*'Inputs'!$B$3^(C34-1)*IF(B34=11,'Inputs'!$B$10,1),6),0)</x:f>
        <x:v>30404</x:v>
      </x:c>
      <x:c r="H34" s="21" t="n">
        <x:f>ROUNDUP(ROUND('Inputs'!$B$4*'Inputs'!$B$5^(C34-1)*IF(B34=11,'Inputs'!$B$11,1),6),0)</x:f>
        <x:v>113</x:v>
      </x:c>
      <x:c r="I34" s="21" t="n">
        <x:f>ROUNDDOWN(ROUND('Inputs'!$B$6*'Inputs'!$B$7^(C34-1)*IF(B34=11,'Inputs'!$B$12,1),6),0)</x:f>
        <x:v>1173</x:v>
      </x:c>
      <x:c r="J34" s="13" t="n">
        <x:f>F34*I34</x:f>
        <x:v>1173</x:v>
      </x:c>
      <x:c r="K34" s="21" t="n">
        <x:f>ROUNDDOWN(ROUND('Inputs'!$B$8*'Inputs'!$B$9^(C34-1)*IF(B34=11,'Inputs'!$B$13,1),6),0)</x:f>
        <x:v>522</x:v>
      </x:c>
      <x:c r="L34" s="13" t="n">
        <x:f>F34*K34</x:f>
        <x:v>522</x:v>
      </x:c>
      <x:c r="M34" s="23" t="n">
        <x:f>IF(B34=11,0,MIN('Inputs'!$B$20,'Inputs'!$B$18+'Inputs'!$B$19*(A34-1)))</x:f>
        <x:v>0</x:v>
      </x:c>
      <x:c r="N34" s="21" t="n">
        <x:f>IF(B34=11,'Inputs'!$B$14,0)</x:f>
        <x:v>60</x:v>
      </x:c>
      <x:c r="O34" s="21" t="n">
        <x:f>IF(B34=11,0,ROUNDDOWN(ROUND(I34*'Inputs'!$B$15*(1+'Inputs'!$B$31*'Inputs'!$B$53),6),0))</x:f>
        <x:v>0</x:v>
      </x:c>
      <x:c r="P34" s="24" t="n">
        <x:f>8589934592+A34*65536+B34</x:f>
        <x:v>8590131211</x:v>
      </x:c>
    </x:row>
  </x:sheetData>
  <x:pageMargins left="0.7" right="0.7" top="0.75" bottom="0.75" header="0.3" footer="0.3"/>
  <x:tableParts count="1">
    <x:tablePart xmlns:r="http://schemas.openxmlformats.org/officeDocument/2006/relationships" r:id="R544c0e0228dd48c7"/>
  </x:tableParts>
</x:worksheet>
</file>

<file path=xl/worksheets/sheet4.xml><?xml version="1.0" encoding="utf-8"?>
<x:worksheet xmlns:x="http://schemas.openxmlformats.org/spreadsheetml/2006/main">
  <x:sheetPr>
    <x:tabColor rgb="FF2D6176"/>
  </x:sheetPr>
  <x:sheetViews>
    <x:sheetView showGridLines="0" workbookViewId="0">
      <x:pane xSplit="1" ySplit="1" topLeftCell="B2" activePane="bottomRight" state="frozen"/>
    </x:sheetView>
  </x:sheetViews>
  <x:sheetFormatPr defaultRowHeight="15"/>
  <x:cols>
    <x:col min="1" max="1" width="18" hidden="0" customWidth="1"/>
    <x:col min="2" max="2" width="18" hidden="0" customWidth="1"/>
    <x:col min="3" max="3" width="18" hidden="0" customWidth="1"/>
    <x:col min="4" max="4" width="18" hidden="0" customWidth="1"/>
    <x:col min="5" max="5" width="18" hidden="0" customWidth="1"/>
    <x:col min="6" max="6" width="18" hidden="0" customWidth="1"/>
    <x:col min="7" max="7" width="18" hidden="0" customWidth="1"/>
    <x:col min="8" max="8" width="18" hidden="0" customWidth="1"/>
    <x:col min="9" max="9" width="18" hidden="0" customWidth="1"/>
    <x:col min="10" max="10" width="18" hidden="0" customWidth="1"/>
    <x:col min="11" max="11" width="18" hidden="0" customWidth="1"/>
    <x:col min="12" max="12" width="18" hidden="0" customWidth="1"/>
    <x:col min="13" max="13" width="18" hidden="0" customWidth="1"/>
  </x:cols>
  <x:sheetData>
    <x:row r="1" ht="43" customHeight="1">
      <x:c r="A1" s="18" t="str">
        <x:v>Difficulty</x:v>
      </x:c>
      <x:c r="B1" s="18" t="str">
        <x:v>Count</x:v>
      </x:c>
      <x:c r="C1" s="18" t="str">
        <x:v>HP</x:v>
      </x:c>
      <x:c r="D1" s="18" t="str">
        <x:v>ATK</x:v>
      </x:c>
      <x:c r="E1" s="18" t="str">
        <x:v>TimeLimitSec</x:v>
      </x:c>
      <x:c r="F1" s="18" t="str">
        <x:v>GoldEach</x:v>
      </x:c>
      <x:c r="G1" s="18" t="str">
        <x:v>GoldTotal</x:v>
      </x:c>
      <x:c r="H1" s="18" t="str">
        <x:v>GoldDropRate</x:v>
      </x:c>
      <x:c r="I1" s="18" t="str">
        <x:v>ExpEach</x:v>
      </x:c>
      <x:c r="J1" s="18" t="str">
        <x:v>CoinsEach</x:v>
      </x:c>
      <x:c r="K1" s="18" t="str">
        <x:v>EquipmentDropRate</x:v>
      </x:c>
      <x:c r="L1" s="18" t="str">
        <x:v>DailyTickets</x:v>
      </x:c>
      <x:c r="M1" s="18" t="str">
        <x:v>DailyGold</x:v>
      </x:c>
    </x:row>
    <x:row r="2" ht="25" customHeight="1">
      <x:c r="A2" s="19" t="n">
        <x:v>1</x:v>
      </x:c>
      <x:c r="B2" s="21" t="n">
        <x:f>'Inputs'!$B$33</x:f>
        <x:v>20</x:v>
      </x:c>
      <x:c r="C2" s="21" t="n">
        <x:f>ROUNDUP(ROUND('Inputs'!$B$34*'Inputs'!$B$35^(A2-1),6),0)</x:f>
        <x:v>500</x:v>
      </x:c>
      <x:c r="D2" s="21" t="n">
        <x:f>ROUNDUP(ROUND('Inputs'!$B$36*'Inputs'!$B$37^(A2-1),6),0)</x:f>
        <x:v>6</x:v>
      </x:c>
      <x:c r="E2" s="21" t="n">
        <x:f>'Inputs'!$B$40</x:f>
        <x:v>60</x:v>
      </x:c>
      <x:c r="F2" s="21" t="n">
        <x:f>ROUNDDOWN(ROUND('Inputs'!$B$38*'Inputs'!$B$39^(A2-1),6),0)</x:f>
        <x:v>450</x:v>
      </x:c>
      <x:c r="G2" s="13" t="n">
        <x:f>B2*F2</x:f>
        <x:v>9000</x:v>
      </x:c>
      <x:c r="H2" s="25" t="n">
        <x:v>1</x:v>
      </x:c>
      <x:c r="I2" s="19" t="n">
        <x:v>0</x:v>
      </x:c>
      <x:c r="J2" s="19" t="n">
        <x:v>0</x:v>
      </x:c>
      <x:c r="K2" s="19" t="n">
        <x:v>0</x:v>
      </x:c>
      <x:c r="L2" s="21" t="n">
        <x:f>'Inputs'!$B$52</x:f>
        <x:v>2</x:v>
      </x:c>
      <x:c r="M2" s="13" t="n">
        <x:f>G2*L2</x:f>
        <x:v>18000</x:v>
      </x:c>
    </x:row>
    <x:row r="3" ht="25" customHeight="1">
      <x:c r="A3" s="19" t="n">
        <x:v>2</x:v>
      </x:c>
      <x:c r="B3" s="21" t="n">
        <x:f>'Inputs'!$B$33</x:f>
        <x:v>20</x:v>
      </x:c>
      <x:c r="C3" s="21" t="n">
        <x:f>ROUNDUP(ROUND('Inputs'!$B$34*'Inputs'!$B$35^(A3-1),6),0)</x:f>
        <x:v>1000</x:v>
      </x:c>
      <x:c r="D3" s="21" t="n">
        <x:f>ROUNDUP(ROUND('Inputs'!$B$36*'Inputs'!$B$37^(A3-1),6),0)</x:f>
        <x:v>9</x:v>
      </x:c>
      <x:c r="E3" s="21" t="n">
        <x:f>'Inputs'!$B$40</x:f>
        <x:v>60</x:v>
      </x:c>
      <x:c r="F3" s="21" t="n">
        <x:f>ROUNDDOWN(ROUND('Inputs'!$B$38*'Inputs'!$B$39^(A3-1),6),0)</x:f>
        <x:v>720</x:v>
      </x:c>
      <x:c r="G3" s="13" t="n">
        <x:f>B3*F3</x:f>
        <x:v>14400</x:v>
      </x:c>
      <x:c r="H3" s="25" t="n">
        <x:v>1</x:v>
      </x:c>
      <x:c r="I3" s="19" t="n">
        <x:v>0</x:v>
      </x:c>
      <x:c r="J3" s="19" t="n">
        <x:v>0</x:v>
      </x:c>
      <x:c r="K3" s="19" t="n">
        <x:v>0</x:v>
      </x:c>
      <x:c r="L3" s="21" t="n">
        <x:f>'Inputs'!$B$52</x:f>
        <x:v>2</x:v>
      </x:c>
      <x:c r="M3" s="13" t="n">
        <x:f>G3*L3</x:f>
        <x:v>28800</x:v>
      </x:c>
    </x:row>
    <x:row r="4" ht="25" customHeight="1">
      <x:c r="A4" s="19" t="n">
        <x:v>3</x:v>
      </x:c>
      <x:c r="B4" s="21" t="n">
        <x:f>'Inputs'!$B$33</x:f>
        <x:v>20</x:v>
      </x:c>
      <x:c r="C4" s="21" t="n">
        <x:f>ROUNDUP(ROUND('Inputs'!$B$34*'Inputs'!$B$35^(A4-1),6),0)</x:f>
        <x:v>2000</x:v>
      </x:c>
      <x:c r="D4" s="21" t="n">
        <x:f>ROUNDUP(ROUND('Inputs'!$B$36*'Inputs'!$B$37^(A4-1),6),0)</x:f>
        <x:v>11</x:v>
      </x:c>
      <x:c r="E4" s="21" t="n">
        <x:f>'Inputs'!$B$40</x:f>
        <x:v>60</x:v>
      </x:c>
      <x:c r="F4" s="21" t="n">
        <x:f>ROUNDDOWN(ROUND('Inputs'!$B$38*'Inputs'!$B$39^(A4-1),6),0)</x:f>
        <x:v>1152</x:v>
      </x:c>
      <x:c r="G4" s="13" t="n">
        <x:f>B4*F4</x:f>
        <x:v>23040</x:v>
      </x:c>
      <x:c r="H4" s="25" t="n">
        <x:v>1</x:v>
      </x:c>
      <x:c r="I4" s="19" t="n">
        <x:v>0</x:v>
      </x:c>
      <x:c r="J4" s="19" t="n">
        <x:v>0</x:v>
      </x:c>
      <x:c r="K4" s="19" t="n">
        <x:v>0</x:v>
      </x:c>
      <x:c r="L4" s="21" t="n">
        <x:f>'Inputs'!$B$52</x:f>
        <x:v>2</x:v>
      </x:c>
      <x:c r="M4" s="13" t="n">
        <x:f>G4*L4</x:f>
        <x:v>46080</x:v>
      </x:c>
    </x:row>
    <x:row r="5" ht="25" customHeight="1">
      <x:c r="A5" s="19" t="n">
        <x:v>4</x:v>
      </x:c>
      <x:c r="B5" s="21" t="n">
        <x:f>'Inputs'!$B$33</x:f>
        <x:v>20</x:v>
      </x:c>
      <x:c r="C5" s="21" t="n">
        <x:f>ROUNDUP(ROUND('Inputs'!$B$34*'Inputs'!$B$35^(A5-1),6),0)</x:f>
        <x:v>4000</x:v>
      </x:c>
      <x:c r="D5" s="21" t="n">
        <x:f>ROUNDUP(ROUND('Inputs'!$B$36*'Inputs'!$B$37^(A5-1),6),0)</x:f>
        <x:v>15</x:v>
      </x:c>
      <x:c r="E5" s="21" t="n">
        <x:f>'Inputs'!$B$40</x:f>
        <x:v>60</x:v>
      </x:c>
      <x:c r="F5" s="21" t="n">
        <x:f>ROUNDDOWN(ROUND('Inputs'!$B$38*'Inputs'!$B$39^(A5-1),6),0)</x:f>
        <x:v>1843</x:v>
      </x:c>
      <x:c r="G5" s="13" t="n">
        <x:f>B5*F5</x:f>
        <x:v>36860</x:v>
      </x:c>
      <x:c r="H5" s="25" t="n">
        <x:v>1</x:v>
      </x:c>
      <x:c r="I5" s="19" t="n">
        <x:v>0</x:v>
      </x:c>
      <x:c r="J5" s="19" t="n">
        <x:v>0</x:v>
      </x:c>
      <x:c r="K5" s="19" t="n">
        <x:v>0</x:v>
      </x:c>
      <x:c r="L5" s="21" t="n">
        <x:f>'Inputs'!$B$52</x:f>
        <x:v>2</x:v>
      </x:c>
      <x:c r="M5" s="13" t="n">
        <x:f>G5*L5</x:f>
        <x:v>73720</x:v>
      </x:c>
    </x:row>
    <x:row r="6" ht="25" customHeight="1">
      <x:c r="A6" s="19" t="n">
        <x:v>5</x:v>
      </x:c>
      <x:c r="B6" s="21" t="n">
        <x:f>'Inputs'!$B$33</x:f>
        <x:v>20</x:v>
      </x:c>
      <x:c r="C6" s="21" t="n">
        <x:f>ROUNDUP(ROUND('Inputs'!$B$34*'Inputs'!$B$35^(A6-1),6),0)</x:f>
        <x:v>8000</x:v>
      </x:c>
      <x:c r="D6" s="21" t="n">
        <x:f>ROUNDUP(ROUND('Inputs'!$B$36*'Inputs'!$B$37^(A6-1),6),0)</x:f>
        <x:v>20</x:v>
      </x:c>
      <x:c r="E6" s="21" t="n">
        <x:f>'Inputs'!$B$40</x:f>
        <x:v>60</x:v>
      </x:c>
      <x:c r="F6" s="21" t="n">
        <x:f>ROUNDDOWN(ROUND('Inputs'!$B$38*'Inputs'!$B$39^(A6-1),6),0)</x:f>
        <x:v>2949</x:v>
      </x:c>
      <x:c r="G6" s="13" t="n">
        <x:f>B6*F6</x:f>
        <x:v>58980</x:v>
      </x:c>
      <x:c r="H6" s="25" t="n">
        <x:v>1</x:v>
      </x:c>
      <x:c r="I6" s="19" t="n">
        <x:v>0</x:v>
      </x:c>
      <x:c r="J6" s="19" t="n">
        <x:v>0</x:v>
      </x:c>
      <x:c r="K6" s="19" t="n">
        <x:v>0</x:v>
      </x:c>
      <x:c r="L6" s="21" t="n">
        <x:f>'Inputs'!$B$52</x:f>
        <x:v>2</x:v>
      </x:c>
      <x:c r="M6" s="13" t="n">
        <x:f>G6*L6</x:f>
        <x:v>117960</x:v>
      </x:c>
    </x:row>
  </x:sheetData>
  <x:pageMargins left="0.7" right="0.7" top="0.75" bottom="0.75" header="0.3" footer="0.3"/>
  <x:tableParts count="1">
    <x:tablePart xmlns:r="http://schemas.openxmlformats.org/officeDocument/2006/relationships" r:id="Rbd5adc78c54349ef"/>
  </x:tableParts>
</x:worksheet>
</file>

<file path=xl/worksheets/sheet5.xml><?xml version="1.0" encoding="utf-8"?>
<x:worksheet xmlns:x="http://schemas.openxmlformats.org/spreadsheetml/2006/main">
  <x:sheetPr>
    <x:tabColor rgb="FF2D6176"/>
  </x:sheetPr>
  <x:sheetViews>
    <x:sheetView showGridLines="0" workbookViewId="0">
      <x:pane xSplit="1" ySplit="1" topLeftCell="B2" activePane="bottomRight" state="frozen"/>
    </x:sheetView>
  </x:sheetViews>
  <x:sheetFormatPr defaultRowHeight="15"/>
  <x:cols>
    <x:col min="1" max="1" width="18" hidden="0" customWidth="1"/>
    <x:col min="2" max="2" width="18" hidden="0" customWidth="1"/>
    <x:col min="3" max="3" width="26" hidden="0" customWidth="1"/>
    <x:col min="4" max="4" width="18" hidden="0" customWidth="1"/>
    <x:col min="5" max="5" width="18" hidden="0" customWidth="1"/>
    <x:col min="6" max="6" width="18" hidden="0" customWidth="1"/>
    <x:col min="7" max="7" width="18" hidden="0" customWidth="1"/>
    <x:col min="8" max="8" width="18" hidden="0" customWidth="1"/>
    <x:col min="9" max="9" width="18" hidden="0" customWidth="1"/>
  </x:cols>
  <x:sheetData>
    <x:row r="1" ht="43" customHeight="1">
      <x:c r="A1" s="18" t="str">
        <x:v>Difficulty</x:v>
      </x:c>
      <x:c r="B1" s="18" t="str">
        <x:v>EnemyIndex</x:v>
      </x:c>
      <x:c r="C1" s="18" t="str">
        <x:v>MonsterName</x:v>
      </x:c>
      <x:c r="D1" s="18" t="str">
        <x:v>HP</x:v>
      </x:c>
      <x:c r="E1" s="18" t="str">
        <x:v>ATK</x:v>
      </x:c>
      <x:c r="F1" s="18" t="str">
        <x:v>TimeLimitSec</x:v>
      </x:c>
      <x:c r="G1" s="18" t="str">
        <x:v>AttackIntervalSec</x:v>
      </x:c>
      <x:c r="H1" s="18" t="str">
        <x:v>Knockback</x:v>
      </x:c>
      <x:c r="I1" s="18" t="str">
        <x:v>RubyEach</x:v>
      </x:c>
    </x:row>
    <x:row r="2" ht="25" customHeight="1">
      <x:c r="A2" s="19" t="n">
        <x:v>1</x:v>
      </x:c>
      <x:c r="B2" s="19" t="n">
        <x:v>1</x:v>
      </x:c>
      <x:c r="C2" s="19" t="str">
        <x:v>BANDIT_KING</x:v>
      </x:c>
      <x:c r="D2" s="21" t="n">
        <x:f>ROUNDUP(ROUND('Inputs'!$B$41*'Inputs'!$B$44^(A2-1),6),0)</x:f>
        <x:v>1200</x:v>
      </x:c>
      <x:c r="E2" s="21" t="n">
        <x:f>ROUNDUP(ROUND('Inputs'!$B$45*'Inputs'!$B$37^(A2-1),6),0)</x:f>
        <x:v>12</x:v>
      </x:c>
      <x:c r="F2" s="21" t="n">
        <x:f>'Inputs'!$B$48</x:f>
        <x:v>30</x:v>
      </x:c>
      <x:c r="G2" s="22" t="n">
        <x:v>2.2</x:v>
      </x:c>
      <x:c r="H2" s="19" t="str">
        <x:v>면역</x:v>
      </x:c>
      <x:c r="I2" s="19" t="n">
        <x:v>0</x:v>
      </x:c>
    </x:row>
    <x:row r="3" ht="25" customHeight="1">
      <x:c r="A3" s="19" t="n">
        <x:v>1</x:v>
      </x:c>
      <x:c r="B3" s="19" t="n">
        <x:v>2</x:v>
      </x:c>
      <x:c r="C3" s="19" t="str">
        <x:v>GOBLIN_KING</x:v>
      </x:c>
      <x:c r="D3" s="21" t="n">
        <x:f>ROUNDUP(ROUND('Inputs'!$B$42*'Inputs'!$B$44^(A3-1),6),0)</x:f>
        <x:v>1800</x:v>
      </x:c>
      <x:c r="E3" s="21" t="n">
        <x:f>ROUNDUP(ROUND('Inputs'!$B$46*'Inputs'!$B$37^(A3-1),6),0)</x:f>
        <x:v>15</x:v>
      </x:c>
      <x:c r="F3" s="21" t="n">
        <x:f>'Inputs'!$B$48</x:f>
        <x:v>30</x:v>
      </x:c>
      <x:c r="G3" s="22" t="n">
        <x:v>2</x:v>
      </x:c>
      <x:c r="H3" s="19" t="str">
        <x:v>면역</x:v>
      </x:c>
      <x:c r="I3" s="19" t="n">
        <x:v>0</x:v>
      </x:c>
    </x:row>
    <x:row r="4" ht="25" customHeight="1">
      <x:c r="A4" s="19" t="n">
        <x:v>1</x:v>
      </x:c>
      <x:c r="B4" s="19" t="n">
        <x:v>3</x:v>
      </x:c>
      <x:c r="C4" s="19" t="str">
        <x:v>ORC_BRUTE</x:v>
      </x:c>
      <x:c r="D4" s="21" t="n">
        <x:f>ROUNDUP(ROUND('Inputs'!$B$43*'Inputs'!$B$44^(A4-1),6),0)</x:f>
        <x:v>2400</x:v>
      </x:c>
      <x:c r="E4" s="21" t="n">
        <x:f>ROUNDUP(ROUND('Inputs'!$B$47*'Inputs'!$B$37^(A4-1),6),0)</x:f>
        <x:v>18</x:v>
      </x:c>
      <x:c r="F4" s="21" t="n">
        <x:f>'Inputs'!$B$48</x:f>
        <x:v>30</x:v>
      </x:c>
      <x:c r="G4" s="22" t="n">
        <x:v>2.5</x:v>
      </x:c>
      <x:c r="H4" s="19" t="str">
        <x:v>면역</x:v>
      </x:c>
      <x:c r="I4" s="19" t="n">
        <x:v>0</x:v>
      </x:c>
    </x:row>
    <x:row r="5" ht="25" customHeight="1">
      <x:c r="A5" s="19" t="n">
        <x:v>2</x:v>
      </x:c>
      <x:c r="B5" s="19" t="n">
        <x:v>1</x:v>
      </x:c>
      <x:c r="C5" s="19" t="str">
        <x:v>BANDIT_KING</x:v>
      </x:c>
      <x:c r="D5" s="21" t="n">
        <x:f>ROUNDUP(ROUND('Inputs'!$B$41*'Inputs'!$B$44^(A5-1),6),0)</x:f>
        <x:v>2640</x:v>
      </x:c>
      <x:c r="E5" s="21" t="n">
        <x:f>ROUNDUP(ROUND('Inputs'!$B$45*'Inputs'!$B$37^(A5-1),6),0)</x:f>
        <x:v>17</x:v>
      </x:c>
      <x:c r="F5" s="21" t="n">
        <x:f>'Inputs'!$B$48</x:f>
        <x:v>30</x:v>
      </x:c>
      <x:c r="G5" s="22" t="n">
        <x:v>2.2</x:v>
      </x:c>
      <x:c r="H5" s="19" t="str">
        <x:v>면역</x:v>
      </x:c>
      <x:c r="I5" s="19" t="n">
        <x:v>0</x:v>
      </x:c>
    </x:row>
    <x:row r="6" ht="25" customHeight="1">
      <x:c r="A6" s="19" t="n">
        <x:v>2</x:v>
      </x:c>
      <x:c r="B6" s="19" t="n">
        <x:v>2</x:v>
      </x:c>
      <x:c r="C6" s="19" t="str">
        <x:v>GOBLIN_KING</x:v>
      </x:c>
      <x:c r="D6" s="21" t="n">
        <x:f>ROUNDUP(ROUND('Inputs'!$B$42*'Inputs'!$B$44^(A6-1),6),0)</x:f>
        <x:v>3960</x:v>
      </x:c>
      <x:c r="E6" s="21" t="n">
        <x:f>ROUNDUP(ROUND('Inputs'!$B$46*'Inputs'!$B$37^(A6-1),6),0)</x:f>
        <x:v>21</x:v>
      </x:c>
      <x:c r="F6" s="21" t="n">
        <x:f>'Inputs'!$B$48</x:f>
        <x:v>30</x:v>
      </x:c>
      <x:c r="G6" s="22" t="n">
        <x:v>2</x:v>
      </x:c>
      <x:c r="H6" s="19" t="str">
        <x:v>면역</x:v>
      </x:c>
      <x:c r="I6" s="19" t="n">
        <x:v>0</x:v>
      </x:c>
    </x:row>
    <x:row r="7" ht="25" customHeight="1">
      <x:c r="A7" s="19" t="n">
        <x:v>2</x:v>
      </x:c>
      <x:c r="B7" s="19" t="n">
        <x:v>3</x:v>
      </x:c>
      <x:c r="C7" s="19" t="str">
        <x:v>ORC_BRUTE</x:v>
      </x:c>
      <x:c r="D7" s="21" t="n">
        <x:f>ROUNDUP(ROUND('Inputs'!$B$43*'Inputs'!$B$44^(A7-1),6),0)</x:f>
        <x:v>5280</x:v>
      </x:c>
      <x:c r="E7" s="21" t="n">
        <x:f>ROUNDUP(ROUND('Inputs'!$B$47*'Inputs'!$B$37^(A7-1),6),0)</x:f>
        <x:v>25</x:v>
      </x:c>
      <x:c r="F7" s="21" t="n">
        <x:f>'Inputs'!$B$48</x:f>
        <x:v>30</x:v>
      </x:c>
      <x:c r="G7" s="22" t="n">
        <x:v>2.5</x:v>
      </x:c>
      <x:c r="H7" s="19" t="str">
        <x:v>면역</x:v>
      </x:c>
      <x:c r="I7" s="19" t="n">
        <x:v>0</x:v>
      </x:c>
    </x:row>
    <x:row r="8" ht="25" customHeight="1">
      <x:c r="A8" s="19" t="n">
        <x:v>3</x:v>
      </x:c>
      <x:c r="B8" s="19" t="n">
        <x:v>1</x:v>
      </x:c>
      <x:c r="C8" s="19" t="str">
        <x:v>BANDIT_KING</x:v>
      </x:c>
      <x:c r="D8" s="21" t="n">
        <x:f>ROUNDUP(ROUND('Inputs'!$B$41*'Inputs'!$B$44^(A8-1),6),0)</x:f>
        <x:v>5808</x:v>
      </x:c>
      <x:c r="E8" s="21" t="n">
        <x:f>ROUNDUP(ROUND('Inputs'!$B$45*'Inputs'!$B$37^(A8-1),6),0)</x:f>
        <x:v>22</x:v>
      </x:c>
      <x:c r="F8" s="21" t="n">
        <x:f>'Inputs'!$B$48</x:f>
        <x:v>30</x:v>
      </x:c>
      <x:c r="G8" s="22" t="n">
        <x:v>2.2</x:v>
      </x:c>
      <x:c r="H8" s="19" t="str">
        <x:v>면역</x:v>
      </x:c>
      <x:c r="I8" s="19" t="n">
        <x:v>0</x:v>
      </x:c>
    </x:row>
    <x:row r="9" ht="25" customHeight="1">
      <x:c r="A9" s="19" t="n">
        <x:v>3</x:v>
      </x:c>
      <x:c r="B9" s="19" t="n">
        <x:v>2</x:v>
      </x:c>
      <x:c r="C9" s="19" t="str">
        <x:v>GOBLIN_KING</x:v>
      </x:c>
      <x:c r="D9" s="21" t="n">
        <x:f>ROUNDUP(ROUND('Inputs'!$B$42*'Inputs'!$B$44^(A9-1),6),0)</x:f>
        <x:v>8712</x:v>
      </x:c>
      <x:c r="E9" s="21" t="n">
        <x:f>ROUNDUP(ROUND('Inputs'!$B$46*'Inputs'!$B$37^(A9-1),6),0)</x:f>
        <x:v>28</x:v>
      </x:c>
      <x:c r="F9" s="21" t="n">
        <x:f>'Inputs'!$B$48</x:f>
        <x:v>30</x:v>
      </x:c>
      <x:c r="G9" s="22" t="n">
        <x:v>2</x:v>
      </x:c>
      <x:c r="H9" s="19" t="str">
        <x:v>면역</x:v>
      </x:c>
      <x:c r="I9" s="19" t="n">
        <x:v>0</x:v>
      </x:c>
    </x:row>
    <x:row r="10" ht="25" customHeight="1">
      <x:c r="A10" s="19" t="n">
        <x:v>3</x:v>
      </x:c>
      <x:c r="B10" s="19" t="n">
        <x:v>3</x:v>
      </x:c>
      <x:c r="C10" s="19" t="str">
        <x:v>ORC_BRUTE</x:v>
      </x:c>
      <x:c r="D10" s="21" t="n">
        <x:f>ROUNDUP(ROUND('Inputs'!$B$43*'Inputs'!$B$44^(A10-1),6),0)</x:f>
        <x:v>11616</x:v>
      </x:c>
      <x:c r="E10" s="21" t="n">
        <x:f>ROUNDUP(ROUND('Inputs'!$B$47*'Inputs'!$B$37^(A10-1),6),0)</x:f>
        <x:v>33</x:v>
      </x:c>
      <x:c r="F10" s="21" t="n">
        <x:f>'Inputs'!$B$48</x:f>
        <x:v>30</x:v>
      </x:c>
      <x:c r="G10" s="22" t="n">
        <x:v>2.5</x:v>
      </x:c>
      <x:c r="H10" s="19" t="str">
        <x:v>면역</x:v>
      </x:c>
      <x:c r="I10" s="19" t="n">
        <x:v>0</x:v>
      </x:c>
    </x:row>
    <x:row r="11" ht="25" customHeight="1">
      <x:c r="A11" s="19" t="n">
        <x:v>4</x:v>
      </x:c>
      <x:c r="B11" s="19" t="n">
        <x:v>1</x:v>
      </x:c>
      <x:c r="C11" s="19" t="str">
        <x:v>BANDIT_KING</x:v>
      </x:c>
      <x:c r="D11" s="21" t="n">
        <x:f>ROUNDUP(ROUND('Inputs'!$B$41*'Inputs'!$B$44^(A11-1),6),0)</x:f>
        <x:v>12778</x:v>
      </x:c>
      <x:c r="E11" s="21" t="n">
        <x:f>ROUNDUP(ROUND('Inputs'!$B$45*'Inputs'!$B$37^(A11-1),6),0)</x:f>
        <x:v>30</x:v>
      </x:c>
      <x:c r="F11" s="21" t="n">
        <x:f>'Inputs'!$B$48</x:f>
        <x:v>30</x:v>
      </x:c>
      <x:c r="G11" s="22" t="n">
        <x:v>2.2</x:v>
      </x:c>
      <x:c r="H11" s="19" t="str">
        <x:v>면역</x:v>
      </x:c>
      <x:c r="I11" s="19" t="n">
        <x:v>0</x:v>
      </x:c>
    </x:row>
    <x:row r="12" ht="25" customHeight="1">
      <x:c r="A12" s="19" t="n">
        <x:v>4</x:v>
      </x:c>
      <x:c r="B12" s="19" t="n">
        <x:v>2</x:v>
      </x:c>
      <x:c r="C12" s="19" t="str">
        <x:v>GOBLIN_KING</x:v>
      </x:c>
      <x:c r="D12" s="21" t="n">
        <x:f>ROUNDUP(ROUND('Inputs'!$B$42*'Inputs'!$B$44^(A12-1),6),0)</x:f>
        <x:v>19167</x:v>
      </x:c>
      <x:c r="E12" s="21" t="n">
        <x:f>ROUNDUP(ROUND('Inputs'!$B$46*'Inputs'!$B$37^(A12-1),6),0)</x:f>
        <x:v>37</x:v>
      </x:c>
      <x:c r="F12" s="21" t="n">
        <x:f>'Inputs'!$B$48</x:f>
        <x:v>30</x:v>
      </x:c>
      <x:c r="G12" s="22" t="n">
        <x:v>2</x:v>
      </x:c>
      <x:c r="H12" s="19" t="str">
        <x:v>면역</x:v>
      </x:c>
      <x:c r="I12" s="19" t="n">
        <x:v>0</x:v>
      </x:c>
    </x:row>
    <x:row r="13" ht="25" customHeight="1">
      <x:c r="A13" s="19" t="n">
        <x:v>4</x:v>
      </x:c>
      <x:c r="B13" s="19" t="n">
        <x:v>3</x:v>
      </x:c>
      <x:c r="C13" s="19" t="str">
        <x:v>ORC_BRUTE</x:v>
      </x:c>
      <x:c r="D13" s="21" t="n">
        <x:f>ROUNDUP(ROUND('Inputs'!$B$43*'Inputs'!$B$44^(A13-1),6),0)</x:f>
        <x:v>25556</x:v>
      </x:c>
      <x:c r="E13" s="21" t="n">
        <x:f>ROUNDUP(ROUND('Inputs'!$B$47*'Inputs'!$B$37^(A13-1),6),0)</x:f>
        <x:v>45</x:v>
      </x:c>
      <x:c r="F13" s="21" t="n">
        <x:f>'Inputs'!$B$48</x:f>
        <x:v>30</x:v>
      </x:c>
      <x:c r="G13" s="22" t="n">
        <x:v>2.5</x:v>
      </x:c>
      <x:c r="H13" s="19" t="str">
        <x:v>면역</x:v>
      </x:c>
      <x:c r="I13" s="19" t="n">
        <x:v>0</x:v>
      </x:c>
    </x:row>
    <x:row r="14" ht="25" customHeight="1">
      <x:c r="A14" s="19" t="n">
        <x:v>5</x:v>
      </x:c>
      <x:c r="B14" s="19" t="n">
        <x:v>1</x:v>
      </x:c>
      <x:c r="C14" s="19" t="str">
        <x:v>BANDIT_KING</x:v>
      </x:c>
      <x:c r="D14" s="21" t="n">
        <x:f>ROUNDUP(ROUND('Inputs'!$B$41*'Inputs'!$B$44^(A14-1),6),0)</x:f>
        <x:v>28111</x:v>
      </x:c>
      <x:c r="E14" s="21" t="n">
        <x:f>ROUNDUP(ROUND('Inputs'!$B$45*'Inputs'!$B$37^(A14-1),6),0)</x:f>
        <x:v>40</x:v>
      </x:c>
      <x:c r="F14" s="21" t="n">
        <x:f>'Inputs'!$B$48</x:f>
        <x:v>30</x:v>
      </x:c>
      <x:c r="G14" s="22" t="n">
        <x:v>2.2</x:v>
      </x:c>
      <x:c r="H14" s="19" t="str">
        <x:v>면역</x:v>
      </x:c>
      <x:c r="I14" s="19" t="n">
        <x:v>0</x:v>
      </x:c>
    </x:row>
    <x:row r="15" ht="25" customHeight="1">
      <x:c r="A15" s="19" t="n">
        <x:v>5</x:v>
      </x:c>
      <x:c r="B15" s="19" t="n">
        <x:v>2</x:v>
      </x:c>
      <x:c r="C15" s="19" t="str">
        <x:v>GOBLIN_KING</x:v>
      </x:c>
      <x:c r="D15" s="21" t="n">
        <x:f>ROUNDUP(ROUND('Inputs'!$B$42*'Inputs'!$B$44^(A15-1),6),0)</x:f>
        <x:v>42167</x:v>
      </x:c>
      <x:c r="E15" s="21" t="n">
        <x:f>ROUNDUP(ROUND('Inputs'!$B$46*'Inputs'!$B$37^(A15-1),6),0)</x:f>
        <x:v>50</x:v>
      </x:c>
      <x:c r="F15" s="21" t="n">
        <x:f>'Inputs'!$B$48</x:f>
        <x:v>30</x:v>
      </x:c>
      <x:c r="G15" s="22" t="n">
        <x:v>2</x:v>
      </x:c>
      <x:c r="H15" s="19" t="str">
        <x:v>면역</x:v>
      </x:c>
      <x:c r="I15" s="19" t="n">
        <x:v>0</x:v>
      </x:c>
    </x:row>
    <x:row r="16" ht="25" customHeight="1">
      <x:c r="A16" s="19" t="n">
        <x:v>5</x:v>
      </x:c>
      <x:c r="B16" s="19" t="n">
        <x:v>3</x:v>
      </x:c>
      <x:c r="C16" s="19" t="str">
        <x:v>ORC_BRUTE</x:v>
      </x:c>
      <x:c r="D16" s="21" t="n">
        <x:f>ROUNDUP(ROUND('Inputs'!$B$43*'Inputs'!$B$44^(A16-1),6),0)</x:f>
        <x:v>56222</x:v>
      </x:c>
      <x:c r="E16" s="21" t="n">
        <x:f>ROUNDUP(ROUND('Inputs'!$B$47*'Inputs'!$B$37^(A16-1),6),0)</x:f>
        <x:v>60</x:v>
      </x:c>
      <x:c r="F16" s="21" t="n">
        <x:f>'Inputs'!$B$48</x:f>
        <x:v>30</x:v>
      </x:c>
      <x:c r="G16" s="22" t="n">
        <x:v>2.5</x:v>
      </x:c>
      <x:c r="H16" s="19" t="str">
        <x:v>면역</x:v>
      </x:c>
      <x:c r="I16" s="19" t="n">
        <x:v>0</x:v>
      </x:c>
    </x:row>
  </x:sheetData>
  <x:pageMargins left="0.7" right="0.7" top="0.75" bottom="0.75" header="0.3" footer="0.3"/>
  <x:tableParts count="1">
    <x:tablePart xmlns:r="http://schemas.openxmlformats.org/officeDocument/2006/relationships" r:id="R6beddd802ae249e4"/>
  </x:tableParts>
</x:worksheet>
</file>

<file path=xl/worksheets/sheet6.xml><?xml version="1.0" encoding="utf-8"?>
<x:worksheet xmlns:x="http://schemas.openxmlformats.org/spreadsheetml/2006/main">
  <x:sheetPr>
    <x:tabColor rgb="FF2D6176"/>
  </x:sheetPr>
  <x:sheetViews>
    <x:sheetView showGridLines="0" workbookViewId="0">
      <x:pane xSplit="1" ySplit="1" topLeftCell="B2" activePane="bottomRight" state="frozen"/>
    </x:sheetView>
  </x:sheetViews>
  <x:sheetFormatPr defaultRowHeight="15"/>
  <x:cols>
    <x:col min="1" max="1" width="18" hidden="0" customWidth="1"/>
    <x:col min="2" max="2" width="18" hidden="0" customWidth="1"/>
    <x:col min="3" max="3" width="18" hidden="0" customWidth="1"/>
    <x:col min="4" max="4" width="18" hidden="0" customWidth="1"/>
    <x:col min="5" max="5" width="18" hidden="0" customWidth="1"/>
    <x:col min="6" max="6" width="18" hidden="0" customWidth="1"/>
    <x:col min="7" max="7" width="18" hidden="0" customWidth="1"/>
  </x:cols>
  <x:sheetData>
    <x:row r="1" ht="43" customHeight="1">
      <x:c r="A1" s="18" t="str">
        <x:v>Difficulty</x:v>
      </x:c>
      <x:c r="B1" s="18" t="str">
        <x:v>ClearRuby</x:v>
      </x:c>
      <x:c r="C1" s="18" t="str">
        <x:v>FirstClearRuby</x:v>
      </x:c>
      <x:c r="D1" s="18" t="str">
        <x:v>FirstClearTotal</x:v>
      </x:c>
      <x:c r="E1" s="18" t="str">
        <x:v>SuccessRate</x:v>
      </x:c>
      <x:c r="F1" s="18" t="str">
        <x:v>FailureRuby</x:v>
      </x:c>
      <x:c r="G1" s="18" t="str">
        <x:v>MinimumDps</x:v>
      </x:c>
    </x:row>
    <x:row r="2" ht="25" customHeight="1">
      <x:c r="A2" s="19" t="n">
        <x:v>1</x:v>
      </x:c>
      <x:c r="B2" s="21" t="n">
        <x:f>ROUNDDOWN(ROUND('Inputs'!$B$49*'Inputs'!$B$50^(A2-1),6),0)</x:f>
        <x:v>50</x:v>
      </x:c>
      <x:c r="C2" s="21" t="n">
        <x:f>'Inputs'!$B$51*A2</x:f>
        <x:v>25</x:v>
      </x:c>
      <x:c r="D2" s="13" t="n">
        <x:f>B2+C2</x:f>
        <x:v>75</x:v>
      </x:c>
      <x:c r="E2" s="19" t="n">
        <x:v>1</x:v>
      </x:c>
      <x:c r="F2" s="19" t="n">
        <x:v>0</x:v>
      </x:c>
      <x:c r="G2" s="26" t="n">
        <x:f>'RubyBalance'!D4/'RubyBalance'!F4</x:f>
        <x:v>80</x:v>
      </x:c>
    </x:row>
    <x:row r="3" ht="25" customHeight="1">
      <x:c r="A3" s="19" t="n">
        <x:v>2</x:v>
      </x:c>
      <x:c r="B3" s="21" t="n">
        <x:f>ROUNDDOWN(ROUND('Inputs'!$B$49*'Inputs'!$B$50^(A3-1),6),0)</x:f>
        <x:v>67</x:v>
      </x:c>
      <x:c r="C3" s="21" t="n">
        <x:f>'Inputs'!$B$51*A3</x:f>
        <x:v>50</x:v>
      </x:c>
      <x:c r="D3" s="13" t="n">
        <x:f>B3+C3</x:f>
        <x:v>117</x:v>
      </x:c>
      <x:c r="E3" s="19" t="n">
        <x:v>1</x:v>
      </x:c>
      <x:c r="F3" s="19" t="n">
        <x:v>0</x:v>
      </x:c>
      <x:c r="G3" s="26" t="n">
        <x:f>'RubyBalance'!D7/'RubyBalance'!F7</x:f>
        <x:v>176</x:v>
      </x:c>
    </x:row>
    <x:row r="4" ht="25" customHeight="1">
      <x:c r="A4" s="19" t="n">
        <x:v>3</x:v>
      </x:c>
      <x:c r="B4" s="21" t="n">
        <x:f>ROUNDDOWN(ROUND('Inputs'!$B$49*'Inputs'!$B$50^(A4-1),6),0)</x:f>
        <x:v>91</x:v>
      </x:c>
      <x:c r="C4" s="21" t="n">
        <x:f>'Inputs'!$B$51*A4</x:f>
        <x:v>75</x:v>
      </x:c>
      <x:c r="D4" s="13" t="n">
        <x:f>B4+C4</x:f>
        <x:v>166</x:v>
      </x:c>
      <x:c r="E4" s="19" t="n">
        <x:v>1</x:v>
      </x:c>
      <x:c r="F4" s="19" t="n">
        <x:v>0</x:v>
      </x:c>
      <x:c r="G4" s="26" t="n">
        <x:f>'RubyBalance'!D10/'RubyBalance'!F10</x:f>
        <x:v>387.2</x:v>
      </x:c>
    </x:row>
    <x:row r="5" ht="25" customHeight="1">
      <x:c r="A5" s="19" t="n">
        <x:v>4</x:v>
      </x:c>
      <x:c r="B5" s="21" t="n">
        <x:f>ROUNDDOWN(ROUND('Inputs'!$B$49*'Inputs'!$B$50^(A5-1),6),0)</x:f>
        <x:v>123</x:v>
      </x:c>
      <x:c r="C5" s="21" t="n">
        <x:f>'Inputs'!$B$51*A5</x:f>
        <x:v>100</x:v>
      </x:c>
      <x:c r="D5" s="13" t="n">
        <x:f>B5+C5</x:f>
        <x:v>223</x:v>
      </x:c>
      <x:c r="E5" s="19" t="n">
        <x:v>1</x:v>
      </x:c>
      <x:c r="F5" s="19" t="n">
        <x:v>0</x:v>
      </x:c>
      <x:c r="G5" s="26" t="n">
        <x:f>'RubyBalance'!D13/'RubyBalance'!F13</x:f>
        <x:v>851.8666666666667</x:v>
      </x:c>
    </x:row>
    <x:row r="6" ht="25" customHeight="1">
      <x:c r="A6" s="19" t="n">
        <x:v>5</x:v>
      </x:c>
      <x:c r="B6" s="21" t="n">
        <x:f>ROUNDDOWN(ROUND('Inputs'!$B$49*'Inputs'!$B$50^(A6-1),6),0)</x:f>
        <x:v>166</x:v>
      </x:c>
      <x:c r="C6" s="21" t="n">
        <x:f>'Inputs'!$B$51*A6</x:f>
        <x:v>125</x:v>
      </x:c>
      <x:c r="D6" s="13" t="n">
        <x:f>B6+C6</x:f>
        <x:v>291</x:v>
      </x:c>
      <x:c r="E6" s="19" t="n">
        <x:v>1</x:v>
      </x:c>
      <x:c r="F6" s="19" t="n">
        <x:v>0</x:v>
      </x:c>
      <x:c r="G6" s="26" t="n">
        <x:f>'RubyBalance'!D16/'RubyBalance'!F16</x:f>
        <x:v>1874.0666666666666</x:v>
      </x:c>
    </x:row>
  </x:sheetData>
  <x:pageMargins left="0.7" right="0.7" top="0.75" bottom="0.75" header="0.3" footer="0.3"/>
  <x:tableParts count="1">
    <x:tablePart xmlns:r="http://schemas.openxmlformats.org/officeDocument/2006/relationships" r:id="Rf203429704b840ba"/>
  </x:tableParts>
</x:worksheet>
</file>

<file path=xl/worksheets/sheet7.xml><?xml version="1.0" encoding="utf-8"?>
<x:worksheet xmlns:x="http://schemas.openxmlformats.org/spreadsheetml/2006/main">
  <x:sheetPr>
    <x:tabColor rgb="FF2D6176"/>
  </x:sheetPr>
  <x:sheetViews>
    <x:sheetView showGridLines="0" workbookViewId="0">
      <x:pane xSplit="1" ySplit="1" topLeftCell="B2" activePane="bottomRight" state="frozen"/>
    </x:sheetView>
  </x:sheetViews>
  <x:sheetFormatPr defaultRowHeight="15"/>
  <x:cols>
    <x:col min="1" max="1" width="18" hidden="0" customWidth="1"/>
    <x:col min="2" max="2" width="18" hidden="0" customWidth="1"/>
    <x:col min="3" max="3" width="18" hidden="0" customWidth="1"/>
    <x:col min="4" max="4" width="18" hidden="0" customWidth="1"/>
    <x:col min="5" max="5" width="18" hidden="0" customWidth="1"/>
    <x:col min="6" max="6" width="18" hidden="0" customWidth="1"/>
    <x:col min="7" max="7" width="18" hidden="0" customWidth="1"/>
    <x:col min="8" max="8" width="18" hidden="0" customWidth="1"/>
    <x:col min="9" max="9" width="18" hidden="0" customWidth="1"/>
    <x:col min="10" max="10" width="52" hidden="0" customWidth="1"/>
    <x:col min="11" max="11" width="38" hidden="0" customWidth="1"/>
  </x:cols>
  <x:sheetData>
    <x:row r="1" ht="43" customHeight="1">
      <x:c r="A1" s="18" t="str">
        <x:v>Stage</x:v>
      </x:c>
      <x:c r="B1" s="18" t="str">
        <x:v>Wave</x:v>
      </x:c>
      <x:c r="C1" s="18" t="str">
        <x:v>AncientCoins</x:v>
      </x:c>
      <x:c r="D1" s="18" t="str">
        <x:v>ClassFragments</x:v>
      </x:c>
      <x:c r="E1" s="18" t="str">
        <x:v>UnlockSkillId</x:v>
      </x:c>
      <x:c r="F1" s="18" t="str">
        <x:v>FragmentSkillId</x:v>
      </x:c>
      <x:c r="G1" s="18" t="str">
        <x:v>SkillFragments</x:v>
      </x:c>
      <x:c r="H1" s="18" t="str">
        <x:v>WeaponJob</x:v>
      </x:c>
      <x:c r="I1" s="18" t="str">
        <x:v>WeaponATK</x:v>
      </x:c>
      <x:c r="J1" s="18" t="str">
        <x:v>Unlocks</x:v>
      </x:c>
      <x:c r="K1" s="18" t="str">
        <x:v>Notes</x:v>
      </x:c>
    </x:row>
    <x:row r="2" ht="25" customHeight="1">
      <x:c r="A2" s="19" t="n">
        <x:v>1</x:v>
      </x:c>
      <x:c r="B2" s="19" t="n">
        <x:v>1</x:v>
      </x:c>
      <x:c r="C2" s="19" t="n">
        <x:v>0</x:v>
      </x:c>
      <x:c r="D2" s="19" t="n">
        <x:v>0</x:v>
      </x:c>
      <x:c r="E2" s="27" t="n">
        <x:v>-1</x:v>
      </x:c>
      <x:c r="F2" s="27" t="n">
        <x:v>-1</x:v>
      </x:c>
      <x:c r="G2" s="19" t="n">
        <x:v>0</x:v>
      </x:c>
      <x:c r="H2" s="19" t="str">
        <x:v>Knight</x:v>
      </x:c>
      <x:c r="I2" s="19" t="n">
        <x:v>10</x:v>
      </x:c>
      <x:c r="J2" s="19" t="str"/>
      <x:c r="K2" s="19" t="str">
        <x:v>노말 ATK10 무기1</x:v>
      </x:c>
    </x:row>
    <x:row r="3" ht="25" customHeight="1">
      <x:c r="A3" s="19" t="n">
        <x:v>1</x:v>
      </x:c>
      <x:c r="B3" s="19" t="n">
        <x:v>3</x:v>
      </x:c>
      <x:c r="C3" s="19" t="n">
        <x:v>0</x:v>
      </x:c>
      <x:c r="D3" s="19" t="n">
        <x:v>0</x:v>
      </x:c>
      <x:c r="E3" s="27" t="n">
        <x:v>-1</x:v>
      </x:c>
      <x:c r="F3" s="27" t="n">
        <x:v>-1</x:v>
      </x:c>
      <x:c r="G3" s="19" t="n">
        <x:v>0</x:v>
      </x:c>
      <x:c r="H3" s="19" t="str">
        <x:v>Mage</x:v>
      </x:c>
      <x:c r="I3" s="19" t="n">
        <x:v>10</x:v>
      </x:c>
      <x:c r="J3" s="19" t="str"/>
      <x:c r="K3" s="19" t="str">
        <x:v>노말 ATK10 무기1 추가</x:v>
      </x:c>
    </x:row>
    <x:row r="4" ht="25" customHeight="1">
      <x:c r="A4" s="19" t="n">
        <x:v>1</x:v>
      </x:c>
      <x:c r="B4" s="19" t="n">
        <x:v>5</x:v>
      </x:c>
      <x:c r="C4" s="19" t="n">
        <x:v>0</x:v>
      </x:c>
      <x:c r="D4" s="19" t="n">
        <x:v>0</x:v>
      </x:c>
      <x:c r="E4" s="27" t="n">
        <x:v>0</x:v>
      </x:c>
      <x:c r="F4" s="27" t="n">
        <x:v>-1</x:v>
      </x:c>
      <x:c r="G4" s="19" t="n">
        <x:v>0</x:v>
      </x:c>
      <x:c r="H4" s="19" t="str"/>
      <x:c r="I4" s="19" t="n">
        <x:v>0</x:v>
      </x:c>
      <x:c r="J4" s="19" t="str">
        <x:v>MageTower</x:v>
      </x:c>
      <x:c r="K4" s="19" t="str">
        <x:v>마탑 자동/강화</x:v>
      </x:c>
    </x:row>
    <x:row r="5" ht="25" customHeight="1">
      <x:c r="A5" s="19" t="n">
        <x:v>1</x:v>
      </x:c>
      <x:c r="B5" s="19" t="n">
        <x:v>7</x:v>
      </x:c>
      <x:c r="C5" s="19" t="n">
        <x:v>0</x:v>
      </x:c>
      <x:c r="D5" s="19" t="n">
        <x:v>0</x:v>
      </x:c>
      <x:c r="E5" s="27" t="n">
        <x:v>-1</x:v>
      </x:c>
      <x:c r="F5" s="27" t="n">
        <x:v>-1</x:v>
      </x:c>
      <x:c r="G5" s="19" t="n">
        <x:v>0</x:v>
      </x:c>
      <x:c r="H5" s="19" t="str">
        <x:v>Mage</x:v>
      </x:c>
      <x:c r="I5" s="19" t="n">
        <x:v>15</x:v>
      </x:c>
      <x:c r="J5" s="19" t="str"/>
      <x:c r="K5" s="19" t="str">
        <x:v>노말 ATK15 무기1 추가</x:v>
      </x:c>
    </x:row>
    <x:row r="6" ht="25" customHeight="1">
      <x:c r="A6" s="19" t="n">
        <x:v>1</x:v>
      </x:c>
      <x:c r="B6" s="19" t="n">
        <x:v>11</x:v>
      </x:c>
      <x:c r="C6" s="19" t="n">
        <x:v>100</x:v>
      </x:c>
      <x:c r="D6" s="19" t="n">
        <x:v>40</x:v>
      </x:c>
      <x:c r="E6" s="27" t="n">
        <x:v>-1</x:v>
      </x:c>
      <x:c r="F6" s="27" t="n">
        <x:v>-1</x:v>
      </x:c>
      <x:c r="G6" s="19" t="n">
        <x:v>0</x:v>
      </x:c>
      <x:c r="H6" s="19" t="str"/>
      <x:c r="I6" s="19" t="n">
        <x:v>0</x:v>
      </x:c>
      <x:c r="J6" s="19" t="str">
        <x:v>Daily;Weekly;GoldDungeon;Reincarnation</x:v>
      </x:c>
      <x:c r="K6" s="19" t="str">
        <x:v>일일·주간·골드·환생</x:v>
      </x:c>
    </x:row>
    <x:row r="7" ht="25" customHeight="1">
      <x:c r="A7" s="19" t="n">
        <x:v>2</x:v>
      </x:c>
      <x:c r="B7" s="19" t="n">
        <x:v>3</x:v>
      </x:c>
      <x:c r="C7" s="19" t="n">
        <x:v>0</x:v>
      </x:c>
      <x:c r="D7" s="19" t="n">
        <x:v>0</x:v>
      </x:c>
      <x:c r="E7" s="27" t="n">
        <x:v>1</x:v>
      </x:c>
      <x:c r="F7" s="27" t="n">
        <x:v>-1</x:v>
      </x:c>
      <x:c r="G7" s="19" t="n">
        <x:v>0</x:v>
      </x:c>
      <x:c r="H7" s="19" t="str"/>
      <x:c r="I7" s="19" t="n">
        <x:v>0</x:v>
      </x:c>
      <x:c r="J7" s="19" t="str"/>
      <x:c r="K7" s="19" t="str">
        <x:v>서로 다른 스킬2종</x:v>
      </x:c>
    </x:row>
    <x:row r="8" ht="25" customHeight="1">
      <x:c r="A8" s="19" t="n">
        <x:v>2</x:v>
      </x:c>
      <x:c r="B8" s="19" t="n">
        <x:v>5</x:v>
      </x:c>
      <x:c r="C8" s="19" t="n">
        <x:v>100</x:v>
      </x:c>
      <x:c r="D8" s="19" t="n">
        <x:v>0</x:v>
      </x:c>
      <x:c r="E8" s="27" t="n">
        <x:v>-1</x:v>
      </x:c>
      <x:c r="F8" s="27" t="n">
        <x:v>-1</x:v>
      </x:c>
      <x:c r="G8" s="19" t="n">
        <x:v>0</x:v>
      </x:c>
      <x:c r="H8" s="19" t="str"/>
      <x:c r="I8" s="19" t="n">
        <x:v>0</x:v>
      </x:c>
      <x:c r="J8" s="19" t="str">
        <x:v>RubyDungeon;RubyGrowth</x:v>
      </x:c>
      <x:c r="K8" s="19" t="str">
        <x:v>루비 던전·강화</x:v>
      </x:c>
    </x:row>
    <x:row r="9" ht="25" customHeight="1">
      <x:c r="A9" s="19" t="n">
        <x:v>2</x:v>
      </x:c>
      <x:c r="B9" s="19" t="n">
        <x:v>11</x:v>
      </x:c>
      <x:c r="C9" s="19" t="n">
        <x:v>200</x:v>
      </x:c>
      <x:c r="D9" s="19" t="n">
        <x:v>0</x:v>
      </x:c>
      <x:c r="E9" s="27" t="n">
        <x:v>-1</x:v>
      </x:c>
      <x:c r="F9" s="27" t="n">
        <x:v>0</x:v>
      </x:c>
      <x:c r="G9" s="19" t="n">
        <x:v>1</x:v>
      </x:c>
      <x:c r="H9" s="19" t="str"/>
      <x:c r="I9" s="19" t="n">
        <x:v>0</x:v>
      </x:c>
      <x:c r="J9" s="19" t="str"/>
      <x:c r="K9" s="19" t="str">
        <x:v>Lightning 파편1, 첫각성</x:v>
      </x:c>
    </x:row>
    <x:row r="10" ht="25" customHeight="1">
      <x:c r="A10" s="19" t="n">
        <x:v>3</x:v>
      </x:c>
      <x:c r="B10" s="19" t="n">
        <x:v>3</x:v>
      </x:c>
      <x:c r="C10" s="19" t="n">
        <x:v>0</x:v>
      </x:c>
      <x:c r="D10" s="19" t="n">
        <x:v>0</x:v>
      </x:c>
      <x:c r="E10" s="27" t="n">
        <x:v>2</x:v>
      </x:c>
      <x:c r="F10" s="27" t="n">
        <x:v>-1</x:v>
      </x:c>
      <x:c r="G10" s="19" t="n">
        <x:v>0</x:v>
      </x:c>
      <x:c r="H10" s="19" t="str"/>
      <x:c r="I10" s="19" t="n">
        <x:v>0</x:v>
      </x:c>
      <x:c r="J10" s="19" t="str"/>
      <x:c r="K10" s="19" t="str">
        <x:v>기본 3종 확보</x:v>
      </x:c>
    </x:row>
    <x:row r="11" ht="25" customHeight="1">
      <x:c r="A11" s="19" t="n">
        <x:v>3</x:v>
      </x:c>
      <x:c r="B11" s="19" t="n">
        <x:v>11</x:v>
      </x:c>
      <x:c r="C11" s="19" t="n">
        <x:v>300</x:v>
      </x:c>
      <x:c r="D11" s="19" t="n">
        <x:v>40</x:v>
      </x:c>
      <x:c r="E11" s="27" t="n">
        <x:v>-1</x:v>
      </x:c>
      <x:c r="F11" s="27" t="n">
        <x:v>-1</x:v>
      </x:c>
      <x:c r="G11" s="19" t="n">
        <x:v>0</x:v>
      </x:c>
      <x:c r="H11" s="19" t="str"/>
      <x:c r="I11" s="19" t="n">
        <x:v>0</x:v>
      </x:c>
      <x:c r="J11" s="19" t="str">
        <x:v>MainComplete</x:v>
      </x:c>
      <x:c r="K11" s="19" t="str">
        <x:v>메인 3스테이지 완료</x:v>
      </x:c>
    </x:row>
  </x:sheetData>
  <x:pageMargins left="0.7" right="0.7" top="0.75" bottom="0.75" header="0.3" footer="0.3"/>
  <x:tableParts count="1">
    <x:tablePart xmlns:r="http://schemas.openxmlformats.org/officeDocument/2006/relationships" r:id="R68d903155b794ea1"/>
  </x:tableParts>
</x:worksheet>
</file>

<file path=xl/worksheets/sheet8.xml><?xml version="1.0" encoding="utf-8"?>
<x:worksheet xmlns:x="http://schemas.openxmlformats.org/spreadsheetml/2006/main">
  <x:sheetPr>
    <x:tabColor rgb="FF2D6176"/>
  </x:sheetPr>
  <x:sheetViews>
    <x:sheetView showGridLines="0" workbookViewId="0">
      <x:pane xSplit="1" ySplit="1" topLeftCell="B2" activePane="bottomRight" state="frozen"/>
    </x:sheetView>
  </x:sheetViews>
  <x:sheetFormatPr defaultRowHeight="15"/>
  <x:cols>
    <x:col min="1" max="1" width="30" hidden="0" customWidth="1"/>
    <x:col min="2" max="2" width="18" hidden="0" customWidth="1"/>
    <x:col min="3" max="3" width="25" hidden="0" customWidth="1"/>
    <x:col min="4" max="4" width="18" hidden="0" customWidth="1"/>
    <x:col min="5" max="5" width="18" hidden="0" customWidth="1"/>
    <x:col min="6" max="6" width="18" hidden="0" customWidth="1"/>
    <x:col min="7" max="7" width="90" hidden="0" customWidth="1"/>
    <x:col min="8" max="8" width="18" hidden="0" customWidth="1"/>
    <x:col min="9" max="9" width="18" hidden="0" customWidth="1"/>
    <x:col min="10" max="10" width="70" hidden="0" customWidth="1"/>
    <x:col min="11" max="11" width="23" hidden="0" customWidth="1"/>
  </x:cols>
  <x:sheetData>
    <x:row r="1" ht="43" customHeight="1">
      <x:c r="A1" s="18" t="str">
        <x:v>MonsterName</x:v>
      </x:c>
      <x:c r="B1" s="28" t="str">
        <x:v>MonsterId</x:v>
      </x:c>
      <x:c r="C1" s="18" t="str">
        <x:v>DisplayName</x:v>
      </x:c>
      <x:c r="D1" s="18" t="str">
        <x:v>Content</x:v>
      </x:c>
      <x:c r="E1" s="18" t="str">
        <x:v>Role</x:v>
      </x:c>
      <x:c r="F1" s="18" t="str">
        <x:v>SizeClass</x:v>
      </x:c>
      <x:c r="G1" s="18" t="str">
        <x:v>PrefabPath</x:v>
      </x:c>
      <x:c r="H1" s="18" t="str">
        <x:v>MoveSpeed</x:v>
      </x:c>
      <x:c r="I1" s="18" t="str">
        <x:v>AttackIntervalSec</x:v>
      </x:c>
      <x:c r="J1" s="18" t="str">
        <x:v>Notes</x:v>
      </x:c>
      <x:c r="K1" t="str">
        <x:v>AttackMultiplier</x:v>
      </x:c>
    </x:row>
    <x:row r="2" ht="25" customHeight="1">
      <x:c r="A2" s="19" t="str">
        <x:v>BAT</x:v>
      </x:c>
      <x:c r="B2" s="19" t="n">
        <x:v>4294967552</x:v>
      </x:c>
      <x:c r="C2" s="19" t="str">
        <x:v>Bat</x:v>
      </x:c>
      <x:c r="D2" s="19" t="str">
        <x:v>Reserve</x:v>
      </x:c>
      <x:c r="E2" s="19" t="str">
        <x:v>Reserve</x:v>
      </x:c>
      <x:c r="F2" s="19" t="str">
        <x:v>Small</x:v>
      </x:c>
      <x:c r="G2" s="19" t="str">
        <x:v>Assets/_Project/Prefabs/Monster/Orcs/Bat.prefab</x:v>
      </x:c>
      <x:c r="H2" s="22" t="n">
        <x:v>1.15</x:v>
      </x:c>
      <x:c r="I2" s="32" t="n">
        <x:v>1.4</x:v>
      </x:c>
      <x:c r="J2" s="19" t="str">
        <x:v>Attack source absent; visual fallback Walk (content-specific behavior remains future work); Hurt source absent; visual fallback Idle (content-specific behavior remains future work); Dead source absent; visual fallback Transform (content-specific behavior remains future work)</x:v>
      </x:c>
      <x:c r="K2" s="31" t="n">
        <x:v>0.8</x:v>
      </x:c>
    </x:row>
    <x:row r="3" ht="25" customHeight="1">
      <x:c r="A3" s="19" t="str">
        <x:v>BUGBEAR</x:v>
      </x:c>
      <x:c r="B3" s="19" t="n">
        <x:v>4294967553</x:v>
      </x:c>
      <x:c r="C3" s="19" t="str">
        <x:v>Bugbear</x:v>
      </x:c>
      <x:c r="D3" s="19" t="str">
        <x:v>Reserve</x:v>
      </x:c>
      <x:c r="E3" s="19" t="str">
        <x:v>Reserve</x:v>
      </x:c>
      <x:c r="F3" s="19" t="str">
        <x:v>Large</x:v>
      </x:c>
      <x:c r="G3" s="19" t="str">
        <x:v>Assets/_Project/Prefabs/Monster/Goblins/Bugbear.prefab</x:v>
      </x:c>
      <x:c r="H3" s="22" t="n">
        <x:v>0.8</x:v>
      </x:c>
      <x:c r="I3" s="32" t="n">
        <x:v>2.1</x:v>
      </x:c>
      <x:c r="J3" s="19" t="str"/>
      <x:c r="K3" s="31" t="n">
        <x:v>1.3</x:v>
      </x:c>
    </x:row>
    <x:row r="4" ht="25" customHeight="1">
      <x:c r="A4" s="19" t="str">
        <x:v>ELDER_DRAGON</x:v>
      </x:c>
      <x:c r="B4" s="19" t="n">
        <x:v>4294967554</x:v>
      </x:c>
      <x:c r="C4" s="19" t="str">
        <x:v>ElderDragon</x:v>
      </x:c>
      <x:c r="D4" s="19" t="str">
        <x:v>Reserve</x:v>
      </x:c>
      <x:c r="E4" s="19" t="str">
        <x:v>Reserve</x:v>
      </x:c>
      <x:c r="F4" s="19" t="str">
        <x:v>Boss</x:v>
      </x:c>
      <x:c r="G4" s="19" t="str">
        <x:v>Assets/_Project/Prefabs/Monster/Dragons/ElderDragon.prefab</x:v>
      </x:c>
      <x:c r="H4" s="22" t="n">
        <x:v>0.65</x:v>
      </x:c>
      <x:c r="I4" s="32" t="n">
        <x:v>2.5</x:v>
      </x:c>
      <x:c r="J4" s="19" t="str"/>
      <x:c r="K4" s="31" t="n">
        <x:v>1.5</x:v>
      </x:c>
    </x:row>
    <x:row r="5" ht="25" customHeight="1">
      <x:c r="A5" s="19" t="str">
        <x:v>ELDER_DRAGON_BLUE</x:v>
      </x:c>
      <x:c r="B5" s="19" t="n">
        <x:v>4294967555</x:v>
      </x:c>
      <x:c r="C5" s="19" t="str">
        <x:v>ElderDragonBlue</x:v>
      </x:c>
      <x:c r="D5" s="19" t="str">
        <x:v>Reserve</x:v>
      </x:c>
      <x:c r="E5" s="19" t="str">
        <x:v>Reserve</x:v>
      </x:c>
      <x:c r="F5" s="19" t="str">
        <x:v>Boss</x:v>
      </x:c>
      <x:c r="G5" s="19" t="str">
        <x:v>Assets/_Project/Prefabs/Monster/Dragons/ElderDragonBlue.prefab</x:v>
      </x:c>
      <x:c r="H5" s="22" t="n">
        <x:v>0.65</x:v>
      </x:c>
      <x:c r="I5" s="32" t="n">
        <x:v>2.5</x:v>
      </x:c>
      <x:c r="J5" s="19" t="str"/>
      <x:c r="K5" s="31" t="n">
        <x:v>1.5</x:v>
      </x:c>
    </x:row>
    <x:row r="6" ht="25" customHeight="1">
      <x:c r="A6" s="19" t="str">
        <x:v>ELDER_DRAGON_GRAY</x:v>
      </x:c>
      <x:c r="B6" s="19" t="n">
        <x:v>4294967556</x:v>
      </x:c>
      <x:c r="C6" s="19" t="str">
        <x:v>ElderDragonGray</x:v>
      </x:c>
      <x:c r="D6" s="19" t="str">
        <x:v>Reserve</x:v>
      </x:c>
      <x:c r="E6" s="19" t="str">
        <x:v>Reserve</x:v>
      </x:c>
      <x:c r="F6" s="19" t="str">
        <x:v>Boss</x:v>
      </x:c>
      <x:c r="G6" s="19" t="str">
        <x:v>Assets/_Project/Prefabs/Monster/Dragons/ElderDragonGray.prefab</x:v>
      </x:c>
      <x:c r="H6" s="22" t="n">
        <x:v>0.65</x:v>
      </x:c>
      <x:c r="I6" s="32" t="n">
        <x:v>2.5</x:v>
      </x:c>
      <x:c r="J6" s="19" t="str"/>
      <x:c r="K6" s="31" t="n">
        <x:v>1.5</x:v>
      </x:c>
    </x:row>
    <x:row r="7" ht="25" customHeight="1">
      <x:c r="A7" s="19" t="str">
        <x:v>ELDER_DRAGON_GREEN</x:v>
      </x:c>
      <x:c r="B7" s="19" t="n">
        <x:v>4294967557</x:v>
      </x:c>
      <x:c r="C7" s="19" t="str">
        <x:v>ElderDragonGreen</x:v>
      </x:c>
      <x:c r="D7" s="19" t="str">
        <x:v>Reserve</x:v>
      </x:c>
      <x:c r="E7" s="19" t="str">
        <x:v>Reserve</x:v>
      </x:c>
      <x:c r="F7" s="19" t="str">
        <x:v>Boss</x:v>
      </x:c>
      <x:c r="G7" s="19" t="str">
        <x:v>Assets/_Project/Prefabs/Monster/Dragons/ElderDragonGreen.prefab</x:v>
      </x:c>
      <x:c r="H7" s="22" t="n">
        <x:v>0.65</x:v>
      </x:c>
      <x:c r="I7" s="32" t="n">
        <x:v>2.5</x:v>
      </x:c>
      <x:c r="J7" s="19" t="str"/>
      <x:c r="K7" s="31" t="n">
        <x:v>1.5</x:v>
      </x:c>
    </x:row>
    <x:row r="8" ht="25" customHeight="1">
      <x:c r="A8" s="19" t="str">
        <x:v>ELDER_DRAGON_ORANGE</x:v>
      </x:c>
      <x:c r="B8" s="19" t="n">
        <x:v>4294967558</x:v>
      </x:c>
      <x:c r="C8" s="19" t="str">
        <x:v>ElderDragonOrange</x:v>
      </x:c>
      <x:c r="D8" s="19" t="str">
        <x:v>Reserve</x:v>
      </x:c>
      <x:c r="E8" s="19" t="str">
        <x:v>Reserve</x:v>
      </x:c>
      <x:c r="F8" s="19" t="str">
        <x:v>Boss</x:v>
      </x:c>
      <x:c r="G8" s="19" t="str">
        <x:v>Assets/_Project/Prefabs/Monster/Dragons/ElderDragonOrange.prefab</x:v>
      </x:c>
      <x:c r="H8" s="22" t="n">
        <x:v>0.65</x:v>
      </x:c>
      <x:c r="I8" s="32" t="n">
        <x:v>2.5</x:v>
      </x:c>
      <x:c r="J8" s="19" t="str"/>
      <x:c r="K8" s="31" t="n">
        <x:v>1.5</x:v>
      </x:c>
    </x:row>
    <x:row r="9" ht="25" customHeight="1">
      <x:c r="A9" s="19" t="str">
        <x:v>ELDER_DRAGON_PINK</x:v>
      </x:c>
      <x:c r="B9" s="19" t="n">
        <x:v>4294967559</x:v>
      </x:c>
      <x:c r="C9" s="19" t="str">
        <x:v>ElderDragonPink</x:v>
      </x:c>
      <x:c r="D9" s="19" t="str">
        <x:v>Reserve</x:v>
      </x:c>
      <x:c r="E9" s="19" t="str">
        <x:v>Reserve</x:v>
      </x:c>
      <x:c r="F9" s="19" t="str">
        <x:v>Boss</x:v>
      </x:c>
      <x:c r="G9" s="19" t="str">
        <x:v>Assets/_Project/Prefabs/Monster/Dragons/ElderDragonPink.prefab</x:v>
      </x:c>
      <x:c r="H9" s="22" t="n">
        <x:v>0.65</x:v>
      </x:c>
      <x:c r="I9" s="32" t="n">
        <x:v>2.5</x:v>
      </x:c>
      <x:c r="J9" s="19" t="str"/>
      <x:c r="K9" s="31" t="n">
        <x:v>1.5</x:v>
      </x:c>
    </x:row>
    <x:row r="10" ht="25" customHeight="1">
      <x:c r="A10" s="19" t="str">
        <x:v>ELDER_DRAGON_PURPLE</x:v>
      </x:c>
      <x:c r="B10" s="19" t="n">
        <x:v>4294967560</x:v>
      </x:c>
      <x:c r="C10" s="19" t="str">
        <x:v>ElderDragonPurple</x:v>
      </x:c>
      <x:c r="D10" s="19" t="str">
        <x:v>Reserve</x:v>
      </x:c>
      <x:c r="E10" s="19" t="str">
        <x:v>Reserve</x:v>
      </x:c>
      <x:c r="F10" s="19" t="str">
        <x:v>Boss</x:v>
      </x:c>
      <x:c r="G10" s="19" t="str">
        <x:v>Assets/_Project/Prefabs/Monster/Dragons/ElderDragonPurple.prefab</x:v>
      </x:c>
      <x:c r="H10" s="22" t="n">
        <x:v>0.65</x:v>
      </x:c>
      <x:c r="I10" s="32" t="n">
        <x:v>2.5</x:v>
      </x:c>
      <x:c r="J10" s="19" t="str"/>
      <x:c r="K10" s="31" t="n">
        <x:v>1.5</x:v>
      </x:c>
    </x:row>
    <x:row r="11" ht="25" customHeight="1">
      <x:c r="A11" s="19" t="str">
        <x:v>ELDER_DRAGON_RED</x:v>
      </x:c>
      <x:c r="B11" s="19" t="n">
        <x:v>4294967561</x:v>
      </x:c>
      <x:c r="C11" s="19" t="str">
        <x:v>ElderDragonRed</x:v>
      </x:c>
      <x:c r="D11" s="19" t="str">
        <x:v>Reserve</x:v>
      </x:c>
      <x:c r="E11" s="19" t="str">
        <x:v>Reserve</x:v>
      </x:c>
      <x:c r="F11" s="19" t="str">
        <x:v>Boss</x:v>
      </x:c>
      <x:c r="G11" s="19" t="str">
        <x:v>Assets/_Project/Prefabs/Monster/Dragons/ElderDragonRed.prefab</x:v>
      </x:c>
      <x:c r="H11" s="22" t="n">
        <x:v>0.65</x:v>
      </x:c>
      <x:c r="I11" s="32" t="n">
        <x:v>2.5</x:v>
      </x:c>
      <x:c r="J11" s="19" t="str"/>
      <x:c r="K11" s="31" t="n">
        <x:v>1.5</x:v>
      </x:c>
    </x:row>
    <x:row r="12" ht="25" customHeight="1">
      <x:c r="A12" s="19" t="str">
        <x:v>ELDER_DRAGON_YELLOW</x:v>
      </x:c>
      <x:c r="B12" s="19" t="n">
        <x:v>4294967562</x:v>
      </x:c>
      <x:c r="C12" s="19" t="str">
        <x:v>ElderDragonYellow</x:v>
      </x:c>
      <x:c r="D12" s="19" t="str">
        <x:v>Reserve</x:v>
      </x:c>
      <x:c r="E12" s="19" t="str">
        <x:v>Reserve</x:v>
      </x:c>
      <x:c r="F12" s="19" t="str">
        <x:v>Boss</x:v>
      </x:c>
      <x:c r="G12" s="19" t="str">
        <x:v>Assets/_Project/Prefabs/Monster/Dragons/ElderDragonYellow.prefab</x:v>
      </x:c>
      <x:c r="H12" s="22" t="n">
        <x:v>0.65</x:v>
      </x:c>
      <x:c r="I12" s="32" t="n">
        <x:v>2.5</x:v>
      </x:c>
      <x:c r="J12" s="19" t="str"/>
      <x:c r="K12" s="31" t="n">
        <x:v>1.5</x:v>
      </x:c>
    </x:row>
    <x:row r="13" ht="25" customHeight="1">
      <x:c r="A13" s="19" t="str">
        <x:v>FROG</x:v>
      </x:c>
      <x:c r="B13" s="19" t="n">
        <x:v>4294967563</x:v>
      </x:c>
      <x:c r="C13" s="19" t="str">
        <x:v>Frog</x:v>
      </x:c>
      <x:c r="D13" s="19" t="str">
        <x:v>Reserve</x:v>
      </x:c>
      <x:c r="E13" s="19" t="str">
        <x:v>Reserve</x:v>
      </x:c>
      <x:c r="F13" s="19" t="str">
        <x:v>Small</x:v>
      </x:c>
      <x:c r="G13" s="19" t="str">
        <x:v>Assets/_Project/Prefabs/Monster/Orcs/Frog.prefab</x:v>
      </x:c>
      <x:c r="H13" s="22" t="n">
        <x:v>1.15</x:v>
      </x:c>
      <x:c r="I13" s="32" t="n">
        <x:v>1.4</x:v>
      </x:c>
      <x:c r="J13" s="19" t="str">
        <x:v>Attack source absent; visual fallback Walk (content-specific behavior remains future work); Hurt source absent; visual fallback Idle (content-specific behavior remains future work); Dead source absent; visual fallback Transform (content-specific behavior remains future work)</x:v>
      </x:c>
      <x:c r="K13" s="31" t="n">
        <x:v>0.8</x:v>
      </x:c>
    </x:row>
    <x:row r="14" ht="25" customHeight="1">
      <x:c r="A14" s="19" t="str">
        <x:v>GOBLIN</x:v>
      </x:c>
      <x:c r="B14" s="19" t="n">
        <x:v>4294967564</x:v>
      </x:c>
      <x:c r="C14" s="19" t="str">
        <x:v>고블린 전사</x:v>
      </x:c>
      <x:c r="D14" s="19" t="str">
        <x:v>Main2</x:v>
      </x:c>
      <x:c r="E14" s="19" t="str">
        <x:v>Melee</x:v>
      </x:c>
      <x:c r="F14" s="19" t="str">
        <x:v>Small</x:v>
      </x:c>
      <x:c r="G14" s="19" t="str">
        <x:v>Assets/_Project/Prefabs/Monster/Goblins/Goblin.prefab</x:v>
      </x:c>
      <x:c r="H14" s="22" t="n">
        <x:v>1.15</x:v>
      </x:c>
      <x:c r="I14" s="32" t="n">
        <x:v>1.35</x:v>
      </x:c>
      <x:c r="J14" s="19" t="str"/>
      <x:c r="K14" s="31" t="n">
        <x:v>0.8</x:v>
      </x:c>
    </x:row>
    <x:row r="15" ht="25" customHeight="1">
      <x:c r="A15" s="19" t="str">
        <x:v>GOBLIN_ASSASSIN</x:v>
      </x:c>
      <x:c r="B15" s="19" t="n">
        <x:v>4294967565</x:v>
      </x:c>
      <x:c r="C15" s="19" t="str">
        <x:v>고블린 암살자</x:v>
      </x:c>
      <x:c r="D15" s="19" t="str">
        <x:v>Main2</x:v>
      </x:c>
      <x:c r="E15" s="19" t="str">
        <x:v>Melee</x:v>
      </x:c>
      <x:c r="F15" s="19" t="str">
        <x:v>Small</x:v>
      </x:c>
      <x:c r="G15" s="19" t="str">
        <x:v>Assets/_Project/Prefabs/Monster/Goblins/GoblinAssassin.prefab</x:v>
      </x:c>
      <x:c r="H15" s="22" t="n">
        <x:v>1.3</x:v>
      </x:c>
      <x:c r="I15" s="32" t="n">
        <x:v>1.2</x:v>
      </x:c>
      <x:c r="J15" s="19" t="str"/>
      <x:c r="K15" s="31" t="n">
        <x:v>0.7</x:v>
      </x:c>
    </x:row>
    <x:row r="16" ht="25" customHeight="1">
      <x:c r="A16" s="19" t="str">
        <x:v>GOBLIN_BOAR_RIDER</x:v>
      </x:c>
      <x:c r="B16" s="19" t="n">
        <x:v>4294967566</x:v>
      </x:c>
      <x:c r="C16" s="19" t="str">
        <x:v>GoblinBoarRider</x:v>
      </x:c>
      <x:c r="D16" s="19" t="str">
        <x:v>Reserve</x:v>
      </x:c>
      <x:c r="E16" s="19" t="str">
        <x:v>Reserve</x:v>
      </x:c>
      <x:c r="F16" s="19" t="str">
        <x:v>Medium</x:v>
      </x:c>
      <x:c r="G16" s="19" t="str">
        <x:v>Assets/_Project/Prefabs/Monster/Goblins/GoblinBoarRider.prefab</x:v>
      </x:c>
      <x:c r="H16" s="22" t="n">
        <x:v>1</x:v>
      </x:c>
      <x:c r="I16" s="32" t="n">
        <x:v>1.75</x:v>
      </x:c>
      <x:c r="J16" s="19" t="str"/>
      <x:c r="K16" s="31" t="n">
        <x:v>1.1</x:v>
      </x:c>
    </x:row>
    <x:row r="17" ht="25" customHeight="1">
      <x:c r="A17" s="19" t="str">
        <x:v>GOBLIN_BOMBER</x:v>
      </x:c>
      <x:c r="B17" s="19" t="n">
        <x:v>4294967567</x:v>
      </x:c>
      <x:c r="C17" s="19" t="str">
        <x:v>고블린 폭탄병</x:v>
      </x:c>
      <x:c r="D17" s="19" t="str">
        <x:v>Main2</x:v>
      </x:c>
      <x:c r="E17" s="19" t="str">
        <x:v>Ranged</x:v>
      </x:c>
      <x:c r="F17" s="19" t="str">
        <x:v>Small</x:v>
      </x:c>
      <x:c r="G17" s="19" t="str">
        <x:v>Assets/_Project/Prefabs/Monster/Goblins/GoblinBomber.prefab</x:v>
      </x:c>
      <x:c r="H17" s="22" t="n">
        <x:v>0.95</x:v>
      </x:c>
      <x:c r="I17" s="32" t="n">
        <x:v>2</x:v>
      </x:c>
      <x:c r="J17" s="19" t="str"/>
      <x:c r="K17" s="31" t="n">
        <x:v>1.2</x:v>
      </x:c>
    </x:row>
    <x:row r="18" ht="25" customHeight="1">
      <x:c r="A18" s="19" t="str">
        <x:v>GOBLIN_GUNNER</x:v>
      </x:c>
      <x:c r="B18" s="19" t="n">
        <x:v>4294967568</x:v>
      </x:c>
      <x:c r="C18" s="19" t="str">
        <x:v>GoblinGunner</x:v>
      </x:c>
      <x:c r="D18" s="19" t="str">
        <x:v>Reserve</x:v>
      </x:c>
      <x:c r="E18" s="19" t="str">
        <x:v>Reserve</x:v>
      </x:c>
      <x:c r="F18" s="19" t="str">
        <x:v>Small</x:v>
      </x:c>
      <x:c r="G18" s="19" t="str">
        <x:v>Assets/_Project/Prefabs/Monster/Goblins/GoblinGunner.prefab</x:v>
      </x:c>
      <x:c r="H18" s="22" t="n">
        <x:v>1.15</x:v>
      </x:c>
      <x:c r="I18" s="32" t="n">
        <x:v>1.4</x:v>
      </x:c>
      <x:c r="J18" s="19" t="str"/>
      <x:c r="K18" s="31" t="n">
        <x:v>0.8</x:v>
      </x:c>
    </x:row>
    <x:row r="19" ht="25" customHeight="1">
      <x:c r="A19" s="19" t="str">
        <x:v>GOBLIN_KAMIKAZE</x:v>
      </x:c>
      <x:c r="B19" s="19" t="n">
        <x:v>4294967569</x:v>
      </x:c>
      <x:c r="C19" s="19" t="str">
        <x:v>GoblinKamikaze</x:v>
      </x:c>
      <x:c r="D19" s="19" t="str">
        <x:v>Reserve</x:v>
      </x:c>
      <x:c r="E19" s="19" t="str">
        <x:v>Reserve</x:v>
      </x:c>
      <x:c r="F19" s="19" t="str">
        <x:v>Small</x:v>
      </x:c>
      <x:c r="G19" s="19" t="str">
        <x:v>Assets/_Project/Prefabs/Monster/Goblins/GoblinKamikaze.prefab</x:v>
      </x:c>
      <x:c r="H19" s="22" t="n">
        <x:v>1.15</x:v>
      </x:c>
      <x:c r="I19" s="32" t="n">
        <x:v>1.4</x:v>
      </x:c>
      <x:c r="J19" s="19" t="str"/>
      <x:c r="K19" s="31" t="n">
        <x:v>0.8</x:v>
      </x:c>
    </x:row>
    <x:row r="20" ht="25" customHeight="1">
      <x:c r="A20" s="19" t="str">
        <x:v>GOBLIN_KING</x:v>
      </x:c>
      <x:c r="B20" s="19" t="n">
        <x:v>4294967570</x:v>
      </x:c>
      <x:c r="C20" s="19" t="str">
        <x:v>고블린 왕</x:v>
      </x:c>
      <x:c r="D20" s="19" t="str">
        <x:v>Main2</x:v>
      </x:c>
      <x:c r="E20" s="19" t="str">
        <x:v>Boss</x:v>
      </x:c>
      <x:c r="F20" s="19" t="str">
        <x:v>Boss</x:v>
      </x:c>
      <x:c r="G20" s="19" t="str">
        <x:v>Assets/_Project/Prefabs/Monster/Goblins/GoblinKing.prefab</x:v>
      </x:c>
      <x:c r="H20" s="22" t="n">
        <x:v>0.8</x:v>
      </x:c>
      <x:c r="I20" s="32" t="n">
        <x:v>2</x:v>
      </x:c>
      <x:c r="J20" s="19" t="str"/>
      <x:c r="K20" s="31" t="n">
        <x:v>1.25</x:v>
      </x:c>
    </x:row>
    <x:row r="21" ht="25" customHeight="1">
      <x:c r="A21" s="19" t="str">
        <x:v>GOBLIN_MECH_RIDER</x:v>
      </x:c>
      <x:c r="B21" s="19" t="n">
        <x:v>4294967571</x:v>
      </x:c>
      <x:c r="C21" s="19" t="str">
        <x:v>GoblinMechRider</x:v>
      </x:c>
      <x:c r="D21" s="19" t="str">
        <x:v>Reserve</x:v>
      </x:c>
      <x:c r="E21" s="19" t="str">
        <x:v>Reserve</x:v>
      </x:c>
      <x:c r="F21" s="19" t="str">
        <x:v>Large</x:v>
      </x:c>
      <x:c r="G21" s="19" t="str">
        <x:v>Assets/_Project/Prefabs/Monster/Goblins/GoblinMechRider.prefab</x:v>
      </x:c>
      <x:c r="H21" s="22" t="n">
        <x:v>0.8</x:v>
      </x:c>
      <x:c r="I21" s="32" t="n">
        <x:v>2.1</x:v>
      </x:c>
      <x:c r="J21" s="19" t="str"/>
      <x:c r="K21" s="31" t="n">
        <x:v>1.3</x:v>
      </x:c>
    </x:row>
    <x:row r="22" ht="25" customHeight="1">
      <x:c r="A22" s="19" t="str">
        <x:v>GOBLIN_SHAMAN</x:v>
      </x:c>
      <x:c r="B22" s="19" t="n">
        <x:v>4294967572</x:v>
      </x:c>
      <x:c r="C22" s="19" t="str">
        <x:v>고블린 주술사</x:v>
      </x:c>
      <x:c r="D22" s="19" t="str">
        <x:v>Main2</x:v>
      </x:c>
      <x:c r="E22" s="19" t="str">
        <x:v>Ranged</x:v>
      </x:c>
      <x:c r="F22" s="19" t="str">
        <x:v>Small</x:v>
      </x:c>
      <x:c r="G22" s="19" t="str">
        <x:v>Assets/_Project/Prefabs/Monster/Goblins/GoblinShaman.prefab</x:v>
      </x:c>
      <x:c r="H22" s="22" t="n">
        <x:v>0.9</x:v>
      </x:c>
      <x:c r="I22" s="32" t="n">
        <x:v>1.85</x:v>
      </x:c>
      <x:c r="J22" s="19" t="str"/>
      <x:c r="K22" s="31" t="n">
        <x:v>1.05</x:v>
      </x:c>
    </x:row>
    <x:row r="23" ht="25" customHeight="1">
      <x:c r="A23" s="19" t="str">
        <x:v>GOBLIN_WORKER</x:v>
      </x:c>
      <x:c r="B23" s="19" t="n">
        <x:v>4294967573</x:v>
      </x:c>
      <x:c r="C23" s="19" t="str">
        <x:v>GoblinWorker</x:v>
      </x:c>
      <x:c r="D23" s="19" t="str">
        <x:v>Reserve</x:v>
      </x:c>
      <x:c r="E23" s="19" t="str">
        <x:v>Reserve</x:v>
      </x:c>
      <x:c r="F23" s="19" t="str">
        <x:v>Small</x:v>
      </x:c>
      <x:c r="G23" s="19" t="str">
        <x:v>Assets/_Project/Prefabs/Monster/Goblins/GoblinWorker.prefab</x:v>
      </x:c>
      <x:c r="H23" s="22" t="n">
        <x:v>1.15</x:v>
      </x:c>
      <x:c r="I23" s="32" t="n">
        <x:v>1.4</x:v>
      </x:c>
      <x:c r="J23" s="19" t="str"/>
      <x:c r="K23" s="31" t="n">
        <x:v>0.8</x:v>
      </x:c>
    </x:row>
    <x:row r="24" ht="25" customHeight="1">
      <x:c r="A24" s="19" t="str">
        <x:v>HERESY_MIMIC</x:v>
      </x:c>
      <x:c r="B24" s="19" t="n">
        <x:v>4294967574</x:v>
      </x:c>
      <x:c r="C24" s="19" t="str">
        <x:v>보물 미믹</x:v>
      </x:c>
      <x:c r="D24" s="19" t="str">
        <x:v>GoldDungeon</x:v>
      </x:c>
      <x:c r="E24" s="19" t="str">
        <x:v>Melee</x:v>
      </x:c>
      <x:c r="F24" s="19" t="str">
        <x:v>Large</x:v>
      </x:c>
      <x:c r="G24" s="19" t="str">
        <x:v>Assets/_Project/Prefabs/Monster/Mimics/HeresyMimic.prefab</x:v>
      </x:c>
      <x:c r="H24" s="22" t="n">
        <x:v>0.7</x:v>
      </x:c>
      <x:c r="I24" s="32" t="n">
        <x:v>2.2</x:v>
      </x:c>
      <x:c r="J24" s="19" t="str"/>
      <x:c r="K24" s="31" t="n">
        <x:v>1.35</x:v>
      </x:c>
    </x:row>
    <x:row r="25" ht="25" customHeight="1">
      <x:c r="A25" s="19" t="str">
        <x:v>LOOT_GOBLIN</x:v>
      </x:c>
      <x:c r="B25" s="19" t="n">
        <x:v>4294967575</x:v>
      </x:c>
      <x:c r="C25" s="19" t="str">
        <x:v>LootGoblin</x:v>
      </x:c>
      <x:c r="D25" s="19" t="str">
        <x:v>Reserve</x:v>
      </x:c>
      <x:c r="E25" s="19" t="str">
        <x:v>Reserve</x:v>
      </x:c>
      <x:c r="F25" s="19" t="str">
        <x:v>Small</x:v>
      </x:c>
      <x:c r="G25" s="19" t="str">
        <x:v>Assets/_Project/Prefabs/Monster/Goblins/LootGoblin.prefab</x:v>
      </x:c>
      <x:c r="H25" s="22" t="n">
        <x:v>1.15</x:v>
      </x:c>
      <x:c r="I25" s="32" t="n">
        <x:v>1.4</x:v>
      </x:c>
      <x:c r="J25" s="19" t="str">
        <x:v>Attack source absent; visual fallback Walk (content-specific behavior remains future work)</x:v>
      </x:c>
      <x:c r="K25" s="31" t="n">
        <x:v>0.8</x:v>
      </x:c>
    </x:row>
    <x:row r="26" ht="25" customHeight="1">
      <x:c r="A26" s="19" t="str">
        <x:v>MIMIC_BARREL</x:v>
      </x:c>
      <x:c r="B26" s="19" t="n">
        <x:v>4294967576</x:v>
      </x:c>
      <x:c r="C26" s="19" t="str">
        <x:v>MimicBarrel</x:v>
      </x:c>
      <x:c r="D26" s="19" t="str">
        <x:v>Reserve</x:v>
      </x:c>
      <x:c r="E26" s="19" t="str">
        <x:v>Reserve</x:v>
      </x:c>
      <x:c r="F26" s="19" t="str">
        <x:v>Medium</x:v>
      </x:c>
      <x:c r="G26" s="19" t="str">
        <x:v>Assets/_Project/Prefabs/Monster/Mimics/MimicBarrel.prefab</x:v>
      </x:c>
      <x:c r="H26" s="22" t="n">
        <x:v>1</x:v>
      </x:c>
      <x:c r="I26" s="32" t="n">
        <x:v>1.75</x:v>
      </x:c>
      <x:c r="J26" s="19" t="str">
        <x:v>Source pack has no dedicated Hurt/Dead rows; prepared Hurt uses one idle pose, Dead closes the container (reverse Reveal; Sack settles to idle). No new behavior is implemented.</x:v>
      </x:c>
      <x:c r="K26" s="31" t="n">
        <x:v>1.1</x:v>
      </x:c>
    </x:row>
    <x:row r="27" ht="25" customHeight="1">
      <x:c r="A27" s="19" t="str">
        <x:v>MIMIC_CHEST</x:v>
      </x:c>
      <x:c r="B27" s="19" t="n">
        <x:v>4294967577</x:v>
      </x:c>
      <x:c r="C27" s="19" t="str">
        <x:v>MimicChest</x:v>
      </x:c>
      <x:c r="D27" s="19" t="str">
        <x:v>Reserve</x:v>
      </x:c>
      <x:c r="E27" s="19" t="str">
        <x:v>Reserve</x:v>
      </x:c>
      <x:c r="F27" s="19" t="str">
        <x:v>Medium</x:v>
      </x:c>
      <x:c r="G27" s="19" t="str">
        <x:v>Assets/_Project/Prefabs/Monster/Mimics/MimicChest.prefab</x:v>
      </x:c>
      <x:c r="H27" s="22" t="n">
        <x:v>1</x:v>
      </x:c>
      <x:c r="I27" s="32" t="n">
        <x:v>1.75</x:v>
      </x:c>
      <x:c r="J27" s="19" t="str">
        <x:v>Source pack has no dedicated Hurt/Dead rows; prepared Hurt uses one idle pose, Dead closes the container (reverse Reveal; Sack settles to idle). No new behavior is implemented.</x:v>
      </x:c>
      <x:c r="K27" s="31" t="n">
        <x:v>1.1</x:v>
      </x:c>
    </x:row>
    <x:row r="28" ht="25" customHeight="1">
      <x:c r="A28" s="19" t="str">
        <x:v>MIMIC_SACK</x:v>
      </x:c>
      <x:c r="B28" s="19" t="n">
        <x:v>4294967578</x:v>
      </x:c>
      <x:c r="C28" s="19" t="str">
        <x:v>MimicSack</x:v>
      </x:c>
      <x:c r="D28" s="19" t="str">
        <x:v>Reserve</x:v>
      </x:c>
      <x:c r="E28" s="19" t="str">
        <x:v>Reserve</x:v>
      </x:c>
      <x:c r="F28" s="19" t="str">
        <x:v>Small</x:v>
      </x:c>
      <x:c r="G28" s="19" t="str">
        <x:v>Assets/_Project/Prefabs/Monster/Mimics/MimicSack.prefab</x:v>
      </x:c>
      <x:c r="H28" s="22" t="n">
        <x:v>1.15</x:v>
      </x:c>
      <x:c r="I28" s="32" t="n">
        <x:v>1.4</x:v>
      </x:c>
      <x:c r="J28" s="19" t="str">
        <x:v>Source pack has no dedicated Hurt/Dead rows; prepared Hurt uses one idle pose, Dead closes the container (reverse Reveal; Sack settles to idle). No new behavior is implemented.</x:v>
      </x:c>
      <x:c r="K28" s="31" t="n">
        <x:v>0.8</x:v>
      </x:c>
    </x:row>
    <x:row r="29" ht="25" customHeight="1">
      <x:c r="A29" s="19" t="str">
        <x:v>ORC_BRUTE</x:v>
      </x:c>
      <x:c r="B29" s="19" t="n">
        <x:v>4294967579</x:v>
      </x:c>
      <x:c r="C29" s="19" t="str">
        <x:v>오크 거한</x:v>
      </x:c>
      <x:c r="D29" s="19" t="str">
        <x:v>Main3</x:v>
      </x:c>
      <x:c r="E29" s="19" t="str">
        <x:v>Boss</x:v>
      </x:c>
      <x:c r="F29" s="19" t="str">
        <x:v>Boss</x:v>
      </x:c>
      <x:c r="G29" s="19" t="str">
        <x:v>Assets/_Project/Prefabs/Monster/Orcs/OrcBrute.prefab</x:v>
      </x:c>
      <x:c r="H29" s="22" t="n">
        <x:v>0.65</x:v>
      </x:c>
      <x:c r="I29" s="32" t="n">
        <x:v>2.5</x:v>
      </x:c>
      <x:c r="J29" s="19" t="str"/>
      <x:c r="K29" s="31" t="n">
        <x:v>1.5</x:v>
      </x:c>
    </x:row>
    <x:row r="30" ht="25" customHeight="1">
      <x:c r="A30" s="19" t="str">
        <x:v>ORC_HUNTER</x:v>
      </x:c>
      <x:c r="B30" s="19" t="n">
        <x:v>4294967580</x:v>
      </x:c>
      <x:c r="C30" s="19" t="str">
        <x:v>오크 사냥꾼</x:v>
      </x:c>
      <x:c r="D30" s="19" t="str">
        <x:v>Main3</x:v>
      </x:c>
      <x:c r="E30" s="19" t="str">
        <x:v>Ranged</x:v>
      </x:c>
      <x:c r="F30" s="19" t="str">
        <x:v>Medium</x:v>
      </x:c>
      <x:c r="G30" s="19" t="str">
        <x:v>Assets/_Project/Prefabs/Monster/Orcs/OrcHunter.prefab</x:v>
      </x:c>
      <x:c r="H30" s="22" t="n">
        <x:v>1.05</x:v>
      </x:c>
      <x:c r="I30" s="32" t="n">
        <x:v>1.8</x:v>
      </x:c>
      <x:c r="J30" s="19" t="str"/>
      <x:c r="K30" s="31" t="n">
        <x:v>1.1</x:v>
      </x:c>
    </x:row>
    <x:row r="31" ht="25" customHeight="1">
      <x:c r="A31" s="19" t="str">
        <x:v>ORC_KAMIKAZE</x:v>
      </x:c>
      <x:c r="B31" s="19" t="n">
        <x:v>4294967581</x:v>
      </x:c>
      <x:c r="C31" s="19" t="str">
        <x:v>OrcKamikaze</x:v>
      </x:c>
      <x:c r="D31" s="19" t="str">
        <x:v>Reserve</x:v>
      </x:c>
      <x:c r="E31" s="19" t="str">
        <x:v>Reserve</x:v>
      </x:c>
      <x:c r="F31" s="19" t="str">
        <x:v>Medium</x:v>
      </x:c>
      <x:c r="G31" s="19" t="str">
        <x:v>Assets/_Project/Prefabs/Monster/Orcs/OrcKamikaze.prefab</x:v>
      </x:c>
      <x:c r="H31" s="22" t="n">
        <x:v>1</x:v>
      </x:c>
      <x:c r="I31" s="32" t="n">
        <x:v>1.75</x:v>
      </x:c>
      <x:c r="J31" s="19" t="str"/>
      <x:c r="K31" s="31" t="n">
        <x:v>1.1</x:v>
      </x:c>
    </x:row>
    <x:row r="32" ht="25" customHeight="1">
      <x:c r="A32" s="19" t="str">
        <x:v>ORC_KID</x:v>
      </x:c>
      <x:c r="B32" s="19" t="n">
        <x:v>4294967582</x:v>
      </x:c>
      <x:c r="C32" s="19" t="str">
        <x:v>OrcKid</x:v>
      </x:c>
      <x:c r="D32" s="19" t="str">
        <x:v>Reserve</x:v>
      </x:c>
      <x:c r="E32" s="19" t="str">
        <x:v>Reserve</x:v>
      </x:c>
      <x:c r="F32" s="19" t="str">
        <x:v>Small</x:v>
      </x:c>
      <x:c r="G32" s="19" t="str">
        <x:v>Assets/_Project/Prefabs/Monster/Orcs/OrcKid.prefab</x:v>
      </x:c>
      <x:c r="H32" s="22" t="n">
        <x:v>1.15</x:v>
      </x:c>
      <x:c r="I32" s="32" t="n">
        <x:v>1.4</x:v>
      </x:c>
      <x:c r="J32" s="19" t="str">
        <x:v>Hurt source absent; visual fallback Cry (content-specific behavior remains future work); Dead source absent; visual fallback Cry (content-specific behavior remains future work)</x:v>
      </x:c>
      <x:c r="K32" s="31" t="n">
        <x:v>0.8</x:v>
      </x:c>
    </x:row>
    <x:row r="33" ht="25" customHeight="1">
      <x:c r="A33" s="19" t="str">
        <x:v>ORC_PEON</x:v>
      </x:c>
      <x:c r="B33" s="19" t="n">
        <x:v>4294967583</x:v>
      </x:c>
      <x:c r="C33" s="19" t="str">
        <x:v>OrcPeon</x:v>
      </x:c>
      <x:c r="D33" s="19" t="str">
        <x:v>Reserve</x:v>
      </x:c>
      <x:c r="E33" s="19" t="str">
        <x:v>Reserve</x:v>
      </x:c>
      <x:c r="F33" s="19" t="str">
        <x:v>Medium</x:v>
      </x:c>
      <x:c r="G33" s="19" t="str">
        <x:v>Assets/_Project/Prefabs/Monster/Orcs/OrcPeon.prefab</x:v>
      </x:c>
      <x:c r="H33" s="22" t="n">
        <x:v>1</x:v>
      </x:c>
      <x:c r="I33" s="32" t="n">
        <x:v>1.75</x:v>
      </x:c>
      <x:c r="J33" s="19" t="str"/>
      <x:c r="K33" s="31" t="n">
        <x:v>1.1</x:v>
      </x:c>
    </x:row>
    <x:row r="34" ht="25" customHeight="1">
      <x:c r="A34" s="19" t="str">
        <x:v>ORC_SHAMAN</x:v>
      </x:c>
      <x:c r="B34" s="19" t="n">
        <x:v>4294967584</x:v>
      </x:c>
      <x:c r="C34" s="19" t="str">
        <x:v>오크 주술사</x:v>
      </x:c>
      <x:c r="D34" s="19" t="str">
        <x:v>Main3</x:v>
      </x:c>
      <x:c r="E34" s="19" t="str">
        <x:v>Ranged</x:v>
      </x:c>
      <x:c r="F34" s="19" t="str">
        <x:v>Medium</x:v>
      </x:c>
      <x:c r="G34" s="19" t="str">
        <x:v>Assets/_Project/Prefabs/Monster/Orcs/OrcShaman.prefab</x:v>
      </x:c>
      <x:c r="H34" s="22" t="n">
        <x:v>0.85</x:v>
      </x:c>
      <x:c r="I34" s="32" t="n">
        <x:v>2</x:v>
      </x:c>
      <x:c r="J34" s="19" t="str"/>
      <x:c r="K34" s="31" t="n">
        <x:v>1.15</x:v>
      </x:c>
    </x:row>
    <x:row r="35" ht="25" customHeight="1">
      <x:c r="A35" s="19" t="str">
        <x:v>ORC_TASKMASTER</x:v>
      </x:c>
      <x:c r="B35" s="19" t="n">
        <x:v>4294967585</x:v>
      </x:c>
      <x:c r="C35" s="19" t="str">
        <x:v>오크 감독관</x:v>
      </x:c>
      <x:c r="D35" s="19" t="str">
        <x:v>Main3</x:v>
      </x:c>
      <x:c r="E35" s="19" t="str">
        <x:v>Melee</x:v>
      </x:c>
      <x:c r="F35" s="19" t="str">
        <x:v>Large</x:v>
      </x:c>
      <x:c r="G35" s="19" t="str">
        <x:v>Assets/_Project/Prefabs/Monster/Orcs/OrcTaskmaster.prefab</x:v>
      </x:c>
      <x:c r="H35" s="22" t="n">
        <x:v>0.8</x:v>
      </x:c>
      <x:c r="I35" s="32" t="n">
        <x:v>2.15</x:v>
      </x:c>
      <x:c r="J35" s="19" t="str"/>
      <x:c r="K35" s="31" t="n">
        <x:v>1.3</x:v>
      </x:c>
    </x:row>
    <x:row r="36" ht="25" customHeight="1">
      <x:c r="A36" s="19" t="str">
        <x:v>ORC_WARLOCK</x:v>
      </x:c>
      <x:c r="B36" s="19" t="n">
        <x:v>4294967586</x:v>
      </x:c>
      <x:c r="C36" s="19" t="str">
        <x:v>OrcWarlock</x:v>
      </x:c>
      <x:c r="D36" s="19" t="str">
        <x:v>Reserve</x:v>
      </x:c>
      <x:c r="E36" s="19" t="str">
        <x:v>Reserve</x:v>
      </x:c>
      <x:c r="F36" s="19" t="str">
        <x:v>Large</x:v>
      </x:c>
      <x:c r="G36" s="19" t="str">
        <x:v>Assets/_Project/Prefabs/Monster/Orcs/OrcWarlock.prefab</x:v>
      </x:c>
      <x:c r="H36" s="22" t="n">
        <x:v>0.8</x:v>
      </x:c>
      <x:c r="I36" s="32" t="n">
        <x:v>2.1</x:v>
      </x:c>
      <x:c r="J36" s="19" t="str"/>
      <x:c r="K36" s="31" t="n">
        <x:v>1.3</x:v>
      </x:c>
    </x:row>
    <x:row r="37" ht="25" customHeight="1">
      <x:c r="A37" s="19" t="str">
        <x:v>ORC_WARRIOR</x:v>
      </x:c>
      <x:c r="B37" s="19" t="n">
        <x:v>4294967587</x:v>
      </x:c>
      <x:c r="C37" s="19" t="str">
        <x:v>오크 전사</x:v>
      </x:c>
      <x:c r="D37" s="19" t="str">
        <x:v>Main3</x:v>
      </x:c>
      <x:c r="E37" s="19" t="str">
        <x:v>Melee</x:v>
      </x:c>
      <x:c r="F37" s="19" t="str">
        <x:v>Medium</x:v>
      </x:c>
      <x:c r="G37" s="19" t="str">
        <x:v>Assets/_Project/Prefabs/Monster/Orcs/OrcWarrior.prefab</x:v>
      </x:c>
      <x:c r="H37" s="22" t="n">
        <x:v>0.95</x:v>
      </x:c>
      <x:c r="I37" s="32" t="n">
        <x:v>1.85</x:v>
      </x:c>
      <x:c r="J37" s="19" t="str"/>
      <x:c r="K37" s="31" t="n">
        <x:v>1.2</x:v>
      </x:c>
    </x:row>
    <x:row r="38" ht="25" customHeight="1">
      <x:c r="A38" s="19" t="str">
        <x:v>QUASIT</x:v>
      </x:c>
      <x:c r="B38" s="19" t="n">
        <x:v>4294967588</x:v>
      </x:c>
      <x:c r="C38" s="19" t="str">
        <x:v>Quasit</x:v>
      </x:c>
      <x:c r="D38" s="19" t="str">
        <x:v>Reserve</x:v>
      </x:c>
      <x:c r="E38" s="19" t="str">
        <x:v>Reserve</x:v>
      </x:c>
      <x:c r="F38" s="19" t="str">
        <x:v>Small</x:v>
      </x:c>
      <x:c r="G38" s="19" t="str">
        <x:v>Assets/_Project/Prefabs/Monster/Orcs/Quasit.prefab</x:v>
      </x:c>
      <x:c r="H38" s="22" t="n">
        <x:v>1.15</x:v>
      </x:c>
      <x:c r="I38" s="32" t="n">
        <x:v>1.4</x:v>
      </x:c>
      <x:c r="J38" s="19" t="str"/>
      <x:c r="K38" s="31" t="n">
        <x:v>0.8</x:v>
      </x:c>
    </x:row>
    <x:row r="39" ht="25" customHeight="1">
      <x:c r="A39" s="19" t="str">
        <x:v>MON_BANDIT_ARCHER</x:v>
      </x:c>
      <x:c r="B39" s="19" t="n">
        <x:v>4294967300</x:v>
      </x:c>
      <x:c r="C39" s="19" t="str">
        <x:v>산적 궁수</x:v>
      </x:c>
      <x:c r="D39" s="19" t="str">
        <x:v>Main1</x:v>
      </x:c>
      <x:c r="E39" s="19" t="str">
        <x:v>Ranged</x:v>
      </x:c>
      <x:c r="F39" s="19" t="str">
        <x:v>Medium</x:v>
      </x:c>
      <x:c r="G39" s="19" t="str">
        <x:v>Assets/_Project/Prefabs/Monster/BANDIT/MON_BANDIT_ARCHER.prefab</x:v>
      </x:c>
      <x:c r="H39" s="22" t="n">
        <x:v>1.1</x:v>
      </x:c>
      <x:c r="I39" s="32" t="n">
        <x:v>1.7</x:v>
      </x:c>
      <x:c r="J39" s="19" t="str">
        <x:v>기존 ID·프리팹 유지</x:v>
      </x:c>
      <x:c r="K39" s="31" t="n">
        <x:v>0.95</x:v>
      </x:c>
    </x:row>
    <x:row r="40" ht="25" customHeight="1">
      <x:c r="A40" s="19" t="str">
        <x:v>MON_BANDIT_LEADER</x:v>
      </x:c>
      <x:c r="B40" s="19" t="n">
        <x:v>4294967301</x:v>
      </x:c>
      <x:c r="C40" s="19" t="str">
        <x:v>산적 전사</x:v>
      </x:c>
      <x:c r="D40" s="19" t="str">
        <x:v>Main1</x:v>
      </x:c>
      <x:c r="E40" s="19" t="str">
        <x:v>Melee</x:v>
      </x:c>
      <x:c r="F40" s="19" t="str">
        <x:v>Medium</x:v>
      </x:c>
      <x:c r="G40" s="19" t="str">
        <x:v>Assets/_Project/Prefabs/Monster/BANDIT/MON_BANDIT_LEADER.prefab</x:v>
      </x:c>
      <x:c r="H40" s="22" t="n">
        <x:v>1.1</x:v>
      </x:c>
      <x:c r="I40" s="32" t="n">
        <x:v>1.6</x:v>
      </x:c>
      <x:c r="J40" s="19" t="str">
        <x:v>기존 ID·프리팹 유지</x:v>
      </x:c>
      <x:c r="K40" s="31" t="n">
        <x:v>1</x:v>
      </x:c>
    </x:row>
    <x:row r="41" ht="25" customHeight="1">
      <x:c r="A41" s="19" t="str">
        <x:v>MON_BANDIT_SHIELD</x:v>
      </x:c>
      <x:c r="B41" s="19" t="n">
        <x:v>4294967302</x:v>
      </x:c>
      <x:c r="C41" s="19" t="str">
        <x:v>산적 방패병</x:v>
      </x:c>
      <x:c r="D41" s="19" t="str">
        <x:v>Main1</x:v>
      </x:c>
      <x:c r="E41" s="19" t="str">
        <x:v>Melee</x:v>
      </x:c>
      <x:c r="F41" s="19" t="str">
        <x:v>Medium</x:v>
      </x:c>
      <x:c r="G41" s="19" t="str">
        <x:v>Assets/_Project/Prefabs/Monster/BANDIT/MON_BANDIT_SHIELD.prefab</x:v>
      </x:c>
      <x:c r="H41" s="22" t="n">
        <x:v>0.85</x:v>
      </x:c>
      <x:c r="I41" s="32" t="n">
        <x:v>1.95</x:v>
      </x:c>
      <x:c r="J41" s="19" t="str">
        <x:v>기존 ID·프리팹 유지</x:v>
      </x:c>
      <x:c r="K41" s="31" t="n">
        <x:v>1.15</x:v>
      </x:c>
    </x:row>
    <x:row r="42" ht="25" customHeight="1">
      <x:c r="A42" s="19" t="str">
        <x:v>BANDIT_KING</x:v>
      </x:c>
      <x:c r="B42" s="19" t="n">
        <x:v>4294967303</x:v>
      </x:c>
      <x:c r="C42" s="19" t="str">
        <x:v>산적 왕</x:v>
      </x:c>
      <x:c r="D42" s="19" t="str">
        <x:v>Main1</x:v>
      </x:c>
      <x:c r="E42" s="19" t="str">
        <x:v>Boss</x:v>
      </x:c>
      <x:c r="F42" s="19" t="str">
        <x:v>Boss</x:v>
      </x:c>
      <x:c r="G42" s="19" t="str">
        <x:v>Assets/_Project/Prefabs/Monster/BANDIT/BANDIT_KING.prefab</x:v>
      </x:c>
      <x:c r="H42" s="22" t="n">
        <x:v>0.8</x:v>
      </x:c>
      <x:c r="I42" s="32" t="n">
        <x:v>2.2</x:v>
      </x:c>
      <x:c r="J42" s="19" t="str">
        <x:v>기존 ID·프리팹 유지</x:v>
      </x:c>
      <x:c r="K42" s="31" t="n">
        <x:v>1.35</x:v>
      </x:c>
    </x:row>
  </x:sheetData>
  <x:pageMargins left="0.7" right="0.7" top="0.75" bottom="0.75" header="0.3" footer="0.3"/>
  <x:tableParts count="1">
    <x:tablePart xmlns:r="http://schemas.openxmlformats.org/officeDocument/2006/relationships" r:id="R4e0e8b9609474f9c"/>
  </x:tableParts>
</x:worksheet>
</file>

<file path=xl/worksheets/sheet9.xml><?xml version="1.0" encoding="utf-8"?>
<x:worksheet xmlns:x="http://schemas.openxmlformats.org/spreadsheetml/2006/main">
  <x:sheetPr>
    <x:tabColor rgb="FF2D6176"/>
  </x:sheetPr>
  <x:sheetViews>
    <x:sheetView showGridLines="0" workbookViewId="0">
      <x:pane xSplit="1" ySplit="1" topLeftCell="B2" activePane="bottomRight" state="frozen"/>
    </x:sheetView>
  </x:sheetViews>
  <x:sheetFormatPr defaultRowHeight="15"/>
  <x:cols>
    <x:col min="1" max="1" width="36" hidden="0" customWidth="1"/>
    <x:col min="2" max="2" width="41" hidden="0" customWidth="1"/>
    <x:col min="3" max="3" width="105" hidden="0" customWidth="1"/>
    <x:col min="4" max="4" width="18" hidden="0" customWidth="1"/>
    <x:col min="5" max="5" width="18" hidden="0" customWidth="1"/>
    <x:col min="6" max="6" width="33" hidden="0" customWidth="1"/>
  </x:cols>
  <x:sheetData>
    <x:row r="1" ht="43" customHeight="1">
      <x:c r="A1" s="18" t="str">
        <x:v>PoolId</x:v>
      </x:c>
      <x:c r="B1" s="18" t="str">
        <x:v>PresetId</x:v>
      </x:c>
      <x:c r="C1" s="18" t="str">
        <x:v>PrefabPath</x:v>
      </x:c>
      <x:c r="D1" s="18" t="str">
        <x:v>Weight</x:v>
      </x:c>
      <x:c r="E1" s="18" t="str">
        <x:v>Enabled</x:v>
      </x:c>
      <x:c r="F1" s="18" t="str">
        <x:v>Notes</x:v>
      </x:c>
    </x:row>
    <x:row r="2" ht="25" customHeight="1">
      <x:c r="A2" s="19" t="str">
        <x:v>Stage01_ForestDirt/Main</x:v>
      </x:c>
      <x:c r="B2" s="19" t="str">
        <x:v>Stage01_ForestDirt_Main_01</x:v>
      </x:c>
      <x:c r="C2" s="19" t="str">
        <x:v>Assets/_Project/Prefabs/Environment/Prepared/Stage01_ForestDirt/Main/Stage01_ForestDirt_Main_01.prefab</x:v>
      </x:c>
      <x:c r="D2" s="19" t="n">
        <x:v>1</x:v>
      </x:c>
      <x:c r="E2" s="20" t="b">
        <x:v>1</x:v>
      </x:c>
      <x:c r="F2" s="19" t="str">
        <x:v>중앙 전투 공간 비움</x:v>
      </x:c>
    </x:row>
    <x:row r="3" ht="25" customHeight="1">
      <x:c r="A3" s="19" t="str">
        <x:v>Stage01_ForestDirt/Main</x:v>
      </x:c>
      <x:c r="B3" s="19" t="str">
        <x:v>Stage01_ForestDirt_Main_02</x:v>
      </x:c>
      <x:c r="C3" s="19" t="str">
        <x:v>Assets/_Project/Prefabs/Environment/Prepared/Stage01_ForestDirt/Main/Stage01_ForestDirt_Main_02.prefab</x:v>
      </x:c>
      <x:c r="D3" s="19" t="n">
        <x:v>1</x:v>
      </x:c>
      <x:c r="E3" s="20" t="b">
        <x:v>1</x:v>
      </x:c>
      <x:c r="F3" s="19" t="str">
        <x:v>중앙 전투 공간 비움</x:v>
      </x:c>
    </x:row>
    <x:row r="4" ht="25" customHeight="1">
      <x:c r="A4" s="19" t="str">
        <x:v>Stage01_ForestDirt/Main</x:v>
      </x:c>
      <x:c r="B4" s="19" t="str">
        <x:v>Stage01_ForestDirt_Main_03</x:v>
      </x:c>
      <x:c r="C4" s="19" t="str">
        <x:v>Assets/_Project/Prefabs/Environment/Prepared/Stage01_ForestDirt/Main/Stage01_ForestDirt_Main_03.prefab</x:v>
      </x:c>
      <x:c r="D4" s="19" t="n">
        <x:v>1</x:v>
      </x:c>
      <x:c r="E4" s="20" t="b">
        <x:v>1</x:v>
      </x:c>
      <x:c r="F4" s="19" t="str">
        <x:v>중앙 전투 공간 비움</x:v>
      </x:c>
    </x:row>
    <x:row r="5" ht="25" customHeight="1">
      <x:c r="A5" s="19" t="str">
        <x:v>Stage01_ForestDirt/Main</x:v>
      </x:c>
      <x:c r="B5" s="19" t="str">
        <x:v>Stage01_ForestDirt_Main_04</x:v>
      </x:c>
      <x:c r="C5" s="19" t="str">
        <x:v>Assets/_Project/Prefabs/Environment/Prepared/Stage01_ForestDirt/Main/Stage01_ForestDirt_Main_04.prefab</x:v>
      </x:c>
      <x:c r="D5" s="19" t="n">
        <x:v>1</x:v>
      </x:c>
      <x:c r="E5" s="20" t="b">
        <x:v>1</x:v>
      </x:c>
      <x:c r="F5" s="19" t="str">
        <x:v>중앙 전투 공간 비움</x:v>
      </x:c>
    </x:row>
    <x:row r="6" ht="25" customHeight="1">
      <x:c r="A6" s="19" t="str">
        <x:v>Stage01_ForestDirt/Main</x:v>
      </x:c>
      <x:c r="B6" s="19" t="str">
        <x:v>Stage01_ForestDirt_Main_05</x:v>
      </x:c>
      <x:c r="C6" s="19" t="str">
        <x:v>Assets/_Project/Prefabs/Environment/Prepared/Stage01_ForestDirt/Main/Stage01_ForestDirt_Main_05.prefab</x:v>
      </x:c>
      <x:c r="D6" s="19" t="n">
        <x:v>1</x:v>
      </x:c>
      <x:c r="E6" s="20" t="b">
        <x:v>1</x:v>
      </x:c>
      <x:c r="F6" s="19" t="str">
        <x:v>중앙 전투 공간 비움</x:v>
      </x:c>
    </x:row>
    <x:row r="7" ht="25" customHeight="1">
      <x:c r="A7" s="19" t="str">
        <x:v>Stage01_ForestDirt/Main</x:v>
      </x:c>
      <x:c r="B7" s="19" t="str">
        <x:v>Stage01_ForestDirt_Main_06</x:v>
      </x:c>
      <x:c r="C7" s="19" t="str">
        <x:v>Assets/_Project/Prefabs/Environment/Prepared/Stage01_ForestDirt/Main/Stage01_ForestDirt_Main_06.prefab</x:v>
      </x:c>
      <x:c r="D7" s="19" t="n">
        <x:v>1</x:v>
      </x:c>
      <x:c r="E7" s="20" t="b">
        <x:v>1</x:v>
      </x:c>
      <x:c r="F7" s="19" t="str">
        <x:v>중앙 전투 공간 비움</x:v>
      </x:c>
    </x:row>
    <x:row r="8" ht="25" customHeight="1">
      <x:c r="A8" s="19" t="str">
        <x:v>Stage01_ForestDirt/Main</x:v>
      </x:c>
      <x:c r="B8" s="19" t="str">
        <x:v>Stage01_ForestDirt_Main_07</x:v>
      </x:c>
      <x:c r="C8" s="19" t="str">
        <x:v>Assets/_Project/Prefabs/Environment/Prepared/Stage01_ForestDirt/Main/Stage01_ForestDirt_Main_07.prefab</x:v>
      </x:c>
      <x:c r="D8" s="19" t="n">
        <x:v>1</x:v>
      </x:c>
      <x:c r="E8" s="20" t="b">
        <x:v>1</x:v>
      </x:c>
      <x:c r="F8" s="19" t="str">
        <x:v>중앙 전투 공간 비움</x:v>
      </x:c>
    </x:row>
    <x:row r="9" ht="25" customHeight="1">
      <x:c r="A9" s="19" t="str">
        <x:v>Stage01_ForestDirt/Main</x:v>
      </x:c>
      <x:c r="B9" s="19" t="str">
        <x:v>Stage01_ForestDirt_Main_08</x:v>
      </x:c>
      <x:c r="C9" s="19" t="str">
        <x:v>Assets/_Project/Prefabs/Environment/Prepared/Stage01_ForestDirt/Main/Stage01_ForestDirt_Main_08.prefab</x:v>
      </x:c>
      <x:c r="D9" s="19" t="n">
        <x:v>1</x:v>
      </x:c>
      <x:c r="E9" s="20" t="b">
        <x:v>1</x:v>
      </x:c>
      <x:c r="F9" s="19" t="str">
        <x:v>중앙 전투 공간 비움</x:v>
      </x:c>
    </x:row>
    <x:row r="10" ht="25" customHeight="1">
      <x:c r="A10" s="19" t="str">
        <x:v>Stage01_ForestDirt/Main</x:v>
      </x:c>
      <x:c r="B10" s="19" t="str">
        <x:v>Stage01_ForestDirt_Main_09</x:v>
      </x:c>
      <x:c r="C10" s="19" t="str">
        <x:v>Assets/_Project/Prefabs/Environment/Prepared/Stage01_ForestDirt/Main/Stage01_ForestDirt_Main_09.prefab</x:v>
      </x:c>
      <x:c r="D10" s="19" t="n">
        <x:v>1</x:v>
      </x:c>
      <x:c r="E10" s="20" t="b">
        <x:v>1</x:v>
      </x:c>
      <x:c r="F10" s="19" t="str">
        <x:v>중앙 전투 공간 비움</x:v>
      </x:c>
    </x:row>
    <x:row r="11" ht="25" customHeight="1">
      <x:c r="A11" s="19" t="str">
        <x:v>Stage01_ForestDirt/Main</x:v>
      </x:c>
      <x:c r="B11" s="19" t="str">
        <x:v>Stage01_ForestDirt_Main_10</x:v>
      </x:c>
      <x:c r="C11" s="19" t="str">
        <x:v>Assets/_Project/Prefabs/Environment/Prepared/Stage01_ForestDirt/Main/Stage01_ForestDirt_Main_10.prefab</x:v>
      </x:c>
      <x:c r="D11" s="19" t="n">
        <x:v>1</x:v>
      </x:c>
      <x:c r="E11" s="20" t="b">
        <x:v>1</x:v>
      </x:c>
      <x:c r="F11" s="19" t="str">
        <x:v>중앙 전투 공간 비움</x:v>
      </x:c>
    </x:row>
    <x:row r="12" ht="25" customHeight="1">
      <x:c r="A12" s="19" t="str">
        <x:v>Stage01_ForestDirt/Boss</x:v>
      </x:c>
      <x:c r="B12" s="19" t="str">
        <x:v>Stage01_ForestDirt_Boss_01</x:v>
      </x:c>
      <x:c r="C12" s="19" t="str">
        <x:v>Assets/_Project/Prefabs/Environment/Prepared/Stage01_ForestDirt/Boss/Stage01_ForestDirt_Boss_01.prefab</x:v>
      </x:c>
      <x:c r="D12" s="19" t="n">
        <x:v>1</x:v>
      </x:c>
      <x:c r="E12" s="20" t="b">
        <x:v>1</x:v>
      </x:c>
      <x:c r="F12" s="19" t="str">
        <x:v>중앙 전투 공간 비움</x:v>
      </x:c>
    </x:row>
    <x:row r="13" ht="25" customHeight="1">
      <x:c r="A13" s="19" t="str">
        <x:v>Stage01_ForestDirt/Boss</x:v>
      </x:c>
      <x:c r="B13" s="19" t="str">
        <x:v>Stage01_ForestDirt_Boss_02</x:v>
      </x:c>
      <x:c r="C13" s="19" t="str">
        <x:v>Assets/_Project/Prefabs/Environment/Prepared/Stage01_ForestDirt/Boss/Stage01_ForestDirt_Boss_02.prefab</x:v>
      </x:c>
      <x:c r="D13" s="19" t="n">
        <x:v>1</x:v>
      </x:c>
      <x:c r="E13" s="20" t="b">
        <x:v>1</x:v>
      </x:c>
      <x:c r="F13" s="19" t="str">
        <x:v>중앙 전투 공간 비움</x:v>
      </x:c>
    </x:row>
    <x:row r="14" ht="25" customHeight="1">
      <x:c r="A14" s="19" t="str">
        <x:v>Stage01_ForestDirt/Boss</x:v>
      </x:c>
      <x:c r="B14" s="19" t="str">
        <x:v>Stage01_ForestDirt_Boss_03</x:v>
      </x:c>
      <x:c r="C14" s="19" t="str">
        <x:v>Assets/_Project/Prefabs/Environment/Prepared/Stage01_ForestDirt/Boss/Stage01_ForestDirt_Boss_03.prefab</x:v>
      </x:c>
      <x:c r="D14" s="19" t="n">
        <x:v>1</x:v>
      </x:c>
      <x:c r="E14" s="20" t="b">
        <x:v>1</x:v>
      </x:c>
      <x:c r="F14" s="19" t="str">
        <x:v>중앙 전투 공간 비움</x:v>
      </x:c>
    </x:row>
    <x:row r="15" ht="25" customHeight="1">
      <x:c r="A15" s="19" t="str">
        <x:v>Stage01_ForestDirt/Special</x:v>
      </x:c>
      <x:c r="B15" s="19" t="str">
        <x:v>Stage01_ForestDirt_Special_01</x:v>
      </x:c>
      <x:c r="C15" s="19" t="str">
        <x:v>Assets/_Project/Prefabs/Environment/Prepared/Stage01_ForestDirt/Special/Stage01_ForestDirt_Special_01.prefab</x:v>
      </x:c>
      <x:c r="D15" s="19" t="n">
        <x:v>1</x:v>
      </x:c>
      <x:c r="E15" s="20" t="b">
        <x:v>1</x:v>
      </x:c>
      <x:c r="F15" s="19" t="str">
        <x:v>중앙 전투 공간 비움</x:v>
      </x:c>
    </x:row>
    <x:row r="16" ht="25" customHeight="1">
      <x:c r="A16" s="19" t="str">
        <x:v>Stage01_ForestDirt/Special</x:v>
      </x:c>
      <x:c r="B16" s="19" t="str">
        <x:v>Stage01_ForestDirt_Special_02</x:v>
      </x:c>
      <x:c r="C16" s="19" t="str">
        <x:v>Assets/_Project/Prefabs/Environment/Prepared/Stage01_ForestDirt/Special/Stage01_ForestDirt_Special_02.prefab</x:v>
      </x:c>
      <x:c r="D16" s="19" t="n">
        <x:v>1</x:v>
      </x:c>
      <x:c r="E16" s="20" t="b">
        <x:v>1</x:v>
      </x:c>
      <x:c r="F16" s="19" t="str">
        <x:v>중앙 전투 공간 비움</x:v>
      </x:c>
    </x:row>
    <x:row r="17" ht="25" customHeight="1">
      <x:c r="A17" s="19" t="str">
        <x:v>Stage01_ForestDirt/Special</x:v>
      </x:c>
      <x:c r="B17" s="19" t="str">
        <x:v>Stage01_ForestDirt_Special_03</x:v>
      </x:c>
      <x:c r="C17" s="19" t="str">
        <x:v>Assets/_Project/Prefabs/Environment/Prepared/Stage01_ForestDirt/Special/Stage01_ForestDirt_Special_03.prefab</x:v>
      </x:c>
      <x:c r="D17" s="19" t="n">
        <x:v>1</x:v>
      </x:c>
      <x:c r="E17" s="20" t="b">
        <x:v>1</x:v>
      </x:c>
      <x:c r="F17" s="19" t="str">
        <x:v>중앙 전투 공간 비움</x:v>
      </x:c>
    </x:row>
    <x:row r="18" ht="25" customHeight="1">
      <x:c r="A18" s="19" t="str">
        <x:v>Stage01_ForestDirt/Special</x:v>
      </x:c>
      <x:c r="B18" s="19" t="str">
        <x:v>Stage01_ForestDirt_Special_04</x:v>
      </x:c>
      <x:c r="C18" s="19" t="str">
        <x:v>Assets/_Project/Prefabs/Environment/Prepared/Stage01_ForestDirt/Special/Stage01_ForestDirt_Special_04.prefab</x:v>
      </x:c>
      <x:c r="D18" s="19" t="n">
        <x:v>1</x:v>
      </x:c>
      <x:c r="E18" s="20" t="b">
        <x:v>1</x:v>
      </x:c>
      <x:c r="F18" s="19" t="str">
        <x:v>중앙 전투 공간 비움</x:v>
      </x:c>
    </x:row>
    <x:row r="19" ht="25" customHeight="1">
      <x:c r="A19" s="19" t="str">
        <x:v>Stage01_ForestDirt/Special</x:v>
      </x:c>
      <x:c r="B19" s="19" t="str">
        <x:v>Stage01_ForestDirt_Special_05</x:v>
      </x:c>
      <x:c r="C19" s="19" t="str">
        <x:v>Assets/_Project/Prefabs/Environment/Prepared/Stage01_ForestDirt/Special/Stage01_ForestDirt_Special_05.prefab</x:v>
      </x:c>
      <x:c r="D19" s="19" t="n">
        <x:v>1</x:v>
      </x:c>
      <x:c r="E19" s="20" t="b">
        <x:v>1</x:v>
      </x:c>
      <x:c r="F19" s="19" t="str">
        <x:v>중앙 전투 공간 비움</x:v>
      </x:c>
    </x:row>
    <x:row r="20" ht="25" customHeight="1">
      <x:c r="A20" s="19" t="str">
        <x:v>Stage02_ForestGrass/Main</x:v>
      </x:c>
      <x:c r="B20" s="19" t="str">
        <x:v>Stage02_ForestGrass_Main_01</x:v>
      </x:c>
      <x:c r="C20" s="19" t="str">
        <x:v>Assets/_Project/Prefabs/Environment/Prepared/Stage02_ForestGrass/Main/Stage02_ForestGrass_Main_01.prefab</x:v>
      </x:c>
      <x:c r="D20" s="19" t="n">
        <x:v>1</x:v>
      </x:c>
      <x:c r="E20" s="20" t="b">
        <x:v>1</x:v>
      </x:c>
      <x:c r="F20" s="19" t="str">
        <x:v>중앙 전투 공간 비움</x:v>
      </x:c>
    </x:row>
    <x:row r="21" ht="25" customHeight="1">
      <x:c r="A21" s="19" t="str">
        <x:v>Stage02_ForestGrass/Main</x:v>
      </x:c>
      <x:c r="B21" s="19" t="str">
        <x:v>Stage02_ForestGrass_Main_02</x:v>
      </x:c>
      <x:c r="C21" s="19" t="str">
        <x:v>Assets/_Project/Prefabs/Environment/Prepared/Stage02_ForestGrass/Main/Stage02_ForestGrass_Main_02.prefab</x:v>
      </x:c>
      <x:c r="D21" s="19" t="n">
        <x:v>1</x:v>
      </x:c>
      <x:c r="E21" s="20" t="b">
        <x:v>1</x:v>
      </x:c>
      <x:c r="F21" s="19" t="str">
        <x:v>중앙 전투 공간 비움</x:v>
      </x:c>
    </x:row>
    <x:row r="22" ht="25" customHeight="1">
      <x:c r="A22" s="19" t="str">
        <x:v>Stage02_ForestGrass/Main</x:v>
      </x:c>
      <x:c r="B22" s="19" t="str">
        <x:v>Stage02_ForestGrass_Main_03</x:v>
      </x:c>
      <x:c r="C22" s="19" t="str">
        <x:v>Assets/_Project/Prefabs/Environment/Prepared/Stage02_ForestGrass/Main/Stage02_ForestGrass_Main_03.prefab</x:v>
      </x:c>
      <x:c r="D22" s="19" t="n">
        <x:v>1</x:v>
      </x:c>
      <x:c r="E22" s="20" t="b">
        <x:v>1</x:v>
      </x:c>
      <x:c r="F22" s="19" t="str">
        <x:v>중앙 전투 공간 비움</x:v>
      </x:c>
    </x:row>
    <x:row r="23" ht="25" customHeight="1">
      <x:c r="A23" s="19" t="str">
        <x:v>Stage02_ForestGrass/Main</x:v>
      </x:c>
      <x:c r="B23" s="19" t="str">
        <x:v>Stage02_ForestGrass_Main_04</x:v>
      </x:c>
      <x:c r="C23" s="19" t="str">
        <x:v>Assets/_Project/Prefabs/Environment/Prepared/Stage02_ForestGrass/Main/Stage02_ForestGrass_Main_04.prefab</x:v>
      </x:c>
      <x:c r="D23" s="19" t="n">
        <x:v>1</x:v>
      </x:c>
      <x:c r="E23" s="20" t="b">
        <x:v>1</x:v>
      </x:c>
      <x:c r="F23" s="19" t="str">
        <x:v>중앙 전투 공간 비움</x:v>
      </x:c>
    </x:row>
    <x:row r="24" ht="25" customHeight="1">
      <x:c r="A24" s="19" t="str">
        <x:v>Stage02_ForestGrass/Main</x:v>
      </x:c>
      <x:c r="B24" s="19" t="str">
        <x:v>Stage02_ForestGrass_Main_05</x:v>
      </x:c>
      <x:c r="C24" s="19" t="str">
        <x:v>Assets/_Project/Prefabs/Environment/Prepared/Stage02_ForestGrass/Main/Stage02_ForestGrass_Main_05.prefab</x:v>
      </x:c>
      <x:c r="D24" s="19" t="n">
        <x:v>1</x:v>
      </x:c>
      <x:c r="E24" s="20" t="b">
        <x:v>1</x:v>
      </x:c>
      <x:c r="F24" s="19" t="str">
        <x:v>중앙 전투 공간 비움</x:v>
      </x:c>
    </x:row>
    <x:row r="25" ht="25" customHeight="1">
      <x:c r="A25" s="19" t="str">
        <x:v>Stage02_ForestGrass/Main</x:v>
      </x:c>
      <x:c r="B25" s="19" t="str">
        <x:v>Stage02_ForestGrass_Main_06</x:v>
      </x:c>
      <x:c r="C25" s="19" t="str">
        <x:v>Assets/_Project/Prefabs/Environment/Prepared/Stage02_ForestGrass/Main/Stage02_ForestGrass_Main_06.prefab</x:v>
      </x:c>
      <x:c r="D25" s="19" t="n">
        <x:v>1</x:v>
      </x:c>
      <x:c r="E25" s="20" t="b">
        <x:v>1</x:v>
      </x:c>
      <x:c r="F25" s="19" t="str">
        <x:v>중앙 전투 공간 비움</x:v>
      </x:c>
    </x:row>
    <x:row r="26" ht="25" customHeight="1">
      <x:c r="A26" s="19" t="str">
        <x:v>Stage02_ForestGrass/Main</x:v>
      </x:c>
      <x:c r="B26" s="19" t="str">
        <x:v>Stage02_ForestGrass_Main_07</x:v>
      </x:c>
      <x:c r="C26" s="19" t="str">
        <x:v>Assets/_Project/Prefabs/Environment/Prepared/Stage02_ForestGrass/Main/Stage02_ForestGrass_Main_07.prefab</x:v>
      </x:c>
      <x:c r="D26" s="19" t="n">
        <x:v>1</x:v>
      </x:c>
      <x:c r="E26" s="20" t="b">
        <x:v>1</x:v>
      </x:c>
      <x:c r="F26" s="19" t="str">
        <x:v>중앙 전투 공간 비움</x:v>
      </x:c>
    </x:row>
    <x:row r="27" ht="25" customHeight="1">
      <x:c r="A27" s="19" t="str">
        <x:v>Stage02_ForestGrass/Main</x:v>
      </x:c>
      <x:c r="B27" s="19" t="str">
        <x:v>Stage02_ForestGrass_Main_08</x:v>
      </x:c>
      <x:c r="C27" s="19" t="str">
        <x:v>Assets/_Project/Prefabs/Environment/Prepared/Stage02_ForestGrass/Main/Stage02_ForestGrass_Main_08.prefab</x:v>
      </x:c>
      <x:c r="D27" s="19" t="n">
        <x:v>1</x:v>
      </x:c>
      <x:c r="E27" s="20" t="b">
        <x:v>1</x:v>
      </x:c>
      <x:c r="F27" s="19" t="str">
        <x:v>중앙 전투 공간 비움</x:v>
      </x:c>
    </x:row>
    <x:row r="28" ht="25" customHeight="1">
      <x:c r="A28" s="19" t="str">
        <x:v>Stage02_ForestGrass/Main</x:v>
      </x:c>
      <x:c r="B28" s="19" t="str">
        <x:v>Stage02_ForestGrass_Main_09</x:v>
      </x:c>
      <x:c r="C28" s="19" t="str">
        <x:v>Assets/_Project/Prefabs/Environment/Prepared/Stage02_ForestGrass/Main/Stage02_ForestGrass_Main_09.prefab</x:v>
      </x:c>
      <x:c r="D28" s="19" t="n">
        <x:v>1</x:v>
      </x:c>
      <x:c r="E28" s="20" t="b">
        <x:v>1</x:v>
      </x:c>
      <x:c r="F28" s="19" t="str">
        <x:v>중앙 전투 공간 비움</x:v>
      </x:c>
    </x:row>
    <x:row r="29" ht="25" customHeight="1">
      <x:c r="A29" s="19" t="str">
        <x:v>Stage02_ForestGrass/Main</x:v>
      </x:c>
      <x:c r="B29" s="19" t="str">
        <x:v>Stage02_ForestGrass_Main_10</x:v>
      </x:c>
      <x:c r="C29" s="19" t="str">
        <x:v>Assets/_Project/Prefabs/Environment/Prepared/Stage02_ForestGrass/Main/Stage02_ForestGrass_Main_10.prefab</x:v>
      </x:c>
      <x:c r="D29" s="19" t="n">
        <x:v>1</x:v>
      </x:c>
      <x:c r="E29" s="20" t="b">
        <x:v>1</x:v>
      </x:c>
      <x:c r="F29" s="19" t="str">
        <x:v>중앙 전투 공간 비움</x:v>
      </x:c>
    </x:row>
    <x:row r="30" ht="25" customHeight="1">
      <x:c r="A30" s="19" t="str">
        <x:v>Stage02_ForestGrass/Boss</x:v>
      </x:c>
      <x:c r="B30" s="19" t="str">
        <x:v>Stage02_ForestGrass_Boss_01</x:v>
      </x:c>
      <x:c r="C30" s="19" t="str">
        <x:v>Assets/_Project/Prefabs/Environment/Prepared/Stage02_ForestGrass/Boss/Stage02_ForestGrass_Boss_01.prefab</x:v>
      </x:c>
      <x:c r="D30" s="19" t="n">
        <x:v>1</x:v>
      </x:c>
      <x:c r="E30" s="20" t="b">
        <x:v>1</x:v>
      </x:c>
      <x:c r="F30" s="19" t="str">
        <x:v>중앙 전투 공간 비움</x:v>
      </x:c>
    </x:row>
    <x:row r="31" ht="25" customHeight="1">
      <x:c r="A31" s="19" t="str">
        <x:v>Stage02_ForestGrass/Boss</x:v>
      </x:c>
      <x:c r="B31" s="19" t="str">
        <x:v>Stage02_ForestGrass_Boss_02</x:v>
      </x:c>
      <x:c r="C31" s="19" t="str">
        <x:v>Assets/_Project/Prefabs/Environment/Prepared/Stage02_ForestGrass/Boss/Stage02_ForestGrass_Boss_02.prefab</x:v>
      </x:c>
      <x:c r="D31" s="19" t="n">
        <x:v>1</x:v>
      </x:c>
      <x:c r="E31" s="20" t="b">
        <x:v>1</x:v>
      </x:c>
      <x:c r="F31" s="19" t="str">
        <x:v>중앙 전투 공간 비움</x:v>
      </x:c>
    </x:row>
    <x:row r="32" ht="25" customHeight="1">
      <x:c r="A32" s="19" t="str">
        <x:v>Stage02_ForestGrass/Boss</x:v>
      </x:c>
      <x:c r="B32" s="19" t="str">
        <x:v>Stage02_ForestGrass_Boss_03</x:v>
      </x:c>
      <x:c r="C32" s="19" t="str">
        <x:v>Assets/_Project/Prefabs/Environment/Prepared/Stage02_ForestGrass/Boss/Stage02_ForestGrass_Boss_03.prefab</x:v>
      </x:c>
      <x:c r="D32" s="19" t="n">
        <x:v>1</x:v>
      </x:c>
      <x:c r="E32" s="20" t="b">
        <x:v>1</x:v>
      </x:c>
      <x:c r="F32" s="19" t="str">
        <x:v>중앙 전투 공간 비움</x:v>
      </x:c>
    </x:row>
    <x:row r="33" ht="25" customHeight="1">
      <x:c r="A33" s="19" t="str">
        <x:v>Stage02_ForestGrass/Special</x:v>
      </x:c>
      <x:c r="B33" s="19" t="str">
        <x:v>Stage02_ForestGrass_Special_01</x:v>
      </x:c>
      <x:c r="C33" s="19" t="str">
        <x:v>Assets/_Project/Prefabs/Environment/Prepared/Stage02_ForestGrass/Special/Stage02_ForestGrass_Special_01.prefab</x:v>
      </x:c>
      <x:c r="D33" s="19" t="n">
        <x:v>1</x:v>
      </x:c>
      <x:c r="E33" s="20" t="b">
        <x:v>1</x:v>
      </x:c>
      <x:c r="F33" s="19" t="str">
        <x:v>중앙 전투 공간 비움</x:v>
      </x:c>
    </x:row>
    <x:row r="34" ht="25" customHeight="1">
      <x:c r="A34" s="19" t="str">
        <x:v>Stage02_ForestGrass/Special</x:v>
      </x:c>
      <x:c r="B34" s="19" t="str">
        <x:v>Stage02_ForestGrass_Special_02</x:v>
      </x:c>
      <x:c r="C34" s="19" t="str">
        <x:v>Assets/_Project/Prefabs/Environment/Prepared/Stage02_ForestGrass/Special/Stage02_ForestGrass_Special_02.prefab</x:v>
      </x:c>
      <x:c r="D34" s="19" t="n">
        <x:v>1</x:v>
      </x:c>
      <x:c r="E34" s="20" t="b">
        <x:v>1</x:v>
      </x:c>
      <x:c r="F34" s="19" t="str">
        <x:v>중앙 전투 공간 비움</x:v>
      </x:c>
    </x:row>
    <x:row r="35" ht="25" customHeight="1">
      <x:c r="A35" s="19" t="str">
        <x:v>Stage02_ForestGrass/Special</x:v>
      </x:c>
      <x:c r="B35" s="19" t="str">
        <x:v>Stage02_ForestGrass_Special_03</x:v>
      </x:c>
      <x:c r="C35" s="19" t="str">
        <x:v>Assets/_Project/Prefabs/Environment/Prepared/Stage02_ForestGrass/Special/Stage02_ForestGrass_Special_03.prefab</x:v>
      </x:c>
      <x:c r="D35" s="19" t="n">
        <x:v>1</x:v>
      </x:c>
      <x:c r="E35" s="20" t="b">
        <x:v>1</x:v>
      </x:c>
      <x:c r="F35" s="19" t="str">
        <x:v>중앙 전투 공간 비움</x:v>
      </x:c>
    </x:row>
    <x:row r="36" ht="25" customHeight="1">
      <x:c r="A36" s="19" t="str">
        <x:v>Stage02_ForestGrass/Special</x:v>
      </x:c>
      <x:c r="B36" s="19" t="str">
        <x:v>Stage02_ForestGrass_Special_04</x:v>
      </x:c>
      <x:c r="C36" s="19" t="str">
        <x:v>Assets/_Project/Prefabs/Environment/Prepared/Stage02_ForestGrass/Special/Stage02_ForestGrass_Special_04.prefab</x:v>
      </x:c>
      <x:c r="D36" s="19" t="n">
        <x:v>1</x:v>
      </x:c>
      <x:c r="E36" s="20" t="b">
        <x:v>1</x:v>
      </x:c>
      <x:c r="F36" s="19" t="str">
        <x:v>중앙 전투 공간 비움</x:v>
      </x:c>
    </x:row>
    <x:row r="37" ht="25" customHeight="1">
      <x:c r="A37" s="19" t="str">
        <x:v>Stage02_ForestGrass/Special</x:v>
      </x:c>
      <x:c r="B37" s="19" t="str">
        <x:v>Stage02_ForestGrass_Special_05</x:v>
      </x:c>
      <x:c r="C37" s="19" t="str">
        <x:v>Assets/_Project/Prefabs/Environment/Prepared/Stage02_ForestGrass/Special/Stage02_ForestGrass_Special_05.prefab</x:v>
      </x:c>
      <x:c r="D37" s="19" t="n">
        <x:v>1</x:v>
      </x:c>
      <x:c r="E37" s="20" t="b">
        <x:v>1</x:v>
      </x:c>
      <x:c r="F37" s="19" t="str">
        <x:v>중앙 전투 공간 비움</x:v>
      </x:c>
    </x:row>
    <x:row r="38" ht="25" customHeight="1">
      <x:c r="A38" s="19" t="str">
        <x:v>Stage03_DeepForest/Main</x:v>
      </x:c>
      <x:c r="B38" s="19" t="str">
        <x:v>Stage03_DeepForest_Main_01</x:v>
      </x:c>
      <x:c r="C38" s="19" t="str">
        <x:v>Assets/_Project/Prefabs/Environment/Prepared/Stage03_DeepForest/Main/Stage03_DeepForest_Main_01.prefab</x:v>
      </x:c>
      <x:c r="D38" s="19" t="n">
        <x:v>1</x:v>
      </x:c>
      <x:c r="E38" s="20" t="b">
        <x:v>1</x:v>
      </x:c>
      <x:c r="F38" s="19" t="str">
        <x:v>울창한 가장자리·중앙 비움</x:v>
      </x:c>
    </x:row>
    <x:row r="39" ht="25" customHeight="1">
      <x:c r="A39" s="19" t="str">
        <x:v>Stage03_DeepForest/Main</x:v>
      </x:c>
      <x:c r="B39" s="19" t="str">
        <x:v>Stage03_DeepForest_Main_02</x:v>
      </x:c>
      <x:c r="C39" s="19" t="str">
        <x:v>Assets/_Project/Prefabs/Environment/Prepared/Stage03_DeepForest/Main/Stage03_DeepForest_Main_02.prefab</x:v>
      </x:c>
      <x:c r="D39" s="19" t="n">
        <x:v>1</x:v>
      </x:c>
      <x:c r="E39" s="20" t="b">
        <x:v>1</x:v>
      </x:c>
      <x:c r="F39" s="19" t="str">
        <x:v>울창한 가장자리·중앙 비움</x:v>
      </x:c>
    </x:row>
    <x:row r="40" ht="25" customHeight="1">
      <x:c r="A40" s="19" t="str">
        <x:v>Stage03_DeepForest/Main</x:v>
      </x:c>
      <x:c r="B40" s="19" t="str">
        <x:v>Stage03_DeepForest_Main_03</x:v>
      </x:c>
      <x:c r="C40" s="19" t="str">
        <x:v>Assets/_Project/Prefabs/Environment/Prepared/Stage03_DeepForest/Main/Stage03_DeepForest_Main_03.prefab</x:v>
      </x:c>
      <x:c r="D40" s="19" t="n">
        <x:v>1</x:v>
      </x:c>
      <x:c r="E40" s="20" t="b">
        <x:v>1</x:v>
      </x:c>
      <x:c r="F40" s="19" t="str">
        <x:v>울창한 가장자리·중앙 비움</x:v>
      </x:c>
    </x:row>
    <x:row r="41" ht="25" customHeight="1">
      <x:c r="A41" s="19" t="str">
        <x:v>Stage03_DeepForest/Main</x:v>
      </x:c>
      <x:c r="B41" s="19" t="str">
        <x:v>Stage03_DeepForest_Main_04</x:v>
      </x:c>
      <x:c r="C41" s="19" t="str">
        <x:v>Assets/_Project/Prefabs/Environment/Prepared/Stage03_DeepForest/Main/Stage03_DeepForest_Main_04.prefab</x:v>
      </x:c>
      <x:c r="D41" s="19" t="n">
        <x:v>1</x:v>
      </x:c>
      <x:c r="E41" s="20" t="b">
        <x:v>1</x:v>
      </x:c>
      <x:c r="F41" s="19" t="str">
        <x:v>울창한 가장자리·중앙 비움</x:v>
      </x:c>
    </x:row>
    <x:row r="42" ht="25" customHeight="1">
      <x:c r="A42" s="19" t="str">
        <x:v>Stage03_DeepForest/Main</x:v>
      </x:c>
      <x:c r="B42" s="19" t="str">
        <x:v>Stage03_DeepForest_Main_05</x:v>
      </x:c>
      <x:c r="C42" s="19" t="str">
        <x:v>Assets/_Project/Prefabs/Environment/Prepared/Stage03_DeepForest/Main/Stage03_DeepForest_Main_05.prefab</x:v>
      </x:c>
      <x:c r="D42" s="19" t="n">
        <x:v>1</x:v>
      </x:c>
      <x:c r="E42" s="20" t="b">
        <x:v>1</x:v>
      </x:c>
      <x:c r="F42" s="19" t="str">
        <x:v>울창한 가장자리·중앙 비움</x:v>
      </x:c>
    </x:row>
    <x:row r="43" ht="25" customHeight="1">
      <x:c r="A43" s="19" t="str">
        <x:v>Stage03_DeepForest/Main</x:v>
      </x:c>
      <x:c r="B43" s="19" t="str">
        <x:v>Stage03_DeepForest_Main_06</x:v>
      </x:c>
      <x:c r="C43" s="19" t="str">
        <x:v>Assets/_Project/Prefabs/Environment/Prepared/Stage03_DeepForest/Main/Stage03_DeepForest_Main_06.prefab</x:v>
      </x:c>
      <x:c r="D43" s="19" t="n">
        <x:v>1</x:v>
      </x:c>
      <x:c r="E43" s="20" t="b">
        <x:v>1</x:v>
      </x:c>
      <x:c r="F43" s="19" t="str">
        <x:v>울창한 가장자리·중앙 비움</x:v>
      </x:c>
    </x:row>
    <x:row r="44" ht="25" customHeight="1">
      <x:c r="A44" s="19" t="str">
        <x:v>Stage03_DeepForest/Main</x:v>
      </x:c>
      <x:c r="B44" s="19" t="str">
        <x:v>Stage03_DeepForest_Main_07</x:v>
      </x:c>
      <x:c r="C44" s="19" t="str">
        <x:v>Assets/_Project/Prefabs/Environment/Prepared/Stage03_DeepForest/Main/Stage03_DeepForest_Main_07.prefab</x:v>
      </x:c>
      <x:c r="D44" s="19" t="n">
        <x:v>1</x:v>
      </x:c>
      <x:c r="E44" s="20" t="b">
        <x:v>1</x:v>
      </x:c>
      <x:c r="F44" s="19" t="str">
        <x:v>울창한 가장자리·중앙 비움</x:v>
      </x:c>
    </x:row>
    <x:row r="45" ht="25" customHeight="1">
      <x:c r="A45" s="19" t="str">
        <x:v>Stage03_DeepForest/Main</x:v>
      </x:c>
      <x:c r="B45" s="19" t="str">
        <x:v>Stage03_DeepForest_Main_08</x:v>
      </x:c>
      <x:c r="C45" s="19" t="str">
        <x:v>Assets/_Project/Prefabs/Environment/Prepared/Stage03_DeepForest/Main/Stage03_DeepForest_Main_08.prefab</x:v>
      </x:c>
      <x:c r="D45" s="19" t="n">
        <x:v>1</x:v>
      </x:c>
      <x:c r="E45" s="20" t="b">
        <x:v>1</x:v>
      </x:c>
      <x:c r="F45" s="19" t="str">
        <x:v>울창한 가장자리·중앙 비움</x:v>
      </x:c>
    </x:row>
    <x:row r="46" ht="25" customHeight="1">
      <x:c r="A46" s="19" t="str">
        <x:v>Stage03_DeepForest/Main</x:v>
      </x:c>
      <x:c r="B46" s="19" t="str">
        <x:v>Stage03_DeepForest_Main_09</x:v>
      </x:c>
      <x:c r="C46" s="19" t="str">
        <x:v>Assets/_Project/Prefabs/Environment/Prepared/Stage03_DeepForest/Main/Stage03_DeepForest_Main_09.prefab</x:v>
      </x:c>
      <x:c r="D46" s="19" t="n">
        <x:v>1</x:v>
      </x:c>
      <x:c r="E46" s="20" t="b">
        <x:v>1</x:v>
      </x:c>
      <x:c r="F46" s="19" t="str">
        <x:v>울창한 가장자리·중앙 비움</x:v>
      </x:c>
    </x:row>
    <x:row r="47" ht="25" customHeight="1">
      <x:c r="A47" s="19" t="str">
        <x:v>Stage03_DeepForest/Main</x:v>
      </x:c>
      <x:c r="B47" s="19" t="str">
        <x:v>Stage03_DeepForest_Main_10</x:v>
      </x:c>
      <x:c r="C47" s="19" t="str">
        <x:v>Assets/_Project/Prefabs/Environment/Prepared/Stage03_DeepForest/Main/Stage03_DeepForest_Main_10.prefab</x:v>
      </x:c>
      <x:c r="D47" s="19" t="n">
        <x:v>1</x:v>
      </x:c>
      <x:c r="E47" s="20" t="b">
        <x:v>1</x:v>
      </x:c>
      <x:c r="F47" s="19" t="str">
        <x:v>울창한 가장자리·중앙 비움</x:v>
      </x:c>
    </x:row>
    <x:row r="48" ht="25" customHeight="1">
      <x:c r="A48" s="19" t="str">
        <x:v>Stage03_DeepForest/Boss</x:v>
      </x:c>
      <x:c r="B48" s="19" t="str">
        <x:v>Stage03_DeepForest_Boss_01</x:v>
      </x:c>
      <x:c r="C48" s="19" t="str">
        <x:v>Assets/_Project/Prefabs/Environment/Prepared/Stage03_DeepForest/Boss/Stage03_DeepForest_Boss_01.prefab</x:v>
      </x:c>
      <x:c r="D48" s="19" t="n">
        <x:v>1</x:v>
      </x:c>
      <x:c r="E48" s="20" t="b">
        <x:v>1</x:v>
      </x:c>
      <x:c r="F48" s="19" t="str">
        <x:v>울창한 가장자리·중앙 비움</x:v>
      </x:c>
    </x:row>
    <x:row r="49" ht="25" customHeight="1">
      <x:c r="A49" s="19" t="str">
        <x:v>Stage03_DeepForest/Boss</x:v>
      </x:c>
      <x:c r="B49" s="19" t="str">
        <x:v>Stage03_DeepForest_Boss_02</x:v>
      </x:c>
      <x:c r="C49" s="19" t="str">
        <x:v>Assets/_Project/Prefabs/Environment/Prepared/Stage03_DeepForest/Boss/Stage03_DeepForest_Boss_02.prefab</x:v>
      </x:c>
      <x:c r="D49" s="19" t="n">
        <x:v>1</x:v>
      </x:c>
      <x:c r="E49" s="20" t="b">
        <x:v>1</x:v>
      </x:c>
      <x:c r="F49" s="19" t="str">
        <x:v>울창한 가장자리·중앙 비움</x:v>
      </x:c>
    </x:row>
    <x:row r="50" ht="25" customHeight="1">
      <x:c r="A50" s="19" t="str">
        <x:v>Stage03_DeepForest/Boss</x:v>
      </x:c>
      <x:c r="B50" s="19" t="str">
        <x:v>Stage03_DeepForest_Boss_03</x:v>
      </x:c>
      <x:c r="C50" s="19" t="str">
        <x:v>Assets/_Project/Prefabs/Environment/Prepared/Stage03_DeepForest/Boss/Stage03_DeepForest_Boss_03.prefab</x:v>
      </x:c>
      <x:c r="D50" s="19" t="n">
        <x:v>1</x:v>
      </x:c>
      <x:c r="E50" s="20" t="b">
        <x:v>1</x:v>
      </x:c>
      <x:c r="F50" s="19" t="str">
        <x:v>울창한 가장자리·중앙 비움</x:v>
      </x:c>
    </x:row>
    <x:row r="51" ht="25" customHeight="1">
      <x:c r="A51" s="19" t="str">
        <x:v>Stage03_DeepForest/Special</x:v>
      </x:c>
      <x:c r="B51" s="19" t="str">
        <x:v>Stage03_DeepForest_Special_01</x:v>
      </x:c>
      <x:c r="C51" s="19" t="str">
        <x:v>Assets/_Project/Prefabs/Environment/Prepared/Stage03_DeepForest/Special/Stage03_DeepForest_Special_01.prefab</x:v>
      </x:c>
      <x:c r="D51" s="19" t="n">
        <x:v>1</x:v>
      </x:c>
      <x:c r="E51" s="20" t="b">
        <x:v>1</x:v>
      </x:c>
      <x:c r="F51" s="19" t="str">
        <x:v>울창한 가장자리·중앙 비움</x:v>
      </x:c>
    </x:row>
    <x:row r="52" ht="25" customHeight="1">
      <x:c r="A52" s="19" t="str">
        <x:v>Stage03_DeepForest/Special</x:v>
      </x:c>
      <x:c r="B52" s="19" t="str">
        <x:v>Stage03_DeepForest_Special_02</x:v>
      </x:c>
      <x:c r="C52" s="19" t="str">
        <x:v>Assets/_Project/Prefabs/Environment/Prepared/Stage03_DeepForest/Special/Stage03_DeepForest_Special_02.prefab</x:v>
      </x:c>
      <x:c r="D52" s="19" t="n">
        <x:v>1</x:v>
      </x:c>
      <x:c r="E52" s="20" t="b">
        <x:v>1</x:v>
      </x:c>
      <x:c r="F52" s="19" t="str">
        <x:v>울창한 가장자리·중앙 비움</x:v>
      </x:c>
    </x:row>
    <x:row r="53" ht="25" customHeight="1">
      <x:c r="A53" s="19" t="str">
        <x:v>Stage03_DeepForest/Special</x:v>
      </x:c>
      <x:c r="B53" s="19" t="str">
        <x:v>Stage03_DeepForest_Special_03</x:v>
      </x:c>
      <x:c r="C53" s="19" t="str">
        <x:v>Assets/_Project/Prefabs/Environment/Prepared/Stage03_DeepForest/Special/Stage03_DeepForest_Special_03.prefab</x:v>
      </x:c>
      <x:c r="D53" s="19" t="n">
        <x:v>1</x:v>
      </x:c>
      <x:c r="E53" s="20" t="b">
        <x:v>1</x:v>
      </x:c>
      <x:c r="F53" s="19" t="str">
        <x:v>울창한 가장자리·중앙 비움</x:v>
      </x:c>
    </x:row>
    <x:row r="54" ht="25" customHeight="1">
      <x:c r="A54" s="19" t="str">
        <x:v>Stage03_DeepForest/Special</x:v>
      </x:c>
      <x:c r="B54" s="19" t="str">
        <x:v>Stage03_DeepForest_Special_04</x:v>
      </x:c>
      <x:c r="C54" s="19" t="str">
        <x:v>Assets/_Project/Prefabs/Environment/Prepared/Stage03_DeepForest/Special/Stage03_DeepForest_Special_04.prefab</x:v>
      </x:c>
      <x:c r="D54" s="19" t="n">
        <x:v>1</x:v>
      </x:c>
      <x:c r="E54" s="20" t="b">
        <x:v>1</x:v>
      </x:c>
      <x:c r="F54" s="19" t="str">
        <x:v>울창한 가장자리·중앙 비움</x:v>
      </x:c>
    </x:row>
    <x:row r="55" ht="25" customHeight="1">
      <x:c r="A55" s="19" t="str">
        <x:v>Stage03_DeepForest/Special</x:v>
      </x:c>
      <x:c r="B55" s="19" t="str">
        <x:v>Stage03_DeepForest_Special_05</x:v>
      </x:c>
      <x:c r="C55" s="19" t="str">
        <x:v>Assets/_Project/Prefabs/Environment/Prepared/Stage03_DeepForest/Special/Stage03_DeepForest_Special_05.prefab</x:v>
      </x:c>
      <x:c r="D55" s="19" t="n">
        <x:v>1</x:v>
      </x:c>
      <x:c r="E55" s="20" t="b">
        <x:v>1</x:v>
      </x:c>
      <x:c r="F55" s="19" t="str">
        <x:v>울창한 가장자리·중앙 비움</x:v>
      </x:c>
    </x:row>
    <x:row r="56" ht="25" customHeight="1">
      <x:c r="A56" s="19" t="str">
        <x:v>GoldDungeon/Main</x:v>
      </x:c>
      <x:c r="B56" s="19" t="str">
        <x:v>GoldDungeon_Main_01</x:v>
      </x:c>
      <x:c r="C56" s="19" t="str">
        <x:v>Assets/_Project/Prefabs/Environment/Prepared/GoldDungeon/Main/GoldDungeon_Main_01.prefab</x:v>
      </x:c>
      <x:c r="D56" s="19" t="n">
        <x:v>1</x:v>
      </x:c>
      <x:c r="E56" s="20" t="b">
        <x:v>1</x:v>
      </x:c>
      <x:c r="F56" s="19" t="str">
        <x:v>중앙 전투 공간 비움</x:v>
      </x:c>
    </x:row>
    <x:row r="57" ht="25" customHeight="1">
      <x:c r="A57" s="19" t="str">
        <x:v>GoldDungeon/Main</x:v>
      </x:c>
      <x:c r="B57" s="19" t="str">
        <x:v>GoldDungeon_Main_02</x:v>
      </x:c>
      <x:c r="C57" s="19" t="str">
        <x:v>Assets/_Project/Prefabs/Environment/Prepared/GoldDungeon/Main/GoldDungeon_Main_02.prefab</x:v>
      </x:c>
      <x:c r="D57" s="19" t="n">
        <x:v>1</x:v>
      </x:c>
      <x:c r="E57" s="20" t="b">
        <x:v>1</x:v>
      </x:c>
      <x:c r="F57" s="19" t="str">
        <x:v>중앙 전투 공간 비움</x:v>
      </x:c>
    </x:row>
    <x:row r="58" ht="25" customHeight="1">
      <x:c r="A58" s="19" t="str">
        <x:v>GoldDungeon/Main</x:v>
      </x:c>
      <x:c r="B58" s="19" t="str">
        <x:v>GoldDungeon_Main_03</x:v>
      </x:c>
      <x:c r="C58" s="19" t="str">
        <x:v>Assets/_Project/Prefabs/Environment/Prepared/GoldDungeon/Main/GoldDungeon_Main_03.prefab</x:v>
      </x:c>
      <x:c r="D58" s="19" t="n">
        <x:v>1</x:v>
      </x:c>
      <x:c r="E58" s="20" t="b">
        <x:v>1</x:v>
      </x:c>
      <x:c r="F58" s="19" t="str">
        <x:v>중앙 전투 공간 비움</x:v>
      </x:c>
    </x:row>
    <x:row r="59" ht="25" customHeight="1">
      <x:c r="A59" s="19" t="str">
        <x:v>GoldDungeon/Main</x:v>
      </x:c>
      <x:c r="B59" s="19" t="str">
        <x:v>GoldDungeon_Main_04</x:v>
      </x:c>
      <x:c r="C59" s="19" t="str">
        <x:v>Assets/_Project/Prefabs/Environment/Prepared/GoldDungeon/Main/GoldDungeon_Main_04.prefab</x:v>
      </x:c>
      <x:c r="D59" s="19" t="n">
        <x:v>1</x:v>
      </x:c>
      <x:c r="E59" s="20" t="b">
        <x:v>1</x:v>
      </x:c>
      <x:c r="F59" s="19" t="str">
        <x:v>중앙 전투 공간 비움</x:v>
      </x:c>
    </x:row>
    <x:row r="60" ht="25" customHeight="1">
      <x:c r="A60" s="19" t="str">
        <x:v>GoldDungeon/Main</x:v>
      </x:c>
      <x:c r="B60" s="19" t="str">
        <x:v>GoldDungeon_Main_05</x:v>
      </x:c>
      <x:c r="C60" s="19" t="str">
        <x:v>Assets/_Project/Prefabs/Environment/Prepared/GoldDungeon/Main/GoldDungeon_Main_05.prefab</x:v>
      </x:c>
      <x:c r="D60" s="19" t="n">
        <x:v>1</x:v>
      </x:c>
      <x:c r="E60" s="20" t="b">
        <x:v>1</x:v>
      </x:c>
      <x:c r="F60" s="19" t="str">
        <x:v>중앙 전투 공간 비움</x:v>
      </x:c>
    </x:row>
    <x:row r="61" ht="25" customHeight="1">
      <x:c r="A61" s="19" t="str">
        <x:v>GoldDungeon/Main</x:v>
      </x:c>
      <x:c r="B61" s="19" t="str">
        <x:v>GoldDungeon_Main_06</x:v>
      </x:c>
      <x:c r="C61" s="19" t="str">
        <x:v>Assets/_Project/Prefabs/Environment/Prepared/GoldDungeon/Main/GoldDungeon_Main_06.prefab</x:v>
      </x:c>
      <x:c r="D61" s="19" t="n">
        <x:v>1</x:v>
      </x:c>
      <x:c r="E61" s="20" t="b">
        <x:v>1</x:v>
      </x:c>
      <x:c r="F61" s="19" t="str">
        <x:v>중앙 전투 공간 비움</x:v>
      </x:c>
    </x:row>
    <x:row r="62" ht="25" customHeight="1">
      <x:c r="A62" s="19" t="str">
        <x:v>GoldDungeon/Main</x:v>
      </x:c>
      <x:c r="B62" s="19" t="str">
        <x:v>GoldDungeon_Main_07</x:v>
      </x:c>
      <x:c r="C62" s="19" t="str">
        <x:v>Assets/_Project/Prefabs/Environment/Prepared/GoldDungeon/Main/GoldDungeon_Main_07.prefab</x:v>
      </x:c>
      <x:c r="D62" s="19" t="n">
        <x:v>1</x:v>
      </x:c>
      <x:c r="E62" s="20" t="b">
        <x:v>1</x:v>
      </x:c>
      <x:c r="F62" s="19" t="str">
        <x:v>중앙 전투 공간 비움</x:v>
      </x:c>
    </x:row>
    <x:row r="63" ht="25" customHeight="1">
      <x:c r="A63" s="19" t="str">
        <x:v>GoldDungeon/Main</x:v>
      </x:c>
      <x:c r="B63" s="19" t="str">
        <x:v>GoldDungeon_Main_08</x:v>
      </x:c>
      <x:c r="C63" s="19" t="str">
        <x:v>Assets/_Project/Prefabs/Environment/Prepared/GoldDungeon/Main/GoldDungeon_Main_08.prefab</x:v>
      </x:c>
      <x:c r="D63" s="19" t="n">
        <x:v>1</x:v>
      </x:c>
      <x:c r="E63" s="20" t="b">
        <x:v>1</x:v>
      </x:c>
      <x:c r="F63" s="19" t="str">
        <x:v>중앙 전투 공간 비움</x:v>
      </x:c>
    </x:row>
    <x:row r="64" ht="25" customHeight="1">
      <x:c r="A64" s="19" t="str">
        <x:v>GoldDungeon/Main</x:v>
      </x:c>
      <x:c r="B64" s="19" t="str">
        <x:v>GoldDungeon_Main_09</x:v>
      </x:c>
      <x:c r="C64" s="19" t="str">
        <x:v>Assets/_Project/Prefabs/Environment/Prepared/GoldDungeon/Main/GoldDungeon_Main_09.prefab</x:v>
      </x:c>
      <x:c r="D64" s="19" t="n">
        <x:v>1</x:v>
      </x:c>
      <x:c r="E64" s="20" t="b">
        <x:v>1</x:v>
      </x:c>
      <x:c r="F64" s="19" t="str">
        <x:v>중앙 전투 공간 비움</x:v>
      </x:c>
    </x:row>
    <x:row r="65" ht="25" customHeight="1">
      <x:c r="A65" s="19" t="str">
        <x:v>GoldDungeon/Main</x:v>
      </x:c>
      <x:c r="B65" s="19" t="str">
        <x:v>GoldDungeon_Main_10</x:v>
      </x:c>
      <x:c r="C65" s="19" t="str">
        <x:v>Assets/_Project/Prefabs/Environment/Prepared/GoldDungeon/Main/GoldDungeon_Main_10.prefab</x:v>
      </x:c>
      <x:c r="D65" s="19" t="n">
        <x:v>1</x:v>
      </x:c>
      <x:c r="E65" s="20" t="b">
        <x:v>1</x:v>
      </x:c>
      <x:c r="F65" s="19" t="str">
        <x:v>중앙 전투 공간 비움</x:v>
      </x:c>
    </x:row>
    <x:row r="66" ht="25" customHeight="1">
      <x:c r="A66" s="19" t="str">
        <x:v>GoldDungeon/Boss</x:v>
      </x:c>
      <x:c r="B66" s="19" t="str">
        <x:v>GoldDungeon_Boss_01</x:v>
      </x:c>
      <x:c r="C66" s="19" t="str">
        <x:v>Assets/_Project/Prefabs/Environment/Prepared/GoldDungeon/Boss/GoldDungeon_Boss_01.prefab</x:v>
      </x:c>
      <x:c r="D66" s="19" t="n">
        <x:v>1</x:v>
      </x:c>
      <x:c r="E66" s="20" t="b">
        <x:v>1</x:v>
      </x:c>
      <x:c r="F66" s="19" t="str">
        <x:v>중앙 전투 공간 비움</x:v>
      </x:c>
    </x:row>
    <x:row r="67" ht="25" customHeight="1">
      <x:c r="A67" s="19" t="str">
        <x:v>GoldDungeon/Boss</x:v>
      </x:c>
      <x:c r="B67" s="19" t="str">
        <x:v>GoldDungeon_Boss_02</x:v>
      </x:c>
      <x:c r="C67" s="19" t="str">
        <x:v>Assets/_Project/Prefabs/Environment/Prepared/GoldDungeon/Boss/GoldDungeon_Boss_02.prefab</x:v>
      </x:c>
      <x:c r="D67" s="19" t="n">
        <x:v>1</x:v>
      </x:c>
      <x:c r="E67" s="20" t="b">
        <x:v>1</x:v>
      </x:c>
      <x:c r="F67" s="19" t="str">
        <x:v>중앙 전투 공간 비움</x:v>
      </x:c>
    </x:row>
    <x:row r="68" ht="25" customHeight="1">
      <x:c r="A68" s="19" t="str">
        <x:v>GoldDungeon/Boss</x:v>
      </x:c>
      <x:c r="B68" s="19" t="str">
        <x:v>GoldDungeon_Boss_03</x:v>
      </x:c>
      <x:c r="C68" s="19" t="str">
        <x:v>Assets/_Project/Prefabs/Environment/Prepared/GoldDungeon/Boss/GoldDungeon_Boss_03.prefab</x:v>
      </x:c>
      <x:c r="D68" s="19" t="n">
        <x:v>1</x:v>
      </x:c>
      <x:c r="E68" s="20" t="b">
        <x:v>1</x:v>
      </x:c>
      <x:c r="F68" s="19" t="str">
        <x:v>중앙 전투 공간 비움</x:v>
      </x:c>
    </x:row>
    <x:row r="69" ht="25" customHeight="1">
      <x:c r="A69" s="19" t="str">
        <x:v>GoldDungeon/Special</x:v>
      </x:c>
      <x:c r="B69" s="19" t="str">
        <x:v>GoldDungeon_Special_01</x:v>
      </x:c>
      <x:c r="C69" s="19" t="str">
        <x:v>Assets/_Project/Prefabs/Environment/Prepared/GoldDungeon/Special/GoldDungeon_Special_01.prefab</x:v>
      </x:c>
      <x:c r="D69" s="19" t="n">
        <x:v>1</x:v>
      </x:c>
      <x:c r="E69" s="20" t="b">
        <x:v>1</x:v>
      </x:c>
      <x:c r="F69" s="19" t="str">
        <x:v>중앙 전투 공간 비움</x:v>
      </x:c>
    </x:row>
    <x:row r="70" ht="25" customHeight="1">
      <x:c r="A70" s="19" t="str">
        <x:v>GoldDungeon/Special</x:v>
      </x:c>
      <x:c r="B70" s="19" t="str">
        <x:v>GoldDungeon_Special_02</x:v>
      </x:c>
      <x:c r="C70" s="19" t="str">
        <x:v>Assets/_Project/Prefabs/Environment/Prepared/GoldDungeon/Special/GoldDungeon_Special_02.prefab</x:v>
      </x:c>
      <x:c r="D70" s="19" t="n">
        <x:v>1</x:v>
      </x:c>
      <x:c r="E70" s="20" t="b">
        <x:v>1</x:v>
      </x:c>
      <x:c r="F70" s="19" t="str">
        <x:v>중앙 전투 공간 비움</x:v>
      </x:c>
    </x:row>
    <x:row r="71" ht="25" customHeight="1">
      <x:c r="A71" s="19" t="str">
        <x:v>GoldDungeon/Special</x:v>
      </x:c>
      <x:c r="B71" s="19" t="str">
        <x:v>GoldDungeon_Special_03</x:v>
      </x:c>
      <x:c r="C71" s="19" t="str">
        <x:v>Assets/_Project/Prefabs/Environment/Prepared/GoldDungeon/Special/GoldDungeon_Special_03.prefab</x:v>
      </x:c>
      <x:c r="D71" s="19" t="n">
        <x:v>1</x:v>
      </x:c>
      <x:c r="E71" s="20" t="b">
        <x:v>1</x:v>
      </x:c>
      <x:c r="F71" s="19" t="str">
        <x:v>중앙 전투 공간 비움</x:v>
      </x:c>
    </x:row>
    <x:row r="72" ht="25" customHeight="1">
      <x:c r="A72" s="19" t="str">
        <x:v>GoldDungeon/Special</x:v>
      </x:c>
      <x:c r="B72" s="19" t="str">
        <x:v>GoldDungeon_Special_04</x:v>
      </x:c>
      <x:c r="C72" s="19" t="str">
        <x:v>Assets/_Project/Prefabs/Environment/Prepared/GoldDungeon/Special/GoldDungeon_Special_04.prefab</x:v>
      </x:c>
      <x:c r="D72" s="19" t="n">
        <x:v>1</x:v>
      </x:c>
      <x:c r="E72" s="20" t="b">
        <x:v>1</x:v>
      </x:c>
      <x:c r="F72" s="19" t="str">
        <x:v>중앙 전투 공간 비움</x:v>
      </x:c>
    </x:row>
    <x:row r="73" ht="25" customHeight="1">
      <x:c r="A73" s="19" t="str">
        <x:v>GoldDungeon/Special</x:v>
      </x:c>
      <x:c r="B73" s="19" t="str">
        <x:v>GoldDungeon_Special_05</x:v>
      </x:c>
      <x:c r="C73" s="19" t="str">
        <x:v>Assets/_Project/Prefabs/Environment/Prepared/GoldDungeon/Special/GoldDungeon_Special_05.prefab</x:v>
      </x:c>
      <x:c r="D73" s="19" t="n">
        <x:v>1</x:v>
      </x:c>
      <x:c r="E73" s="20" t="b">
        <x:v>1</x:v>
      </x:c>
      <x:c r="F73" s="19" t="str">
        <x:v>중앙 전투 공간 비움</x:v>
      </x:c>
    </x:row>
    <x:row r="74" ht="25" customHeight="1">
      <x:c r="A74" s="19" t="str">
        <x:v>RubyWasteland/Main</x:v>
      </x:c>
      <x:c r="B74" s="19" t="str">
        <x:v>RubyWasteland_Main_01</x:v>
      </x:c>
      <x:c r="C74" s="19" t="str">
        <x:v>Assets/_Project/Prefabs/Environment/Prepared/RubyWasteland/Main/RubyWasteland_Main_01.prefab</x:v>
      </x:c>
      <x:c r="D74" s="19" t="n">
        <x:v>1</x:v>
      </x:c>
      <x:c r="E74" s="20" t="b">
        <x:v>1</x:v>
      </x:c>
      <x:c r="F74" s="19" t="str">
        <x:v>중앙 전투 공간 비움</x:v>
      </x:c>
    </x:row>
    <x:row r="75" ht="25" customHeight="1">
      <x:c r="A75" s="19" t="str">
        <x:v>RubyWasteland/Main</x:v>
      </x:c>
      <x:c r="B75" s="19" t="str">
        <x:v>RubyWasteland_Main_02</x:v>
      </x:c>
      <x:c r="C75" s="19" t="str">
        <x:v>Assets/_Project/Prefabs/Environment/Prepared/RubyWasteland/Main/RubyWasteland_Main_02.prefab</x:v>
      </x:c>
      <x:c r="D75" s="19" t="n">
        <x:v>1</x:v>
      </x:c>
      <x:c r="E75" s="20" t="b">
        <x:v>1</x:v>
      </x:c>
      <x:c r="F75" s="19" t="str">
        <x:v>중앙 전투 공간 비움</x:v>
      </x:c>
    </x:row>
    <x:row r="76" ht="25" customHeight="1">
      <x:c r="A76" s="19" t="str">
        <x:v>RubyWasteland/Main</x:v>
      </x:c>
      <x:c r="B76" s="19" t="str">
        <x:v>RubyWasteland_Main_03</x:v>
      </x:c>
      <x:c r="C76" s="19" t="str">
        <x:v>Assets/_Project/Prefabs/Environment/Prepared/RubyWasteland/Main/RubyWasteland_Main_03.prefab</x:v>
      </x:c>
      <x:c r="D76" s="19" t="n">
        <x:v>1</x:v>
      </x:c>
      <x:c r="E76" s="20" t="b">
        <x:v>1</x:v>
      </x:c>
      <x:c r="F76" s="19" t="str">
        <x:v>중앙 전투 공간 비움</x:v>
      </x:c>
    </x:row>
    <x:row r="77" ht="25" customHeight="1">
      <x:c r="A77" s="19" t="str">
        <x:v>RubyWasteland/Main</x:v>
      </x:c>
      <x:c r="B77" s="19" t="str">
        <x:v>RubyWasteland_Main_04</x:v>
      </x:c>
      <x:c r="C77" s="19" t="str">
        <x:v>Assets/_Project/Prefabs/Environment/Prepared/RubyWasteland/Main/RubyWasteland_Main_04.prefab</x:v>
      </x:c>
      <x:c r="D77" s="19" t="n">
        <x:v>1</x:v>
      </x:c>
      <x:c r="E77" s="20" t="b">
        <x:v>1</x:v>
      </x:c>
      <x:c r="F77" s="19" t="str">
        <x:v>중앙 전투 공간 비움</x:v>
      </x:c>
    </x:row>
    <x:row r="78" ht="25" customHeight="1">
      <x:c r="A78" s="19" t="str">
        <x:v>RubyWasteland/Main</x:v>
      </x:c>
      <x:c r="B78" s="19" t="str">
        <x:v>RubyWasteland_Main_05</x:v>
      </x:c>
      <x:c r="C78" s="19" t="str">
        <x:v>Assets/_Project/Prefabs/Environment/Prepared/RubyWasteland/Main/RubyWasteland_Main_05.prefab</x:v>
      </x:c>
      <x:c r="D78" s="19" t="n">
        <x:v>1</x:v>
      </x:c>
      <x:c r="E78" s="20" t="b">
        <x:v>1</x:v>
      </x:c>
      <x:c r="F78" s="19" t="str">
        <x:v>중앙 전투 공간 비움</x:v>
      </x:c>
    </x:row>
    <x:row r="79" ht="25" customHeight="1">
      <x:c r="A79" s="19" t="str">
        <x:v>RubyWasteland/Main</x:v>
      </x:c>
      <x:c r="B79" s="19" t="str">
        <x:v>RubyWasteland_Main_06</x:v>
      </x:c>
      <x:c r="C79" s="19" t="str">
        <x:v>Assets/_Project/Prefabs/Environment/Prepared/RubyWasteland/Main/RubyWasteland_Main_06.prefab</x:v>
      </x:c>
      <x:c r="D79" s="19" t="n">
        <x:v>1</x:v>
      </x:c>
      <x:c r="E79" s="20" t="b">
        <x:v>1</x:v>
      </x:c>
      <x:c r="F79" s="19" t="str">
        <x:v>중앙 전투 공간 비움</x:v>
      </x:c>
    </x:row>
    <x:row r="80" ht="25" customHeight="1">
      <x:c r="A80" s="19" t="str">
        <x:v>RubyWasteland/Main</x:v>
      </x:c>
      <x:c r="B80" s="19" t="str">
        <x:v>RubyWasteland_Main_07</x:v>
      </x:c>
      <x:c r="C80" s="19" t="str">
        <x:v>Assets/_Project/Prefabs/Environment/Prepared/RubyWasteland/Main/RubyWasteland_Main_07.prefab</x:v>
      </x:c>
      <x:c r="D80" s="19" t="n">
        <x:v>1</x:v>
      </x:c>
      <x:c r="E80" s="20" t="b">
        <x:v>1</x:v>
      </x:c>
      <x:c r="F80" s="19" t="str">
        <x:v>중앙 전투 공간 비움</x:v>
      </x:c>
    </x:row>
    <x:row r="81" ht="25" customHeight="1">
      <x:c r="A81" s="19" t="str">
        <x:v>RubyWasteland/Main</x:v>
      </x:c>
      <x:c r="B81" s="19" t="str">
        <x:v>RubyWasteland_Main_08</x:v>
      </x:c>
      <x:c r="C81" s="19" t="str">
        <x:v>Assets/_Project/Prefabs/Environment/Prepared/RubyWasteland/Main/RubyWasteland_Main_08.prefab</x:v>
      </x:c>
      <x:c r="D81" s="19" t="n">
        <x:v>1</x:v>
      </x:c>
      <x:c r="E81" s="20" t="b">
        <x:v>1</x:v>
      </x:c>
      <x:c r="F81" s="19" t="str">
        <x:v>중앙 전투 공간 비움</x:v>
      </x:c>
    </x:row>
    <x:row r="82" ht="25" customHeight="1">
      <x:c r="A82" s="19" t="str">
        <x:v>RubyWasteland/Main</x:v>
      </x:c>
      <x:c r="B82" s="19" t="str">
        <x:v>RubyWasteland_Main_09</x:v>
      </x:c>
      <x:c r="C82" s="19" t="str">
        <x:v>Assets/_Project/Prefabs/Environment/Prepared/RubyWasteland/Main/RubyWasteland_Main_09.prefab</x:v>
      </x:c>
      <x:c r="D82" s="19" t="n">
        <x:v>1</x:v>
      </x:c>
      <x:c r="E82" s="20" t="b">
        <x:v>1</x:v>
      </x:c>
      <x:c r="F82" s="19" t="str">
        <x:v>중앙 전투 공간 비움</x:v>
      </x:c>
    </x:row>
    <x:row r="83" ht="25" customHeight="1">
      <x:c r="A83" s="19" t="str">
        <x:v>RubyWasteland/Main</x:v>
      </x:c>
      <x:c r="B83" s="19" t="str">
        <x:v>RubyWasteland_Main_10</x:v>
      </x:c>
      <x:c r="C83" s="19" t="str">
        <x:v>Assets/_Project/Prefabs/Environment/Prepared/RubyWasteland/Main/RubyWasteland_Main_10.prefab</x:v>
      </x:c>
      <x:c r="D83" s="19" t="n">
        <x:v>1</x:v>
      </x:c>
      <x:c r="E83" s="20" t="b">
        <x:v>1</x:v>
      </x:c>
      <x:c r="F83" s="19" t="str">
        <x:v>중앙 전투 공간 비움</x:v>
      </x:c>
    </x:row>
    <x:row r="84" ht="25" customHeight="1">
      <x:c r="A84" s="19" t="str">
        <x:v>RubyWasteland/Boss</x:v>
      </x:c>
      <x:c r="B84" s="19" t="str">
        <x:v>RubyWasteland_Boss_01</x:v>
      </x:c>
      <x:c r="C84" s="19" t="str">
        <x:v>Assets/_Project/Prefabs/Environment/Prepared/RubyWasteland/Boss/RubyWasteland_Boss_01.prefab</x:v>
      </x:c>
      <x:c r="D84" s="19" t="n">
        <x:v>1</x:v>
      </x:c>
      <x:c r="E84" s="20" t="b">
        <x:v>1</x:v>
      </x:c>
      <x:c r="F84" s="19" t="str">
        <x:v>중앙 전투 공간 비움</x:v>
      </x:c>
    </x:row>
    <x:row r="85" ht="25" customHeight="1">
      <x:c r="A85" s="19" t="str">
        <x:v>RubyWasteland/Boss</x:v>
      </x:c>
      <x:c r="B85" s="19" t="str">
        <x:v>RubyWasteland_Boss_02</x:v>
      </x:c>
      <x:c r="C85" s="19" t="str">
        <x:v>Assets/_Project/Prefabs/Environment/Prepared/RubyWasteland/Boss/RubyWasteland_Boss_02.prefab</x:v>
      </x:c>
      <x:c r="D85" s="19" t="n">
        <x:v>1</x:v>
      </x:c>
      <x:c r="E85" s="20" t="b">
        <x:v>1</x:v>
      </x:c>
      <x:c r="F85" s="19" t="str">
        <x:v>중앙 전투 공간 비움</x:v>
      </x:c>
    </x:row>
    <x:row r="86" ht="25" customHeight="1">
      <x:c r="A86" s="19" t="str">
        <x:v>RubyWasteland/Boss</x:v>
      </x:c>
      <x:c r="B86" s="19" t="str">
        <x:v>RubyWasteland_Boss_03</x:v>
      </x:c>
      <x:c r="C86" s="19" t="str">
        <x:v>Assets/_Project/Prefabs/Environment/Prepared/RubyWasteland/Boss/RubyWasteland_Boss_03.prefab</x:v>
      </x:c>
      <x:c r="D86" s="19" t="n">
        <x:v>1</x:v>
      </x:c>
      <x:c r="E86" s="20" t="b">
        <x:v>1</x:v>
      </x:c>
      <x:c r="F86" s="19" t="str">
        <x:v>중앙 전투 공간 비움</x:v>
      </x:c>
    </x:row>
    <x:row r="87" ht="25" customHeight="1">
      <x:c r="A87" s="19" t="str">
        <x:v>RubyWasteland/Special</x:v>
      </x:c>
      <x:c r="B87" s="19" t="str">
        <x:v>RubyWasteland_Special_01</x:v>
      </x:c>
      <x:c r="C87" s="19" t="str">
        <x:v>Assets/_Project/Prefabs/Environment/Prepared/RubyWasteland/Special/RubyWasteland_Special_01.prefab</x:v>
      </x:c>
      <x:c r="D87" s="19" t="n">
        <x:v>1</x:v>
      </x:c>
      <x:c r="E87" s="20" t="b">
        <x:v>1</x:v>
      </x:c>
      <x:c r="F87" s="19" t="str">
        <x:v>중앙 전투 공간 비움</x:v>
      </x:c>
    </x:row>
    <x:row r="88" ht="25" customHeight="1">
      <x:c r="A88" s="19" t="str">
        <x:v>RubyWasteland/Special</x:v>
      </x:c>
      <x:c r="B88" s="19" t="str">
        <x:v>RubyWasteland_Special_02</x:v>
      </x:c>
      <x:c r="C88" s="19" t="str">
        <x:v>Assets/_Project/Prefabs/Environment/Prepared/RubyWasteland/Special/RubyWasteland_Special_02.prefab</x:v>
      </x:c>
      <x:c r="D88" s="19" t="n">
        <x:v>1</x:v>
      </x:c>
      <x:c r="E88" s="20" t="b">
        <x:v>1</x:v>
      </x:c>
      <x:c r="F88" s="19" t="str">
        <x:v>중앙 전투 공간 비움</x:v>
      </x:c>
    </x:row>
    <x:row r="89" ht="25" customHeight="1">
      <x:c r="A89" s="19" t="str">
        <x:v>RubyWasteland/Special</x:v>
      </x:c>
      <x:c r="B89" s="19" t="str">
        <x:v>RubyWasteland_Special_03</x:v>
      </x:c>
      <x:c r="C89" s="19" t="str">
        <x:v>Assets/_Project/Prefabs/Environment/Prepared/RubyWasteland/Special/RubyWasteland_Special_03.prefab</x:v>
      </x:c>
      <x:c r="D89" s="19" t="n">
        <x:v>1</x:v>
      </x:c>
      <x:c r="E89" s="20" t="b">
        <x:v>1</x:v>
      </x:c>
      <x:c r="F89" s="19" t="str">
        <x:v>중앙 전투 공간 비움</x:v>
      </x:c>
    </x:row>
    <x:row r="90" ht="25" customHeight="1">
      <x:c r="A90" s="19" t="str">
        <x:v>RubyWasteland/Special</x:v>
      </x:c>
      <x:c r="B90" s="19" t="str">
        <x:v>RubyWasteland_Special_04</x:v>
      </x:c>
      <x:c r="C90" s="19" t="str">
        <x:v>Assets/_Project/Prefabs/Environment/Prepared/RubyWasteland/Special/RubyWasteland_Special_04.prefab</x:v>
      </x:c>
      <x:c r="D90" s="19" t="n">
        <x:v>1</x:v>
      </x:c>
      <x:c r="E90" s="20" t="b">
        <x:v>1</x:v>
      </x:c>
      <x:c r="F90" s="19" t="str">
        <x:v>중앙 전투 공간 비움</x:v>
      </x:c>
    </x:row>
    <x:row r="91" ht="25" customHeight="1">
      <x:c r="A91" s="19" t="str">
        <x:v>RubyWasteland/Special</x:v>
      </x:c>
      <x:c r="B91" s="19" t="str">
        <x:v>RubyWasteland_Special_05</x:v>
      </x:c>
      <x:c r="C91" s="19" t="str">
        <x:v>Assets/_Project/Prefabs/Environment/Prepared/RubyWasteland/Special/RubyWasteland_Special_05.prefab</x:v>
      </x:c>
      <x:c r="D91" s="19" t="n">
        <x:v>1</x:v>
      </x:c>
      <x:c r="E91" s="20" t="b">
        <x:v>1</x:v>
      </x:c>
      <x:c r="F91" s="19" t="str">
        <x:v>중앙 전투 공간 비움</x:v>
      </x:c>
    </x:row>
  </x:sheetData>
  <x:pageMargins left="0.7" right="0.7" top="0.75" bottom="0.75" header="0.3" footer="0.3"/>
  <x:tableParts count="1">
    <x:tablePart xmlns:r="http://schemas.openxmlformats.org/officeDocument/2006/relationships" r:id="R6a2b2b41e24a4c48"/>
  </x:tableParts>
</x:worksheet>
</file>

<file path=xl/worksheets/sheet10.xml><?xml version="1.0" encoding="utf-8"?>
<x:worksheet xmlns:x="http://schemas.openxmlformats.org/spreadsheetml/2006/main">
  <x:sheetPr>
    <x:tabColor rgb="FF2D6176"/>
  </x:sheetPr>
  <x:sheetViews>
    <x:sheetView showGridLines="0" workbookViewId="0">
      <x:pane xSplit="1" ySplit="1" topLeftCell="B2" activePane="bottomRight" state="frozen"/>
    </x:sheetView>
  </x:sheetViews>
  <x:sheetFormatPr defaultRowHeight="15"/>
  <x:cols>
    <x:col min="1" max="1" width="18" hidden="0" customWidth="1"/>
    <x:col min="2" max="2" width="18" hidden="0" customWidth="1"/>
    <x:col min="3" max="3" width="18" hidden="0" customWidth="1"/>
    <x:col min="4" max="4" width="18" hidden="0" customWidth="1"/>
    <x:col min="5" max="5" width="65" hidden="0" customWidth="1"/>
  </x:cols>
  <x:sheetData>
    <x:row r="1" ht="43" customHeight="1">
      <x:c r="A1" s="18" t="str">
        <x:v>FlowConfigId</x:v>
      </x:c>
      <x:c r="B1" s="18" t="str">
        <x:v>RequiredKillCount</x:v>
      </x:c>
      <x:c r="C1" s="18" t="str">
        <x:v>TargetMonsterType</x:v>
      </x:c>
      <x:c r="D1" s="18" t="str">
        <x:v>DefeatAction</x:v>
      </x:c>
      <x:c r="E1" s="18" t="str">
        <x:v>Notes</x:v>
      </x:c>
    </x:row>
    <x:row r="2" ht="25" customHeight="1">
      <x:c r="A2" s="19" t="str">
        <x:v>GoldClear</x:v>
      </x:c>
      <x:c r="B2" s="21" t="n">
        <x:f>'Inputs'!$B$33</x:f>
        <x:v>20</x:v>
      </x:c>
      <x:c r="C2" s="19" t="str">
        <x:v>Any</x:v>
      </x:c>
      <x:c r="D2" s="19" t="str">
        <x:v>AwaitDefeatChoice</x:v>
      </x:c>
      <x:c r="E2" s="19" t="str">
        <x:v>5체씩 4묶음, 처치 보상은 실패해도 보존</x:v>
      </x:c>
    </x:row>
    <x:row r="3" ht="25" customHeight="1">
      <x:c r="A3" s="19" t="str">
        <x:v>RubyClear</x:v>
      </x:c>
      <x:c r="B3" s="19" t="n">
        <x:v>3</x:v>
      </x:c>
      <x:c r="C3" s="19" t="str">
        <x:v>Any</x:v>
      </x:c>
      <x:c r="D3" s="19" t="str">
        <x:v>AwaitDefeatChoice</x:v>
      </x:c>
      <x:c r="E3" s="19" t="str">
        <x:v>3보스 순차, 각 30초·전환 0.8초 동안 시간 정지</x:v>
      </x:c>
    </x:row>
  </x:sheetData>
  <x:pageMargins left="0.7" right="0.7" top="0.75" bottom="0.75" header="0.3" footer="0.3"/>
  <x:tableParts count="1">
    <x:tablePart xmlns:r="http://schemas.openxmlformats.org/officeDocument/2006/relationships" r:id="R07eb2da214a04d4a"/>
  </x:tableParts>
</x:worksheet>
</file>

<file path=xl/worksheets/sheet11.xml><?xml version="1.0" encoding="utf-8"?>
<x:worksheet xmlns:x="http://schemas.openxmlformats.org/spreadsheetml/2006/main">
  <x:sheetPr>
    <x:tabColor rgb="FF70858C"/>
  </x:sheetPr>
  <x:sheetViews>
    <x:sheetView showGridLines="0" workbookViewId="0">
      <x:pane xSplit="1" ySplit="1" topLeftCell="B2" activePane="bottomRight" state="frozen"/>
    </x:sheetView>
  </x:sheetViews>
  <x:sheetFormatPr defaultRowHeight="15"/>
  <x:cols>
    <x:col min="1" max="1" width="26" hidden="0" customWidth="1"/>
    <x:col min="2" max="2" width="18" hidden="0" customWidth="1"/>
    <x:col min="3" max="3" width="22" hidden="0" customWidth="1"/>
    <x:col min="4" max="4" width="72" hidden="0" customWidth="1"/>
  </x:cols>
  <x:sheetData>
    <x:row r="1" ht="43" customHeight="1">
      <x:c r="A1" s="18" t="str">
        <x:v>Key</x:v>
      </x:c>
      <x:c r="B1" s="18" t="str">
        <x:v>Value</x:v>
      </x:c>
      <x:c r="C1" s="18" t="str">
        <x:v>Unit</x:v>
      </x:c>
      <x:c r="D1" s="18" t="str">
        <x:v>Description</x:v>
      </x:c>
    </x:row>
    <x:row r="2" ht="25" customHeight="1">
      <x:c r="A2" s="19" t="str">
        <x:v>hp0</x:v>
      </x:c>
      <x:c r="B2" s="19" t="n">
        <x:v>80</x:v>
      </x:c>
      <x:c r="C2" s="19" t="str">
        <x:v>HP</x:v>
      </x:c>
      <x:c r="D2" s="19" t="str">
        <x:v>메인 n=1 일반1체</x:v>
      </x:c>
    </x:row>
    <x:row r="3" ht="25" customHeight="1">
      <x:c r="A3" s="19" t="str">
        <x:v>hpGrowth</x:v>
      </x:c>
      <x:c r="B3" s="22" t="n">
        <x:v>1.1</x:v>
      </x:c>
      <x:c r="C3" s="19" t="str">
        <x:v>배/웨이브</x:v>
      </x:c>
      <x:c r="D3" s="19" t="str">
        <x:v>HP 지수 성장</x:v>
      </x:c>
    </x:row>
    <x:row r="4" ht="25" customHeight="1">
      <x:c r="A4" s="19" t="str">
        <x:v>atk0</x:v>
      </x:c>
      <x:c r="B4" s="19" t="n">
        <x:v>5</x:v>
      </x:c>
      <x:c r="C4" s="19" t="str">
        <x:v>ATK</x:v>
      </x:c>
      <x:c r="D4" s="19" t="str">
        <x:v>메인 n=1 일반1체</x:v>
      </x:c>
    </x:row>
    <x:row r="5" ht="25" customHeight="1">
      <x:c r="A5" s="19" t="str">
        <x:v>atkGrowth</x:v>
      </x:c>
      <x:c r="B5" s="22" t="n">
        <x:v>1.065</x:v>
      </x:c>
      <x:c r="C5" s="19" t="str">
        <x:v>배/웨이브</x:v>
      </x:c>
      <x:c r="D5" s="19" t="str">
        <x:v>ATK 지수 성장</x:v>
      </x:c>
    </x:row>
    <x:row r="6" ht="25" customHeight="1">
      <x:c r="A6" s="19" t="str">
        <x:v>gold0</x:v>
      </x:c>
      <x:c r="B6" s="19" t="n">
        <x:v>10</x:v>
      </x:c>
      <x:c r="C6" s="19" t="str">
        <x:v>Gold/체</x:v>
      </x:c>
      <x:c r="D6" s="19" t="str">
        <x:v>메인 n=1 일반</x:v>
      </x:c>
    </x:row>
    <x:row r="7" ht="25" customHeight="1">
      <x:c r="A7" s="19" t="str">
        <x:v>goldGrowth</x:v>
      </x:c>
      <x:c r="B7" s="22" t="n">
        <x:v>1.08</x:v>
      </x:c>
      <x:c r="C7" s="19" t="str">
        <x:v>배/웨이브</x:v>
      </x:c>
      <x:c r="D7" s="19" t="str">
        <x:v>골드 지수 성장</x:v>
      </x:c>
    </x:row>
    <x:row r="8" ht="25" customHeight="1">
      <x:c r="A8" s="19" t="str">
        <x:v>exp0</x:v>
      </x:c>
      <x:c r="B8" s="19" t="n">
        <x:v>3</x:v>
      </x:c>
      <x:c r="C8" s="19" t="str">
        <x:v>EXP/체</x:v>
      </x:c>
      <x:c r="D8" s="19" t="str">
        <x:v>메인 n=1 일반</x:v>
      </x:c>
    </x:row>
    <x:row r="9" ht="25" customHeight="1">
      <x:c r="A9" s="19" t="str">
        <x:v>expGrowth</x:v>
      </x:c>
      <x:c r="B9" s="22" t="n">
        <x:v>1.07</x:v>
      </x:c>
      <x:c r="C9" s="19" t="str">
        <x:v>배/웨이브</x:v>
      </x:c>
      <x:c r="D9" s="19" t="str">
        <x:v>EXP 지수 성장</x:v>
      </x:c>
    </x:row>
    <x:row r="10" ht="25" customHeight="1">
      <x:c r="A10" s="19" t="str">
        <x:v>bossHP</x:v>
      </x:c>
      <x:c r="B10" s="19" t="n">
        <x:v>18</x:v>
      </x:c>
      <x:c r="C10" s="19" t="str">
        <x:v>배</x:v>
      </x:c>
      <x:c r="D10" s="19" t="str">
        <x:v>보스 HP; 정수화 전에 적용</x:v>
      </x:c>
    </x:row>
    <x:row r="11" ht="25" customHeight="1">
      <x:c r="A11" s="19" t="str">
        <x:v>bossATK</x:v>
      </x:c>
      <x:c r="B11" s="19" t="n">
        <x:v>3</x:v>
      </x:c>
      <x:c r="C11" s="19" t="str">
        <x:v>배</x:v>
      </x:c>
      <x:c r="D11" s="19" t="str">
        <x:v>보스 ATK</x:v>
      </x:c>
    </x:row>
    <x:row r="12" ht="25" customHeight="1">
      <x:c r="A12" s="19" t="str">
        <x:v>bossGold</x:v>
      </x:c>
      <x:c r="B12" s="19" t="n">
        <x:v>10</x:v>
      </x:c>
      <x:c r="C12" s="19" t="str">
        <x:v>배</x:v>
      </x:c>
      <x:c r="D12" s="19" t="str">
        <x:v>보스 반복 Gold; 주화/파편0</x:v>
      </x:c>
    </x:row>
    <x:row r="13" ht="25" customHeight="1">
      <x:c r="A13" s="19" t="str">
        <x:v>bossExp</x:v>
      </x:c>
      <x:c r="B13" s="19" t="n">
        <x:v>20</x:v>
      </x:c>
      <x:c r="C13" s="19" t="str">
        <x:v>배</x:v>
      </x:c>
      <x:c r="D13" s="19" t="str">
        <x:v>보스 EXP</x:v>
      </x:c>
    </x:row>
    <x:row r="14" ht="25" customHeight="1">
      <x:c r="A14" s="19" t="str">
        <x:v>mainBossSec</x:v>
      </x:c>
      <x:c r="B14" s="19" t="n">
        <x:v>60</x:v>
      </x:c>
      <x:c r="C14" s="19" t="str">
        <x:v>초</x:v>
      </x:c>
      <x:c r="D14" s="19" t="str">
        <x:v>메인 보스 제한</x:v>
      </x:c>
    </x:row>
    <x:row r="15" ht="25" customHeight="1">
      <x:c r="A15" s="19" t="str">
        <x:v>kpm</x:v>
      </x:c>
      <x:c r="B15" s="19" t="n">
        <x:v>30</x:v>
      </x:c>
      <x:c r="C15" s="19" t="str">
        <x:v>킬/분</x:v>
      </x:c>
      <x:c r="D15" s="19" t="str">
        <x:v>검증된 안전 일반 웨이브 KPM 상한; 가정값</x:v>
      </x:c>
    </x:row>
    <x:row r="16" ht="25" customHeight="1">
      <x:c r="A16" s="19" t="str">
        <x:v>offlineEff</x:v>
      </x:c>
      <x:c r="B16" s="22" t="n">
        <x:v>0.6</x:v>
      </x:c>
      <x:c r="C16" s="19" t="str">
        <x:v>비율</x:v>
      </x:c>
      <x:c r="D16" s="19" t="str">
        <x:v>오프라인 효율</x:v>
      </x:c>
    </x:row>
    <x:row r="17" ht="25" customHeight="1">
      <x:c r="A17" s="19" t="str">
        <x:v>offlineH</x:v>
      </x:c>
      <x:c r="B17" s="19" t="n">
        <x:v>8</x:v>
      </x:c>
      <x:c r="C17" s="19" t="str">
        <x:v>시간/정산</x:v>
      </x:c>
      <x:c r="D17" s="19" t="str">
        <x:v>보상 구간 상한, 하루 최대가 아님</x:v>
      </x:c>
    </x:row>
    <x:row r="18" ht="25" customHeight="1">
      <x:c r="A18" s="19" t="str">
        <x:v>eqRate</x:v>
      </x:c>
      <x:c r="B18" s="22" t="n">
        <x:v>0.02</x:v>
      </x:c>
      <x:c r="C18" s="19" t="str">
        <x:v>비율</x:v>
      </x:c>
      <x:c r="D18" s="19" t="str">
        <x:v>일반 장비 드롭률 시작</x:v>
      </x:c>
    </x:row>
    <x:row r="19" ht="25" customHeight="1">
      <x:c r="A19" s="19" t="str">
        <x:v>eqRateStep</x:v>
      </x:c>
      <x:c r="B19" s="22" t="n">
        <x:v>0.001</x:v>
      </x:c>
      <x:c r="C19" s="19" t="str">
        <x:v>비율/S</x:v>
      </x:c>
      <x:c r="D19" s="19" t="str">
        <x:v>스테이지마다 0.1%p 상승</x:v>
      </x:c>
    </x:row>
    <x:row r="20" ht="25" customHeight="1">
      <x:c r="A20" s="19" t="str">
        <x:v>eqRateCap</x:v>
      </x:c>
      <x:c r="B20" s="22" t="n">
        <x:v>0.03</x:v>
      </x:c>
      <x:c r="C20" s="19" t="str">
        <x:v>비율</x:v>
      </x:c>
      <x:c r="D20" s="19" t="str">
        <x:v>일반 장비 드롭률 상한</x:v>
      </x:c>
    </x:row>
    <x:row r="21" ht="25" customHeight="1">
      <x:c r="A21" s="19" t="str">
        <x:v>goldCost0</x:v>
      </x:c>
      <x:c r="B21" s="19" t="n">
        <x:v>50</x:v>
      </x:c>
      <x:c r="C21" s="19" t="str">
        <x:v>Gold</x:v>
      </x:c>
      <x:c r="D21" s="19" t="str">
        <x:v>L0→1</x:v>
      </x:c>
    </x:row>
    <x:row r="22" ht="25" customHeight="1">
      <x:c r="A22" s="19" t="str">
        <x:v>goldCostGrowth</x:v>
      </x:c>
      <x:c r="B22" s="22" t="n">
        <x:v>1.07</x:v>
      </x:c>
      <x:c r="C22" s="19" t="str">
        <x:v>배/L</x:v>
      </x:c>
      <x:c r="D22" s="19" t="str">
        <x:v>ATK/HP 동일 비용</x:v>
      </x:c>
    </x:row>
    <x:row r="23" ht="25" customHeight="1">
      <x:c r="A23" s="19" t="str">
        <x:v>goldEffect</x:v>
      </x:c>
      <x:c r="B23" s="22" t="n">
        <x:v>1.025</x:v>
      </x:c>
      <x:c r="C23" s="19" t="str">
        <x:v>배/L</x:v>
      </x:c>
      <x:c r="D23" s="19" t="str">
        <x:v>ATK/HP 효과</x:v>
      </x:c>
    </x:row>
    <x:row r="24" ht="25" customHeight="1">
      <x:c r="A24" s="19" t="str">
        <x:v>goldCap</x:v>
      </x:c>
      <x:c r="B24" s="19" t="n">
        <x:v>300</x:v>
      </x:c>
      <x:c r="C24" s="19" t="str">
        <x:v>레벨</x:v>
      </x:c>
      <x:c r="D24" s="19" t="str">
        <x:v>트랙별 상한</x:v>
      </x:c>
    </x:row>
    <x:row r="25" ht="25" customHeight="1">
      <x:c r="A25" s="19" t="str">
        <x:v>mageCost0</x:v>
      </x:c>
      <x:c r="B25" s="19" t="n">
        <x:v>10</x:v>
      </x:c>
      <x:c r="C25" s="19" t="str">
        <x:v>AK</x:v>
      </x:c>
      <x:c r="D25" s="19" t="str">
        <x:v>E0→1</x:v>
      </x:c>
    </x:row>
    <x:row r="26" ht="25" customHeight="1">
      <x:c r="A26" s="19" t="str">
        <x:v>mageCostGrowth</x:v>
      </x:c>
      <x:c r="B26" s="22" t="n">
        <x:v>1.04</x:v>
      </x:c>
      <x:c r="C26" s="19" t="str">
        <x:v>배/E</x:v>
      </x:c>
      <x:c r="D26" s="19" t="str">
        <x:v>마탑 직접 강화</x:v>
      </x:c>
    </x:row>
    <x:row r="27" ht="25" customHeight="1">
      <x:c r="A27" s="19" t="str">
        <x:v>mageEffect</x:v>
      </x:c>
      <x:c r="B27" s="22" t="n">
        <x:v>1.04</x:v>
      </x:c>
      <x:c r="C27" s="19" t="str">
        <x:v>배/E</x:v>
      </x:c>
      <x:c r="D27" s="19" t="str">
        <x:v>마탑 피해 효과</x:v>
      </x:c>
    </x:row>
    <x:row r="28" ht="25" customHeight="1">
      <x:c r="A28" s="19" t="str">
        <x:v>mageCap</x:v>
      </x:c>
      <x:c r="B28" s="19" t="n">
        <x:v>100</x:v>
      </x:c>
      <x:c r="C28" s="19" t="str">
        <x:v>레벨</x:v>
      </x:c>
      <x:c r="D28" s="19" t="str">
        <x:v>스킬별 상한</x:v>
      </x:c>
    </x:row>
    <x:row r="29" ht="25" customHeight="1">
      <x:c r="A29" s="19" t="str">
        <x:v>rubyCost0</x:v>
      </x:c>
      <x:c r="B29" s="19" t="n">
        <x:v>20</x:v>
      </x:c>
      <x:c r="C29" s="19" t="str">
        <x:v>Ruby</x:v>
      </x:c>
      <x:c r="D29" s="19" t="str">
        <x:v>L0→1</x:v>
      </x:c>
    </x:row>
    <x:row r="30" ht="25" customHeight="1">
      <x:c r="A30" s="19" t="str">
        <x:v>rubyCostGrowth</x:v>
      </x:c>
      <x:c r="B30" s="22" t="n">
        <x:v>1.08</x:v>
      </x:c>
      <x:c r="C30" s="19" t="str">
        <x:v>배/L</x:v>
      </x:c>
      <x:c r="D30" s="19" t="str">
        <x:v>수급 강화2트랙</x:v>
      </x:c>
    </x:row>
    <x:row r="31" ht="25" customHeight="1">
      <x:c r="A31" s="19" t="str">
        <x:v>rubyEffect</x:v>
      </x:c>
      <x:c r="B31" s="22" t="n">
        <x:v>0.02</x:v>
      </x:c>
      <x:c r="C31" s="19" t="str">
        <x:v>비율/L</x:v>
      </x:c>
      <x:c r="D31" s="19" t="str">
        <x:v>골드/EXP 획득 +2%p</x:v>
      </x:c>
    </x:row>
    <x:row r="32" ht="25" customHeight="1">
      <x:c r="A32" s="19" t="str">
        <x:v>rubyCap</x:v>
      </x:c>
      <x:c r="B32" s="19" t="n">
        <x:v>50</x:v>
      </x:c>
      <x:c r="C32" s="19" t="str">
        <x:v>레벨</x:v>
      </x:c>
      <x:c r="D32" s="19" t="str">
        <x:v>트랙별 상한</x:v>
      </x:c>
    </x:row>
    <x:row r="33" ht="25" customHeight="1">
      <x:c r="A33" s="19" t="str">
        <x:v>goldCount</x:v>
      </x:c>
      <x:c r="B33" s="19" t="n">
        <x:v>20</x:v>
      </x:c>
      <x:c r="C33" s="19" t="str">
        <x:v>체</x:v>
      </x:c>
      <x:c r="D33" s="19" t="str">
        <x:v>미믹 총수</x:v>
      </x:c>
    </x:row>
    <x:row r="34" ht="25" customHeight="1">
      <x:c r="A34" s="19" t="str">
        <x:v>goldDungeonHP</x:v>
      </x:c>
      <x:c r="B34" s="19" t="n">
        <x:v>500</x:v>
      </x:c>
      <x:c r="C34" s="19" t="str">
        <x:v>HP</x:v>
      </x:c>
      <x:c r="D34" s="19" t="str">
        <x:v>미믹 d1</x:v>
      </x:c>
    </x:row>
    <x:row r="35" ht="25" customHeight="1">
      <x:c r="A35" s="19" t="str">
        <x:v>goldDungeonHPGrowth</x:v>
      </x:c>
      <x:c r="B35" s="19" t="n">
        <x:v>2</x:v>
      </x:c>
      <x:c r="C35" s="19" t="str">
        <x:v>배/d</x:v>
      </x:c>
      <x:c r="D35" s="19" t="str">
        <x:v>미믹 HP</x:v>
      </x:c>
    </x:row>
    <x:row r="36" ht="25" customHeight="1">
      <x:c r="A36" s="19" t="str">
        <x:v>goldDungeonATK</x:v>
      </x:c>
      <x:c r="B36" s="19" t="n">
        <x:v>6</x:v>
      </x:c>
      <x:c r="C36" s="19" t="str">
        <x:v>ATK</x:v>
      </x:c>
      <x:c r="D36" s="19" t="str">
        <x:v>미믹 d1</x:v>
      </x:c>
    </x:row>
    <x:row r="37" ht="25" customHeight="1">
      <x:c r="A37" s="19" t="str">
        <x:v>dungeonATKGrowth</x:v>
      </x:c>
      <x:c r="B37" s="22" t="n">
        <x:v>1.35</x:v>
      </x:c>
      <x:c r="C37" s="19" t="str">
        <x:v>배/d</x:v>
      </x:c>
      <x:c r="D37" s="19" t="str">
        <x:v>골드/루비 ATK 성장</x:v>
      </x:c>
    </x:row>
    <x:row r="38" ht="25" customHeight="1">
      <x:c r="A38" s="19" t="str">
        <x:v>goldDungeonEach</x:v>
      </x:c>
      <x:c r="B38" s="19" t="n">
        <x:v>450</x:v>
      </x:c>
      <x:c r="C38" s="19" t="str">
        <x:v>Gold/체</x:v>
      </x:c>
      <x:c r="D38" s="19" t="str">
        <x:v>미믹 d1</x:v>
      </x:c>
    </x:row>
    <x:row r="39" ht="25" customHeight="1">
      <x:c r="A39" s="19" t="str">
        <x:v>goldDungeonGrowth</x:v>
      </x:c>
      <x:c r="B39" s="22" t="n">
        <x:v>1.6</x:v>
      </x:c>
      <x:c r="C39" s="19" t="str">
        <x:v>배/d</x:v>
      </x:c>
      <x:c r="D39" s="19" t="str">
        <x:v>미믹 Gold</x:v>
      </x:c>
    </x:row>
    <x:row r="40" ht="25" customHeight="1">
      <x:c r="A40" s="19" t="str">
        <x:v>goldDungeonSec</x:v>
      </x:c>
      <x:c r="B40" s="19" t="n">
        <x:v>60</x:v>
      </x:c>
      <x:c r="C40" s="19" t="str">
        <x:v>초/판</x:v>
      </x:c>
      <x:c r="D40" s="19" t="str">
        <x:v>실패해도 처치 Gold 보존</x:v>
      </x:c>
    </x:row>
    <x:row r="41" ht="25" customHeight="1">
      <x:c r="A41" s="19" t="str">
        <x:v>rubyHP1</x:v>
      </x:c>
      <x:c r="B41" s="19" t="n">
        <x:v>1200</x:v>
      </x:c>
      <x:c r="C41" s="19" t="str">
        <x:v>HP</x:v>
      </x:c>
      <x:c r="D41" s="19" t="str">
        <x:v>보스1 d1</x:v>
      </x:c>
    </x:row>
    <x:row r="42" ht="25" customHeight="1">
      <x:c r="A42" s="19" t="str">
        <x:v>rubyHP2</x:v>
      </x:c>
      <x:c r="B42" s="19" t="n">
        <x:v>1800</x:v>
      </x:c>
      <x:c r="C42" s="19" t="str">
        <x:v>HP</x:v>
      </x:c>
      <x:c r="D42" s="19" t="str">
        <x:v>보스2 d1</x:v>
      </x:c>
    </x:row>
    <x:row r="43" ht="25" customHeight="1">
      <x:c r="A43" s="19" t="str">
        <x:v>rubyHP3</x:v>
      </x:c>
      <x:c r="B43" s="19" t="n">
        <x:v>2400</x:v>
      </x:c>
      <x:c r="C43" s="19" t="str">
        <x:v>HP</x:v>
      </x:c>
      <x:c r="D43" s="19" t="str">
        <x:v>보스3 d1</x:v>
      </x:c>
    </x:row>
    <x:row r="44" ht="25" customHeight="1">
      <x:c r="A44" s="19" t="str">
        <x:v>rubyHPGrowth</x:v>
      </x:c>
      <x:c r="B44" s="22" t="n">
        <x:v>2.2</x:v>
      </x:c>
      <x:c r="C44" s="19" t="str">
        <x:v>배/d</x:v>
      </x:c>
      <x:c r="D44" s="19" t="str">
        <x:v>보스 HP</x:v>
      </x:c>
    </x:row>
    <x:row r="45" ht="25" customHeight="1">
      <x:c r="A45" s="19" t="str">
        <x:v>rubyATK1</x:v>
      </x:c>
      <x:c r="B45" s="19" t="n">
        <x:v>12</x:v>
      </x:c>
      <x:c r="C45" s="19" t="str">
        <x:v>ATK</x:v>
      </x:c>
      <x:c r="D45" s="19" t="str">
        <x:v>보스1 d1</x:v>
      </x:c>
    </x:row>
    <x:row r="46" ht="25" customHeight="1">
      <x:c r="A46" s="19" t="str">
        <x:v>rubyATK2</x:v>
      </x:c>
      <x:c r="B46" s="19" t="n">
        <x:v>15</x:v>
      </x:c>
      <x:c r="C46" s="19" t="str">
        <x:v>ATK</x:v>
      </x:c>
      <x:c r="D46" s="19" t="str">
        <x:v>보스2 d1</x:v>
      </x:c>
    </x:row>
    <x:row r="47" ht="25" customHeight="1">
      <x:c r="A47" s="19" t="str">
        <x:v>rubyATK3</x:v>
      </x:c>
      <x:c r="B47" s="19" t="n">
        <x:v>18</x:v>
      </x:c>
      <x:c r="C47" s="19" t="str">
        <x:v>ATK</x:v>
      </x:c>
      <x:c r="D47" s="19" t="str">
        <x:v>보스3 d1</x:v>
      </x:c>
    </x:row>
    <x:row r="48" ht="25" customHeight="1">
      <x:c r="A48" s="19" t="str">
        <x:v>rubySec</x:v>
      </x:c>
      <x:c r="B48" s="19" t="n">
        <x:v>30</x:v>
      </x:c>
      <x:c r="C48" s="19" t="str">
        <x:v>초/보스</x:v>
      </x:c>
      <x:c r="D48" s="19" t="str">
        <x:v>잔여시간 이월 없음</x:v>
      </x:c>
    </x:row>
    <x:row r="49" ht="25" customHeight="1">
      <x:c r="A49" s="19" t="str">
        <x:v>rubyReward</x:v>
      </x:c>
      <x:c r="B49" s="19" t="n">
        <x:v>50</x:v>
      </x:c>
      <x:c r="C49" s="19" t="str">
        <x:v>Ruby/클리어</x:v>
      </x:c>
      <x:c r="D49" s="19" t="str">
        <x:v>d1</x:v>
      </x:c>
    </x:row>
    <x:row r="50" ht="25" customHeight="1">
      <x:c r="A50" s="19" t="str">
        <x:v>rubyRewardGrowth</x:v>
      </x:c>
      <x:c r="B50" s="22" t="n">
        <x:v>1.35</x:v>
      </x:c>
      <x:c r="C50" s="19" t="str">
        <x:v>배/d</x:v>
      </x:c>
      <x:c r="D50" s="19" t="str">
        <x:v>확정 지급량 상승</x:v>
      </x:c>
    </x:row>
    <x:row r="51" ht="25" customHeight="1">
      <x:c r="A51" s="19" t="str">
        <x:v>rubyFirst</x:v>
      </x:c>
      <x:c r="B51" s="19" t="n">
        <x:v>25</x:v>
      </x:c>
      <x:c r="C51" s="19" t="str">
        <x:v>Ruby×d</x:v>
      </x:c>
      <x:c r="D51" s="19" t="str">
        <x:v>최초추가, 계정1회</x:v>
      </x:c>
    </x:row>
    <x:row r="52" ht="25" customHeight="1">
      <x:c r="A52" s="19" t="str">
        <x:v>dailyTickets</x:v>
      </x:c>
      <x:c r="B52" s="19" t="n">
        <x:v>2</x:v>
      </x:c>
      <x:c r="C52" s="19" t="str">
        <x:v>매/타입</x:v>
      </x:c>
      <x:c r="D52" s="19" t="str">
        <x:v>KST00:00 재충전; 이월X</x:v>
      </x:c>
    </x:row>
    <x:row r="53" ht="25" customHeight="1">
      <x:c r="A53" s="19" t="str">
        <x:v>rubyGoldLevel</x:v>
      </x:c>
      <x:c r="B53" s="19" t="n">
        <x:v>0</x:v>
      </x:c>
      <x:c r="C53" s="19" t="str">
        <x:v>레벨</x:v>
      </x:c>
      <x:c r="D53" s="19" t="str">
        <x:v>민감도: Gold 획득 강화 현재 L</x:v>
      </x:c>
    </x:row>
    <x:row r="54" ht="25" customHeight="1">
      <x:c r="A54" s="19" t="str">
        <x:v>rubyExpLevel</x:v>
      </x:c>
      <x:c r="B54" s="19" t="n">
        <x:v>0</x:v>
      </x:c>
      <x:c r="C54" s="19" t="str">
        <x:v>레벨</x:v>
      </x:c>
      <x:c r="D54" s="19" t="str">
        <x:v>민감도: EXP 획득 강화 현재 L</x:v>
      </x:c>
    </x:row>
    <x:row r="55" ht="32" customHeight="1">
      <x:c r="A55" s="34" t="str">
        <x:v>endlessHpPower</x:v>
      </x:c>
      <x:c r="B55" s="39" t="n">
        <x:v>2</x:v>
      </x:c>
      <x:c r="C55" s="34" t="str">
        <x:v>지수</x:v>
      </x:c>
      <x:c r="D55" s="34" t="str">
        <x:v>34번째 구간부터: 33구간 일반 HP × (진행번호/33)^지수</x:v>
      </x:c>
    </x:row>
    <x:row r="56" ht="32" customHeight="1">
      <x:c r="A56" s="34" t="str">
        <x:v>endlessAtkPower</x:v>
      </x:c>
      <x:c r="B56" s="39" t="n">
        <x:v>1.3</x:v>
      </x:c>
      <x:c r="C56" s="34" t="str">
        <x:v>지수</x:v>
      </x:c>
      <x:c r="D56" s="34" t="str">
        <x:v>이후 공격 성장; 몬스터별 역할 계수 유지</x:v>
      </x:c>
    </x:row>
    <x:row r="57" ht="32" customHeight="1">
      <x:c r="A57" s="34" t="str">
        <x:v>endlessGoldPower</x:v>
      </x:c>
      <x:c r="B57" s="39" t="n">
        <x:v>1.4</x:v>
      </x:c>
      <x:c r="C57" s="34" t="str">
        <x:v>지수</x:v>
      </x:c>
      <x:c r="D57" s="34" t="str">
        <x:v>이후 골드 성장; 보스 배율은 기존 Inputs 적용</x:v>
      </x:c>
    </x:row>
    <x:row r="58" ht="32" customHeight="1">
      <x:c r="A58" s="34" t="str">
        <x:v>endlessExpPower</x:v>
      </x:c>
      <x:c r="B58" s="39" t="n">
        <x:v>1.3</x:v>
      </x:c>
      <x:c r="C58" s="34" t="str">
        <x:v>지수</x:v>
      </x:c>
      <x:c r="D58" s="34" t="str">
        <x:v>이후 경험치 성장; 기존 계정 레벨 상한 유지</x:v>
      </x:c>
    </x:row>
    <x:row r="59" ht="32" customHeight="1">
      <x:c r="A59" s="34" t="str">
        <x:v>endlessBossCoins</x:v>
      </x:c>
      <x:c r="B59" s="39" t="n">
        <x:v>100</x:v>
      </x:c>
      <x:c r="C59" s="34" t="str">
        <x:v>주화/장</x:v>
      </x:c>
      <x:c r="D59" s="34" t="str">
        <x:v>4장 이후 보스 최초 완료 시; 계정당 해당 장 1회</x:v>
      </x:c>
    </x:row>
    <x:row r="60" ht="32" customHeight="1">
      <x:c r="A60" s="34" t="str">
        <x:v>endlessBossFragments</x:v>
      </x:c>
      <x:c r="B60" s="39" t="n">
        <x:v>40</x:v>
      </x:c>
      <x:c r="C60" s="34" t="str">
        <x:v>전직 파편/장</x:v>
      </x:c>
      <x:c r="D60" s="34" t="str">
        <x:v>4장 이후 보스 최초 완료 시; 환생 후 중복 지급 없음</x:v>
      </x:c>
    </x:row>
  </x:sheetData>
  <x:pageMargins left="0.7" right="0.7" top="0.75" bottom="0.75" header="0.3" footer="0.3"/>
  <x:tableParts count="1">
    <x:tablePart xmlns:r="http://schemas.openxmlformats.org/officeDocument/2006/relationships" r:id="R6aa0b42470cd43be"/>
  </x:tableParts>
</x:worksheet>
</file>

<file path=xl/worksheets/sheet12.xml><?xml version="1.0" encoding="utf-8"?>
<x:worksheet xmlns:x="http://schemas.openxmlformats.org/spreadsheetml/2006/main">
  <x:sheetPr>
    <x:tabColor rgb="FF70858C"/>
  </x:sheetPr>
  <x:sheetViews>
    <x:sheetView showGridLines="0" workbookViewId="0">
      <x:pane xSplit="1" ySplit="1" topLeftCell="B2" activePane="bottomRight" state="frozen"/>
    </x:sheetView>
  </x:sheetViews>
  <x:sheetFormatPr defaultRowHeight="15"/>
  <x:cols>
    <x:col min="1" max="1" width="18" hidden="0" customWidth="1"/>
    <x:col min="2" max="2" width="18" hidden="0" customWidth="1"/>
    <x:col min="3" max="3" width="18" hidden="0" customWidth="1"/>
    <x:col min="4" max="4" width="18" hidden="0" customWidth="1"/>
    <x:col min="5" max="5" width="18" hidden="0" customWidth="1"/>
    <x:col min="6" max="6" width="18" hidden="0" customWidth="1"/>
    <x:col min="7" max="7" width="18" hidden="0" customWidth="1"/>
    <x:col min="8" max="8" width="18" hidden="0" customWidth="1"/>
    <x:col min="9" max="9" width="18" hidden="0" customWidth="1"/>
    <x:col min="10" max="10" width="18" hidden="0" customWidth="1"/>
  </x:cols>
  <x:sheetData>
    <x:row r="1" ht="43" customHeight="1">
      <x:c r="A1" s="18" t="str">
        <x:v>Level</x:v>
      </x:c>
      <x:c r="B1" s="18" t="str">
        <x:v>GoldNextCost</x:v>
      </x:c>
      <x:c r="C1" s="18" t="str">
        <x:v>GoldCumulative</x:v>
      </x:c>
      <x:c r="D1" s="18" t="str">
        <x:v>GoldMultiplier</x:v>
      </x:c>
      <x:c r="E1" s="18" t="str">
        <x:v>MageNextKnowledge</x:v>
      </x:c>
      <x:c r="F1" s="18" t="str">
        <x:v>MageCumulative</x:v>
      </x:c>
      <x:c r="G1" s="18" t="str">
        <x:v>MageMultiplier</x:v>
      </x:c>
      <x:c r="H1" s="18" t="str">
        <x:v>RubyNextCost</x:v>
      </x:c>
      <x:c r="I1" s="18" t="str">
        <x:v>RubyCumulative</x:v>
      </x:c>
      <x:c r="J1" s="18" t="str">
        <x:v>IncomeMultiplier</x:v>
      </x:c>
    </x:row>
    <x:row r="2" ht="25" customHeight="1">
      <x:c r="A2" s="19" t="n">
        <x:v>0</x:v>
      </x:c>
      <x:c r="B2" s="21" t="n">
        <x:f>IF(A2&lt;'Inputs'!$B$24,ROUNDUP(ROUND('Inputs'!$B$21*'Inputs'!$B$22^A2,6),0),"")</x:f>
        <x:v>50</x:v>
      </x:c>
      <x:c r="C2" s="19" t="n">
        <x:v>0</x:v>
      </x:c>
      <x:c r="D2" s="29" t="n">
        <x:f>IF(A2&lt;='Inputs'!$B$24,'Inputs'!$B$23^A2,"")</x:f>
        <x:v>1</x:v>
      </x:c>
      <x:c r="E2" s="21" t="n">
        <x:f>IF(A2&lt;'Inputs'!$B$28,ROUNDUP(ROUND('Inputs'!$B$25*'Inputs'!$B$26^A2,6),0),"")</x:f>
        <x:v>10</x:v>
      </x:c>
      <x:c r="F2" s="19" t="n">
        <x:v>0</x:v>
      </x:c>
      <x:c r="G2" s="29" t="n">
        <x:f>IF(A2&lt;='Inputs'!$B$28,'Inputs'!$B$27^A2,"")</x:f>
        <x:v>1</x:v>
      </x:c>
      <x:c r="H2" s="21" t="n">
        <x:f>IF(A2&lt;'Inputs'!$B$32,ROUNDUP(ROUND('Inputs'!$B$29*'Inputs'!$B$30^A2,6),0),"")</x:f>
        <x:v>20</x:v>
      </x:c>
      <x:c r="I2" s="19" t="n">
        <x:v>0</x:v>
      </x:c>
      <x:c r="J2" s="29" t="n">
        <x:f>IF(A2&lt;='Inputs'!$B$32,1+'Inputs'!$B$31*A2,"")</x:f>
        <x:v>1</x:v>
      </x:c>
    </x:row>
    <x:row r="3" ht="25" customHeight="1">
      <x:c r="A3" s="19" t="n">
        <x:v>1</x:v>
      </x:c>
      <x:c r="B3" s="21" t="n">
        <x:f>IF(A3&lt;'Inputs'!$B$24,ROUNDUP(ROUND('Inputs'!$B$21*'Inputs'!$B$22^A3,6),0),"")</x:f>
        <x:v>54</x:v>
      </x:c>
      <x:c r="C3" s="21" t="n">
        <x:f>IF(A3&lt;='Inputs'!$B$24,C2+B2,"")</x:f>
        <x:v>50</x:v>
      </x:c>
      <x:c r="D3" s="29" t="n">
        <x:f>IF(A3&lt;='Inputs'!$B$24,'Inputs'!$B$23^A3,"")</x:f>
        <x:v>1.025</x:v>
      </x:c>
      <x:c r="E3" s="21" t="n">
        <x:f>IF(A3&lt;'Inputs'!$B$28,ROUNDUP(ROUND('Inputs'!$B$25*'Inputs'!$B$26^A3,6),0),"")</x:f>
        <x:v>11</x:v>
      </x:c>
      <x:c r="F3" s="21" t="n">
        <x:f>IF(A3&lt;='Inputs'!$B$28,F2+E2,"")</x:f>
        <x:v>10</x:v>
      </x:c>
      <x:c r="G3" s="29" t="n">
        <x:f>IF(A3&lt;='Inputs'!$B$28,'Inputs'!$B$27^A3,"")</x:f>
        <x:v>1.04</x:v>
      </x:c>
      <x:c r="H3" s="21" t="n">
        <x:f>IF(A3&lt;'Inputs'!$B$32,ROUNDUP(ROUND('Inputs'!$B$29*'Inputs'!$B$30^A3,6),0),"")</x:f>
        <x:v>22</x:v>
      </x:c>
      <x:c r="I3" s="21" t="n">
        <x:f>IF(A3&lt;='Inputs'!$B$32,I2+H2,"")</x:f>
        <x:v>20</x:v>
      </x:c>
      <x:c r="J3" s="29" t="n">
        <x:f>IF(A3&lt;='Inputs'!$B$32,1+'Inputs'!$B$31*A3,"")</x:f>
        <x:v>1.02</x:v>
      </x:c>
    </x:row>
    <x:row r="4" ht="25" customHeight="1">
      <x:c r="A4" s="19" t="n">
        <x:v>2</x:v>
      </x:c>
      <x:c r="B4" s="21" t="n">
        <x:f>IF(A4&lt;'Inputs'!$B$24,ROUNDUP(ROUND('Inputs'!$B$21*'Inputs'!$B$22^A4,6),0),"")</x:f>
        <x:v>58</x:v>
      </x:c>
      <x:c r="C4" s="21" t="n">
        <x:f>IF(A4&lt;='Inputs'!$B$24,C3+B3,"")</x:f>
        <x:v>104</x:v>
      </x:c>
      <x:c r="D4" s="29" t="n">
        <x:f>IF(A4&lt;='Inputs'!$B$24,'Inputs'!$B$23^A4,"")</x:f>
        <x:v>1.050625</x:v>
      </x:c>
      <x:c r="E4" s="21" t="n">
        <x:f>IF(A4&lt;'Inputs'!$B$28,ROUNDUP(ROUND('Inputs'!$B$25*'Inputs'!$B$26^A4,6),0),"")</x:f>
        <x:v>11</x:v>
      </x:c>
      <x:c r="F4" s="21" t="n">
        <x:f>IF(A4&lt;='Inputs'!$B$28,F3+E3,"")</x:f>
        <x:v>21</x:v>
      </x:c>
      <x:c r="G4" s="29" t="n">
        <x:f>IF(A4&lt;='Inputs'!$B$28,'Inputs'!$B$27^A4,"")</x:f>
        <x:v>1.0816000000000001</x:v>
      </x:c>
      <x:c r="H4" s="21" t="n">
        <x:f>IF(A4&lt;'Inputs'!$B$32,ROUNDUP(ROUND('Inputs'!$B$29*'Inputs'!$B$30^A4,6),0),"")</x:f>
        <x:v>24</x:v>
      </x:c>
      <x:c r="I4" s="21" t="n">
        <x:f>IF(A4&lt;='Inputs'!$B$32,I3+H3,"")</x:f>
        <x:v>42</x:v>
      </x:c>
      <x:c r="J4" s="29" t="n">
        <x:f>IF(A4&lt;='Inputs'!$B$32,1+'Inputs'!$B$31*A4,"")</x:f>
        <x:v>1.04</x:v>
      </x:c>
    </x:row>
    <x:row r="5" ht="25" customHeight="1">
      <x:c r="A5" s="19" t="n">
        <x:v>3</x:v>
      </x:c>
      <x:c r="B5" s="21" t="n">
        <x:f>IF(A5&lt;'Inputs'!$B$24,ROUNDUP(ROUND('Inputs'!$B$21*'Inputs'!$B$22^A5,6),0),"")</x:f>
        <x:v>62</x:v>
      </x:c>
      <x:c r="C5" s="21" t="n">
        <x:f>IF(A5&lt;='Inputs'!$B$24,C4+B4,"")</x:f>
        <x:v>162</x:v>
      </x:c>
      <x:c r="D5" s="29" t="n">
        <x:f>IF(A5&lt;='Inputs'!$B$24,'Inputs'!$B$23^A5,"")</x:f>
        <x:v>1.0768906249999997</x:v>
      </x:c>
      <x:c r="E5" s="21" t="n">
        <x:f>IF(A5&lt;'Inputs'!$B$28,ROUNDUP(ROUND('Inputs'!$B$25*'Inputs'!$B$26^A5,6),0),"")</x:f>
        <x:v>12</x:v>
      </x:c>
      <x:c r="F5" s="21" t="n">
        <x:f>IF(A5&lt;='Inputs'!$B$28,F4+E4,"")</x:f>
        <x:v>32</x:v>
      </x:c>
      <x:c r="G5" s="29" t="n">
        <x:f>IF(A5&lt;='Inputs'!$B$28,'Inputs'!$B$27^A5,"")</x:f>
        <x:v>1.124864</x:v>
      </x:c>
      <x:c r="H5" s="21" t="n">
        <x:f>IF(A5&lt;'Inputs'!$B$32,ROUNDUP(ROUND('Inputs'!$B$29*'Inputs'!$B$30^A5,6),0),"")</x:f>
        <x:v>26</x:v>
      </x:c>
      <x:c r="I5" s="21" t="n">
        <x:f>IF(A5&lt;='Inputs'!$B$32,I4+H4,"")</x:f>
        <x:v>66</x:v>
      </x:c>
      <x:c r="J5" s="29" t="n">
        <x:f>IF(A5&lt;='Inputs'!$B$32,1+'Inputs'!$B$31*A5,"")</x:f>
        <x:v>1.06</x:v>
      </x:c>
    </x:row>
    <x:row r="6" ht="25" customHeight="1">
      <x:c r="A6" s="19" t="n">
        <x:v>4</x:v>
      </x:c>
      <x:c r="B6" s="21" t="n">
        <x:f>IF(A6&lt;'Inputs'!$B$24,ROUNDUP(ROUND('Inputs'!$B$21*'Inputs'!$B$22^A6,6),0),"")</x:f>
        <x:v>66</x:v>
      </x:c>
      <x:c r="C6" s="21" t="n">
        <x:f>IF(A6&lt;='Inputs'!$B$24,C5+B5,"")</x:f>
        <x:v>224</x:v>
      </x:c>
      <x:c r="D6" s="29" t="n">
        <x:f>IF(A6&lt;='Inputs'!$B$24,'Inputs'!$B$23^A6,"")</x:f>
        <x:v>1.1038128906249995</x:v>
      </x:c>
      <x:c r="E6" s="21" t="n">
        <x:f>IF(A6&lt;'Inputs'!$B$28,ROUNDUP(ROUND('Inputs'!$B$25*'Inputs'!$B$26^A6,6),0),"")</x:f>
        <x:v>12</x:v>
      </x:c>
      <x:c r="F6" s="21" t="n">
        <x:f>IF(A6&lt;='Inputs'!$B$28,F5+E5,"")</x:f>
        <x:v>44</x:v>
      </x:c>
      <x:c r="G6" s="29" t="n">
        <x:f>IF(A6&lt;='Inputs'!$B$28,'Inputs'!$B$27^A6,"")</x:f>
        <x:v>1.1698585600000002</x:v>
      </x:c>
      <x:c r="H6" s="21" t="n">
        <x:f>IF(A6&lt;'Inputs'!$B$32,ROUNDUP(ROUND('Inputs'!$B$29*'Inputs'!$B$30^A6,6),0),"")</x:f>
        <x:v>28</x:v>
      </x:c>
      <x:c r="I6" s="21" t="n">
        <x:f>IF(A6&lt;='Inputs'!$B$32,I5+H5,"")</x:f>
        <x:v>92</x:v>
      </x:c>
      <x:c r="J6" s="29" t="n">
        <x:f>IF(A6&lt;='Inputs'!$B$32,1+'Inputs'!$B$31*A6,"")</x:f>
        <x:v>1.08</x:v>
      </x:c>
    </x:row>
    <x:row r="7" ht="25" customHeight="1">
      <x:c r="A7" s="19" t="n">
        <x:v>5</x:v>
      </x:c>
      <x:c r="B7" s="21" t="n">
        <x:f>IF(A7&lt;'Inputs'!$B$24,ROUNDUP(ROUND('Inputs'!$B$21*'Inputs'!$B$22^A7,6),0),"")</x:f>
        <x:v>71</x:v>
      </x:c>
      <x:c r="C7" s="21" t="n">
        <x:f>IF(A7&lt;='Inputs'!$B$24,C6+B6,"")</x:f>
        <x:v>290</x:v>
      </x:c>
      <x:c r="D7" s="29" t="n">
        <x:f>IF(A7&lt;='Inputs'!$B$24,'Inputs'!$B$23^A7,"")</x:f>
        <x:v>1.1314082128906244</x:v>
      </x:c>
      <x:c r="E7" s="21" t="n">
        <x:f>IF(A7&lt;'Inputs'!$B$28,ROUNDUP(ROUND('Inputs'!$B$25*'Inputs'!$B$26^A7,6),0),"")</x:f>
        <x:v>13</x:v>
      </x:c>
      <x:c r="F7" s="21" t="n">
        <x:f>IF(A7&lt;='Inputs'!$B$28,F6+E6,"")</x:f>
        <x:v>56</x:v>
      </x:c>
      <x:c r="G7" s="29" t="n">
        <x:f>IF(A7&lt;='Inputs'!$B$28,'Inputs'!$B$27^A7,"")</x:f>
        <x:v>1.2166529024000001</x:v>
      </x:c>
      <x:c r="H7" s="21" t="n">
        <x:f>IF(A7&lt;'Inputs'!$B$32,ROUNDUP(ROUND('Inputs'!$B$29*'Inputs'!$B$30^A7,6),0),"")</x:f>
        <x:v>30</x:v>
      </x:c>
      <x:c r="I7" s="21" t="n">
        <x:f>IF(A7&lt;='Inputs'!$B$32,I6+H6,"")</x:f>
        <x:v>120</x:v>
      </x:c>
      <x:c r="J7" s="29" t="n">
        <x:f>IF(A7&lt;='Inputs'!$B$32,1+'Inputs'!$B$31*A7,"")</x:f>
        <x:v>1.1</x:v>
      </x:c>
    </x:row>
    <x:row r="8" ht="25" customHeight="1">
      <x:c r="A8" s="19" t="n">
        <x:v>6</x:v>
      </x:c>
      <x:c r="B8" s="21" t="n">
        <x:f>IF(A8&lt;'Inputs'!$B$24,ROUNDUP(ROUND('Inputs'!$B$21*'Inputs'!$B$22^A8,6),0),"")</x:f>
        <x:v>76</x:v>
      </x:c>
      <x:c r="C8" s="21" t="n">
        <x:f>IF(A8&lt;='Inputs'!$B$24,C7+B7,"")</x:f>
        <x:v>361</x:v>
      </x:c>
      <x:c r="D8" s="29" t="n">
        <x:f>IF(A8&lt;='Inputs'!$B$24,'Inputs'!$B$23^A8,"")</x:f>
        <x:v>1.15969341821289</x:v>
      </x:c>
      <x:c r="E8" s="21" t="n">
        <x:f>IF(A8&lt;'Inputs'!$B$28,ROUNDUP(ROUND('Inputs'!$B$25*'Inputs'!$B$26^A8,6),0),"")</x:f>
        <x:v>13</x:v>
      </x:c>
      <x:c r="F8" s="21" t="n">
        <x:f>IF(A8&lt;='Inputs'!$B$28,F7+E7,"")</x:f>
        <x:v>69</x:v>
      </x:c>
      <x:c r="G8" s="29" t="n">
        <x:f>IF(A8&lt;='Inputs'!$B$28,'Inputs'!$B$27^A8,"")</x:f>
        <x:v>1.2653190184960004</x:v>
      </x:c>
      <x:c r="H8" s="21" t="n">
        <x:f>IF(A8&lt;'Inputs'!$B$32,ROUNDUP(ROUND('Inputs'!$B$29*'Inputs'!$B$30^A8,6),0),"")</x:f>
        <x:v>32</x:v>
      </x:c>
      <x:c r="I8" s="21" t="n">
        <x:f>IF(A8&lt;='Inputs'!$B$32,I7+H7,"")</x:f>
        <x:v>150</x:v>
      </x:c>
      <x:c r="J8" s="29" t="n">
        <x:f>IF(A8&lt;='Inputs'!$B$32,1+'Inputs'!$B$31*A8,"")</x:f>
        <x:v>1.12</x:v>
      </x:c>
    </x:row>
    <x:row r="9" ht="25" customHeight="1">
      <x:c r="A9" s="19" t="n">
        <x:v>7</x:v>
      </x:c>
      <x:c r="B9" s="21" t="n">
        <x:f>IF(A9&lt;'Inputs'!$B$24,ROUNDUP(ROUND('Inputs'!$B$21*'Inputs'!$B$22^A9,6),0),"")</x:f>
        <x:v>81</x:v>
      </x:c>
      <x:c r="C9" s="21" t="n">
        <x:f>IF(A9&lt;='Inputs'!$B$24,C8+B8,"")</x:f>
        <x:v>437</x:v>
      </x:c>
      <x:c r="D9" s="29" t="n">
        <x:f>IF(A9&lt;='Inputs'!$B$24,'Inputs'!$B$23^A9,"")</x:f>
        <x:v>1.1886857536682123</x:v>
      </x:c>
      <x:c r="E9" s="21" t="n">
        <x:f>IF(A9&lt;'Inputs'!$B$28,ROUNDUP(ROUND('Inputs'!$B$25*'Inputs'!$B$26^A9,6),0),"")</x:f>
        <x:v>14</x:v>
      </x:c>
      <x:c r="F9" s="21" t="n">
        <x:f>IF(A9&lt;='Inputs'!$B$28,F8+E8,"")</x:f>
        <x:v>82</x:v>
      </x:c>
      <x:c r="G9" s="29" t="n">
        <x:f>IF(A9&lt;='Inputs'!$B$28,'Inputs'!$B$27^A9,"")</x:f>
        <x:v>1.3159317792358403</x:v>
      </x:c>
      <x:c r="H9" s="21" t="n">
        <x:f>IF(A9&lt;'Inputs'!$B$32,ROUNDUP(ROUND('Inputs'!$B$29*'Inputs'!$B$30^A9,6),0),"")</x:f>
        <x:v>35</x:v>
      </x:c>
      <x:c r="I9" s="21" t="n">
        <x:f>IF(A9&lt;='Inputs'!$B$32,I8+H8,"")</x:f>
        <x:v>182</x:v>
      </x:c>
      <x:c r="J9" s="29" t="n">
        <x:f>IF(A9&lt;='Inputs'!$B$32,1+'Inputs'!$B$31*A9,"")</x:f>
        <x:v>1.1400000000000001</x:v>
      </x:c>
    </x:row>
    <x:row r="10" ht="25" customHeight="1">
      <x:c r="A10" s="19" t="n">
        <x:v>8</x:v>
      </x:c>
      <x:c r="B10" s="21" t="n">
        <x:f>IF(A10&lt;'Inputs'!$B$24,ROUNDUP(ROUND('Inputs'!$B$21*'Inputs'!$B$22^A10,6),0),"")</x:f>
        <x:v>86</x:v>
      </x:c>
      <x:c r="C10" s="21" t="n">
        <x:f>IF(A10&lt;='Inputs'!$B$24,C9+B9,"")</x:f>
        <x:v>518</x:v>
      </x:c>
      <x:c r="D10" s="29" t="n">
        <x:f>IF(A10&lt;='Inputs'!$B$24,'Inputs'!$B$23^A10,"")</x:f>
        <x:v>1.2184028975099173</x:v>
      </x:c>
      <x:c r="E10" s="21" t="n">
        <x:f>IF(A10&lt;'Inputs'!$B$28,ROUNDUP(ROUND('Inputs'!$B$25*'Inputs'!$B$26^A10,6),0),"")</x:f>
        <x:v>14</x:v>
      </x:c>
      <x:c r="F10" s="21" t="n">
        <x:f>IF(A10&lt;='Inputs'!$B$28,F9+E9,"")</x:f>
        <x:v>96</x:v>
      </x:c>
      <x:c r="G10" s="29" t="n">
        <x:f>IF(A10&lt;='Inputs'!$B$28,'Inputs'!$B$27^A10,"")</x:f>
        <x:v>1.3685690504052739</x:v>
      </x:c>
      <x:c r="H10" s="21" t="n">
        <x:f>IF(A10&lt;'Inputs'!$B$32,ROUNDUP(ROUND('Inputs'!$B$29*'Inputs'!$B$30^A10,6),0),"")</x:f>
        <x:v>38</x:v>
      </x:c>
      <x:c r="I10" s="21" t="n">
        <x:f>IF(A10&lt;='Inputs'!$B$32,I9+H9,"")</x:f>
        <x:v>217</x:v>
      </x:c>
      <x:c r="J10" s="29" t="n">
        <x:f>IF(A10&lt;='Inputs'!$B$32,1+'Inputs'!$B$31*A10,"")</x:f>
        <x:v>1.16</x:v>
      </x:c>
    </x:row>
    <x:row r="11" ht="25" customHeight="1">
      <x:c r="A11" s="19" t="n">
        <x:v>9</x:v>
      </x:c>
      <x:c r="B11" s="21" t="n">
        <x:f>IF(A11&lt;'Inputs'!$B$24,ROUNDUP(ROUND('Inputs'!$B$21*'Inputs'!$B$22^A11,6),0),"")</x:f>
        <x:v>92</x:v>
      </x:c>
      <x:c r="C11" s="21" t="n">
        <x:f>IF(A11&lt;='Inputs'!$B$24,C10+B10,"")</x:f>
        <x:v>604</x:v>
      </x:c>
      <x:c r="D11" s="29" t="n">
        <x:f>IF(A11&lt;='Inputs'!$B$24,'Inputs'!$B$23^A11,"")</x:f>
        <x:v>1.2488629699476652</x:v>
      </x:c>
      <x:c r="E11" s="21" t="n">
        <x:f>IF(A11&lt;'Inputs'!$B$28,ROUNDUP(ROUND('Inputs'!$B$25*'Inputs'!$B$26^A11,6),0),"")</x:f>
        <x:v>15</x:v>
      </x:c>
      <x:c r="F11" s="21" t="n">
        <x:f>IF(A11&lt;='Inputs'!$B$28,F10+E10,"")</x:f>
        <x:v>110</x:v>
      </x:c>
      <x:c r="G11" s="29" t="n">
        <x:f>IF(A11&lt;='Inputs'!$B$28,'Inputs'!$B$27^A11,"")</x:f>
        <x:v>1.423311812421485</x:v>
      </x:c>
      <x:c r="H11" s="21" t="n">
        <x:f>IF(A11&lt;'Inputs'!$B$32,ROUNDUP(ROUND('Inputs'!$B$29*'Inputs'!$B$30^A11,6),0),"")</x:f>
        <x:v>40</x:v>
      </x:c>
      <x:c r="I11" s="21" t="n">
        <x:f>IF(A11&lt;='Inputs'!$B$32,I10+H10,"")</x:f>
        <x:v>255</x:v>
      </x:c>
      <x:c r="J11" s="29" t="n">
        <x:f>IF(A11&lt;='Inputs'!$B$32,1+'Inputs'!$B$31*A11,"")</x:f>
        <x:v>1.18</x:v>
      </x:c>
    </x:row>
    <x:row r="12" ht="25" customHeight="1">
      <x:c r="A12" s="19" t="n">
        <x:v>10</x:v>
      </x:c>
      <x:c r="B12" s="21" t="n">
        <x:f>IF(A12&lt;'Inputs'!$B$24,ROUNDUP(ROUND('Inputs'!$B$21*'Inputs'!$B$22^A12,6),0),"")</x:f>
        <x:v>99</x:v>
      </x:c>
      <x:c r="C12" s="21" t="n">
        <x:f>IF(A12&lt;='Inputs'!$B$24,C11+B11,"")</x:f>
        <x:v>696</x:v>
      </x:c>
      <x:c r="D12" s="29" t="n">
        <x:f>IF(A12&lt;='Inputs'!$B$24,'Inputs'!$B$23^A12,"")</x:f>
        <x:v>1.2800845441963566</x:v>
      </x:c>
      <x:c r="E12" s="21" t="n">
        <x:f>IF(A12&lt;'Inputs'!$B$28,ROUNDUP(ROUND('Inputs'!$B$25*'Inputs'!$B$26^A12,6),0),"")</x:f>
        <x:v>15</x:v>
      </x:c>
      <x:c r="F12" s="21" t="n">
        <x:f>IF(A12&lt;='Inputs'!$B$28,F11+E11,"")</x:f>
        <x:v>125</x:v>
      </x:c>
      <x:c r="G12" s="29" t="n">
        <x:f>IF(A12&lt;='Inputs'!$B$28,'Inputs'!$B$27^A12,"")</x:f>
        <x:v>1.4802442849183444</x:v>
      </x:c>
      <x:c r="H12" s="21" t="n">
        <x:f>IF(A12&lt;'Inputs'!$B$32,ROUNDUP(ROUND('Inputs'!$B$29*'Inputs'!$B$30^A12,6),0),"")</x:f>
        <x:v>44</x:v>
      </x:c>
      <x:c r="I12" s="21" t="n">
        <x:f>IF(A12&lt;='Inputs'!$B$32,I11+H11,"")</x:f>
        <x:v>295</x:v>
      </x:c>
      <x:c r="J12" s="29" t="n">
        <x:f>IF(A12&lt;='Inputs'!$B$32,1+'Inputs'!$B$31*A12,"")</x:f>
        <x:v>1.2</x:v>
      </x:c>
    </x:row>
    <x:row r="13" ht="25" customHeight="1">
      <x:c r="A13" s="19" t="n">
        <x:v>11</x:v>
      </x:c>
      <x:c r="B13" s="21" t="n">
        <x:f>IF(A13&lt;'Inputs'!$B$24,ROUNDUP(ROUND('Inputs'!$B$21*'Inputs'!$B$22^A13,6),0),"")</x:f>
        <x:v>106</x:v>
      </x:c>
      <x:c r="C13" s="21" t="n">
        <x:f>IF(A13&lt;='Inputs'!$B$24,C12+B12,"")</x:f>
        <x:v>795</x:v>
      </x:c>
      <x:c r="D13" s="29" t="n">
        <x:f>IF(A13&lt;='Inputs'!$B$24,'Inputs'!$B$23^A13,"")</x:f>
        <x:v>1.3120866578012655</x:v>
      </x:c>
      <x:c r="E13" s="21" t="n">
        <x:f>IF(A13&lt;'Inputs'!$B$28,ROUNDUP(ROUND('Inputs'!$B$25*'Inputs'!$B$26^A13,6),0),"")</x:f>
        <x:v>16</x:v>
      </x:c>
      <x:c r="F13" s="21" t="n">
        <x:f>IF(A13&lt;='Inputs'!$B$28,F12+E12,"")</x:f>
        <x:v>140</x:v>
      </x:c>
      <x:c r="G13" s="29" t="n">
        <x:f>IF(A13&lt;='Inputs'!$B$28,'Inputs'!$B$27^A13,"")</x:f>
        <x:v>1.5394540563150783</x:v>
      </x:c>
      <x:c r="H13" s="21" t="n">
        <x:f>IF(A13&lt;'Inputs'!$B$32,ROUNDUP(ROUND('Inputs'!$B$29*'Inputs'!$B$30^A13,6),0),"")</x:f>
        <x:v>47</x:v>
      </x:c>
      <x:c r="I13" s="21" t="n">
        <x:f>IF(A13&lt;='Inputs'!$B$32,I12+H12,"")</x:f>
        <x:v>339</x:v>
      </x:c>
      <x:c r="J13" s="29" t="n">
        <x:f>IF(A13&lt;='Inputs'!$B$32,1+'Inputs'!$B$31*A13,"")</x:f>
        <x:v>1.22</x:v>
      </x:c>
    </x:row>
    <x:row r="14" ht="25" customHeight="1">
      <x:c r="A14" s="19" t="n">
        <x:v>12</x:v>
      </x:c>
      <x:c r="B14" s="21" t="n">
        <x:f>IF(A14&lt;'Inputs'!$B$24,ROUNDUP(ROUND('Inputs'!$B$21*'Inputs'!$B$22^A14,6),0),"")</x:f>
        <x:v>113</x:v>
      </x:c>
      <x:c r="C14" s="21" t="n">
        <x:f>IF(A14&lt;='Inputs'!$B$24,C13+B13,"")</x:f>
        <x:v>901</x:v>
      </x:c>
      <x:c r="D14" s="29" t="n">
        <x:f>IF(A14&lt;='Inputs'!$B$24,'Inputs'!$B$23^A14,"")</x:f>
        <x:v>1.344888824246297</x:v>
      </x:c>
      <x:c r="E14" s="21" t="n">
        <x:f>IF(A14&lt;'Inputs'!$B$28,ROUNDUP(ROUND('Inputs'!$B$25*'Inputs'!$B$26^A14,6),0),"")</x:f>
        <x:v>17</x:v>
      </x:c>
      <x:c r="F14" s="21" t="n">
        <x:f>IF(A14&lt;='Inputs'!$B$28,F13+E13,"")</x:f>
        <x:v>156</x:v>
      </x:c>
      <x:c r="G14" s="29" t="n">
        <x:f>IF(A14&lt;='Inputs'!$B$28,'Inputs'!$B$27^A14,"")</x:f>
        <x:v>1.6010322185676815</x:v>
      </x:c>
      <x:c r="H14" s="21" t="n">
        <x:f>IF(A14&lt;'Inputs'!$B$32,ROUNDUP(ROUND('Inputs'!$B$29*'Inputs'!$B$30^A14,6),0),"")</x:f>
        <x:v>51</x:v>
      </x:c>
      <x:c r="I14" s="21" t="n">
        <x:f>IF(A14&lt;='Inputs'!$B$32,I13+H13,"")</x:f>
        <x:v>386</x:v>
      </x:c>
      <x:c r="J14" s="29" t="n">
        <x:f>IF(A14&lt;='Inputs'!$B$32,1+'Inputs'!$B$31*A14,"")</x:f>
        <x:v>1.24</x:v>
      </x:c>
    </x:row>
    <x:row r="15" ht="25" customHeight="1">
      <x:c r="A15" s="19" t="n">
        <x:v>13</x:v>
      </x:c>
      <x:c r="B15" s="21" t="n">
        <x:f>IF(A15&lt;'Inputs'!$B$24,ROUNDUP(ROUND('Inputs'!$B$21*'Inputs'!$B$22^A15,6),0),"")</x:f>
        <x:v>121</x:v>
      </x:c>
      <x:c r="C15" s="21" t="n">
        <x:f>IF(A15&lt;='Inputs'!$B$24,C14+B14,"")</x:f>
        <x:v>1014</x:v>
      </x:c>
      <x:c r="D15" s="29" t="n">
        <x:f>IF(A15&lt;='Inputs'!$B$24,'Inputs'!$B$23^A15,"")</x:f>
        <x:v>1.3785110448524542</x:v>
      </x:c>
      <x:c r="E15" s="21" t="n">
        <x:f>IF(A15&lt;'Inputs'!$B$28,ROUNDUP(ROUND('Inputs'!$B$25*'Inputs'!$B$26^A15,6),0),"")</x:f>
        <x:v>17</x:v>
      </x:c>
      <x:c r="F15" s="21" t="n">
        <x:f>IF(A15&lt;='Inputs'!$B$28,F14+E14,"")</x:f>
        <x:v>173</x:v>
      </x:c>
      <x:c r="G15" s="29" t="n">
        <x:f>IF(A15&lt;='Inputs'!$B$28,'Inputs'!$B$27^A15,"")</x:f>
        <x:v>1.6650735073103888</x:v>
      </x:c>
      <x:c r="H15" s="21" t="n">
        <x:f>IF(A15&lt;'Inputs'!$B$32,ROUNDUP(ROUND('Inputs'!$B$29*'Inputs'!$B$30^A15,6),0),"")</x:f>
        <x:v>55</x:v>
      </x:c>
      <x:c r="I15" s="21" t="n">
        <x:f>IF(A15&lt;='Inputs'!$B$32,I14+H14,"")</x:f>
        <x:v>437</x:v>
      </x:c>
      <x:c r="J15" s="29" t="n">
        <x:f>IF(A15&lt;='Inputs'!$B$32,1+'Inputs'!$B$31*A15,"")</x:f>
        <x:v>1.26</x:v>
      </x:c>
    </x:row>
    <x:row r="16" ht="25" customHeight="1">
      <x:c r="A16" s="19" t="n">
        <x:v>14</x:v>
      </x:c>
      <x:c r="B16" s="21" t="n">
        <x:f>IF(A16&lt;'Inputs'!$B$24,ROUNDUP(ROUND('Inputs'!$B$21*'Inputs'!$B$22^A16,6),0),"")</x:f>
        <x:v>129</x:v>
      </x:c>
      <x:c r="C16" s="21" t="n">
        <x:f>IF(A16&lt;='Inputs'!$B$24,C15+B15,"")</x:f>
        <x:v>1135</x:v>
      </x:c>
      <x:c r="D16" s="29" t="n">
        <x:f>IF(A16&lt;='Inputs'!$B$24,'Inputs'!$B$23^A16,"")</x:f>
        <x:v>1.4129738209737657</x:v>
      </x:c>
      <x:c r="E16" s="21" t="n">
        <x:f>IF(A16&lt;'Inputs'!$B$28,ROUNDUP(ROUND('Inputs'!$B$25*'Inputs'!$B$26^A16,6),0),"")</x:f>
        <x:v>18</x:v>
      </x:c>
      <x:c r="F16" s="21" t="n">
        <x:f>IF(A16&lt;='Inputs'!$B$28,F15+E15,"")</x:f>
        <x:v>190</x:v>
      </x:c>
      <x:c r="G16" s="29" t="n">
        <x:f>IF(A16&lt;='Inputs'!$B$28,'Inputs'!$B$27^A16,"")</x:f>
        <x:v>1.7316764476028044</x:v>
      </x:c>
      <x:c r="H16" s="21" t="n">
        <x:f>IF(A16&lt;'Inputs'!$B$32,ROUNDUP(ROUND('Inputs'!$B$29*'Inputs'!$B$30^A16,6),0),"")</x:f>
        <x:v>59</x:v>
      </x:c>
      <x:c r="I16" s="21" t="n">
        <x:f>IF(A16&lt;='Inputs'!$B$32,I15+H15,"")</x:f>
        <x:v>492</x:v>
      </x:c>
      <x:c r="J16" s="29" t="n">
        <x:f>IF(A16&lt;='Inputs'!$B$32,1+'Inputs'!$B$31*A16,"")</x:f>
        <x:v>1.28</x:v>
      </x:c>
    </x:row>
    <x:row r="17" ht="25" customHeight="1">
      <x:c r="A17" s="19" t="n">
        <x:v>15</x:v>
      </x:c>
      <x:c r="B17" s="21" t="n">
        <x:f>IF(A17&lt;'Inputs'!$B$24,ROUNDUP(ROUND('Inputs'!$B$21*'Inputs'!$B$22^A17,6),0),"")</x:f>
        <x:v>138</x:v>
      </x:c>
      <x:c r="C17" s="21" t="n">
        <x:f>IF(A17&lt;='Inputs'!$B$24,C16+B16,"")</x:f>
        <x:v>1264</x:v>
      </x:c>
      <x:c r="D17" s="29" t="n">
        <x:f>IF(A17&lt;='Inputs'!$B$24,'Inputs'!$B$23^A17,"")</x:f>
        <x:v>1.4482981664981096</x:v>
      </x:c>
      <x:c r="E17" s="21" t="n">
        <x:f>IF(A17&lt;'Inputs'!$B$28,ROUNDUP(ROUND('Inputs'!$B$25*'Inputs'!$B$26^A17,6),0),"")</x:f>
        <x:v>19</x:v>
      </x:c>
      <x:c r="F17" s="21" t="n">
        <x:f>IF(A17&lt;='Inputs'!$B$28,F16+E16,"")</x:f>
        <x:v>208</x:v>
      </x:c>
      <x:c r="G17" s="29" t="n">
        <x:f>IF(A17&lt;='Inputs'!$B$28,'Inputs'!$B$27^A17,"")</x:f>
        <x:v>1.8009435055069165</x:v>
      </x:c>
      <x:c r="H17" s="21" t="n">
        <x:f>IF(A17&lt;'Inputs'!$B$32,ROUNDUP(ROUND('Inputs'!$B$29*'Inputs'!$B$30^A17,6),0),"")</x:f>
        <x:v>64</x:v>
      </x:c>
      <x:c r="I17" s="21" t="n">
        <x:f>IF(A17&lt;='Inputs'!$B$32,I16+H16,"")</x:f>
        <x:v>551</x:v>
      </x:c>
      <x:c r="J17" s="29" t="n">
        <x:f>IF(A17&lt;='Inputs'!$B$32,1+'Inputs'!$B$31*A17,"")</x:f>
        <x:v>1.3</x:v>
      </x:c>
    </x:row>
    <x:row r="18" ht="25" customHeight="1">
      <x:c r="A18" s="19" t="n">
        <x:v>16</x:v>
      </x:c>
      <x:c r="B18" s="21" t="n">
        <x:f>IF(A18&lt;'Inputs'!$B$24,ROUNDUP(ROUND('Inputs'!$B$21*'Inputs'!$B$22^A18,6),0),"")</x:f>
        <x:v>148</x:v>
      </x:c>
      <x:c r="C18" s="21" t="n">
        <x:f>IF(A18&lt;='Inputs'!$B$24,C17+B17,"")</x:f>
        <x:v>1402</x:v>
      </x:c>
      <x:c r="D18" s="29" t="n">
        <x:f>IF(A18&lt;='Inputs'!$B$24,'Inputs'!$B$23^A18,"")</x:f>
        <x:v>1.4845056206605622</x:v>
      </x:c>
      <x:c r="E18" s="21" t="n">
        <x:f>IF(A18&lt;'Inputs'!$B$28,ROUNDUP(ROUND('Inputs'!$B$25*'Inputs'!$B$26^A18,6),0),"")</x:f>
        <x:v>19</x:v>
      </x:c>
      <x:c r="F18" s="21" t="n">
        <x:f>IF(A18&lt;='Inputs'!$B$28,F17+E17,"")</x:f>
        <x:v>227</x:v>
      </x:c>
      <x:c r="G18" s="29" t="n">
        <x:f>IF(A18&lt;='Inputs'!$B$28,'Inputs'!$B$27^A18,"")</x:f>
        <x:v>1.8729812457271933</x:v>
      </x:c>
      <x:c r="H18" s="21" t="n">
        <x:f>IF(A18&lt;'Inputs'!$B$32,ROUNDUP(ROUND('Inputs'!$B$29*'Inputs'!$B$30^A18,6),0),"")</x:f>
        <x:v>69</x:v>
      </x:c>
      <x:c r="I18" s="21" t="n">
        <x:f>IF(A18&lt;='Inputs'!$B$32,I17+H17,"")</x:f>
        <x:v>615</x:v>
      </x:c>
      <x:c r="J18" s="29" t="n">
        <x:f>IF(A18&lt;='Inputs'!$B$32,1+'Inputs'!$B$31*A18,"")</x:f>
        <x:v>1.32</x:v>
      </x:c>
    </x:row>
    <x:row r="19" ht="25" customHeight="1">
      <x:c r="A19" s="19" t="n">
        <x:v>17</x:v>
      </x:c>
      <x:c r="B19" s="21" t="n">
        <x:f>IF(A19&lt;'Inputs'!$B$24,ROUNDUP(ROUND('Inputs'!$B$21*'Inputs'!$B$22^A19,6),0),"")</x:f>
        <x:v>158</x:v>
      </x:c>
      <x:c r="C19" s="21" t="n">
        <x:f>IF(A19&lt;='Inputs'!$B$24,C18+B18,"")</x:f>
        <x:v>1550</x:v>
      </x:c>
      <x:c r="D19" s="29" t="n">
        <x:f>IF(A19&lt;='Inputs'!$B$24,'Inputs'!$B$23^A19,"")</x:f>
        <x:v>1.521618261177076</x:v>
      </x:c>
      <x:c r="E19" s="21" t="n">
        <x:f>IF(A19&lt;'Inputs'!$B$28,ROUNDUP(ROUND('Inputs'!$B$25*'Inputs'!$B$26^A19,6),0),"")</x:f>
        <x:v>20</x:v>
      </x:c>
      <x:c r="F19" s="21" t="n">
        <x:f>IF(A19&lt;='Inputs'!$B$28,F18+E18,"")</x:f>
        <x:v>246</x:v>
      </x:c>
      <x:c r="G19" s="29" t="n">
        <x:f>IF(A19&lt;='Inputs'!$B$28,'Inputs'!$B$27^A19,"")</x:f>
        <x:v>1.947900495556281</x:v>
      </x:c>
      <x:c r="H19" s="21" t="n">
        <x:f>IF(A19&lt;'Inputs'!$B$32,ROUNDUP(ROUND('Inputs'!$B$29*'Inputs'!$B$30^A19,6),0),"")</x:f>
        <x:v>75</x:v>
      </x:c>
      <x:c r="I19" s="21" t="n">
        <x:f>IF(A19&lt;='Inputs'!$B$32,I18+H18,"")</x:f>
        <x:v>684</x:v>
      </x:c>
      <x:c r="J19" s="29" t="n">
        <x:f>IF(A19&lt;='Inputs'!$B$32,1+'Inputs'!$B$31*A19,"")</x:f>
        <x:v>1.34</x:v>
      </x:c>
    </x:row>
    <x:row r="20" ht="25" customHeight="1">
      <x:c r="A20" s="19" t="n">
        <x:v>18</x:v>
      </x:c>
      <x:c r="B20" s="21" t="n">
        <x:f>IF(A20&lt;'Inputs'!$B$24,ROUNDUP(ROUND('Inputs'!$B$21*'Inputs'!$B$22^A20,6),0),"")</x:f>
        <x:v>169</x:v>
      </x:c>
      <x:c r="C20" s="21" t="n">
        <x:f>IF(A20&lt;='Inputs'!$B$24,C19+B19,"")</x:f>
        <x:v>1708</x:v>
      </x:c>
      <x:c r="D20" s="29" t="n">
        <x:f>IF(A20&lt;='Inputs'!$B$24,'Inputs'!$B$23^A20,"")</x:f>
        <x:v>1.5596587177065029</x:v>
      </x:c>
      <x:c r="E20" s="21" t="n">
        <x:f>IF(A20&lt;'Inputs'!$B$28,ROUNDUP(ROUND('Inputs'!$B$25*'Inputs'!$B$26^A20,6),0),"")</x:f>
        <x:v>21</x:v>
      </x:c>
      <x:c r="F20" s="21" t="n">
        <x:f>IF(A20&lt;='Inputs'!$B$28,F19+E19,"")</x:f>
        <x:v>266</x:v>
      </x:c>
      <x:c r="G20" s="29" t="n">
        <x:f>IF(A20&lt;='Inputs'!$B$28,'Inputs'!$B$27^A20,"")</x:f>
        <x:v>2.0258165153785326</x:v>
      </x:c>
      <x:c r="H20" s="21" t="n">
        <x:f>IF(A20&lt;'Inputs'!$B$32,ROUNDUP(ROUND('Inputs'!$B$29*'Inputs'!$B$30^A20,6),0),"")</x:f>
        <x:v>80</x:v>
      </x:c>
      <x:c r="I20" s="21" t="n">
        <x:f>IF(A20&lt;='Inputs'!$B$32,I19+H19,"")</x:f>
        <x:v>759</x:v>
      </x:c>
      <x:c r="J20" s="29" t="n">
        <x:f>IF(A20&lt;='Inputs'!$B$32,1+'Inputs'!$B$31*A20,"")</x:f>
        <x:v>1.3599999999999999</x:v>
      </x:c>
    </x:row>
    <x:row r="21" ht="25" customHeight="1">
      <x:c r="A21" s="19" t="n">
        <x:v>19</x:v>
      </x:c>
      <x:c r="B21" s="21" t="n">
        <x:f>IF(A21&lt;'Inputs'!$B$24,ROUNDUP(ROUND('Inputs'!$B$21*'Inputs'!$B$22^A21,6),0),"")</x:f>
        <x:v>181</x:v>
      </x:c>
      <x:c r="C21" s="21" t="n">
        <x:f>IF(A21&lt;='Inputs'!$B$24,C20+B20,"")</x:f>
        <x:v>1877</x:v>
      </x:c>
      <x:c r="D21" s="29" t="n">
        <x:f>IF(A21&lt;='Inputs'!$B$24,'Inputs'!$B$23^A21,"")</x:f>
        <x:v>1.5986501856491653</x:v>
      </x:c>
      <x:c r="E21" s="21" t="n">
        <x:f>IF(A21&lt;'Inputs'!$B$28,ROUNDUP(ROUND('Inputs'!$B$25*'Inputs'!$B$26^A21,6),0),"")</x:f>
        <x:v>22</x:v>
      </x:c>
      <x:c r="F21" s="21" t="n">
        <x:f>IF(A21&lt;='Inputs'!$B$28,F20+E20,"")</x:f>
        <x:v>287</x:v>
      </x:c>
      <x:c r="G21" s="29" t="n">
        <x:f>IF(A21&lt;='Inputs'!$B$28,'Inputs'!$B$27^A21,"")</x:f>
        <x:v>2.106849175993674</x:v>
      </x:c>
      <x:c r="H21" s="21" t="n">
        <x:f>IF(A21&lt;'Inputs'!$B$32,ROUNDUP(ROUND('Inputs'!$B$29*'Inputs'!$B$30^A21,6),0),"")</x:f>
        <x:v>87</x:v>
      </x:c>
      <x:c r="I21" s="21" t="n">
        <x:f>IF(A21&lt;='Inputs'!$B$32,I20+H20,"")</x:f>
        <x:v>839</x:v>
      </x:c>
      <x:c r="J21" s="29" t="n">
        <x:f>IF(A21&lt;='Inputs'!$B$32,1+'Inputs'!$B$31*A21,"")</x:f>
        <x:v>1.38</x:v>
      </x:c>
    </x:row>
    <x:row r="22" ht="25" customHeight="1">
      <x:c r="A22" s="19" t="n">
        <x:v>20</x:v>
      </x:c>
      <x:c r="B22" s="21" t="n">
        <x:f>IF(A22&lt;'Inputs'!$B$24,ROUNDUP(ROUND('Inputs'!$B$21*'Inputs'!$B$22^A22,6),0),"")</x:f>
        <x:v>194</x:v>
      </x:c>
      <x:c r="C22" s="21" t="n">
        <x:f>IF(A22&lt;='Inputs'!$B$24,C21+B21,"")</x:f>
        <x:v>2058</x:v>
      </x:c>
      <x:c r="D22" s="29" t="n">
        <x:f>IF(A22&lt;='Inputs'!$B$24,'Inputs'!$B$23^A22,"")</x:f>
        <x:v>1.6386164402903942</x:v>
      </x:c>
      <x:c r="E22" s="21" t="n">
        <x:f>IF(A22&lt;'Inputs'!$B$28,ROUNDUP(ROUND('Inputs'!$B$25*'Inputs'!$B$26^A22,6),0),"")</x:f>
        <x:v>22</x:v>
      </x:c>
      <x:c r="F22" s="21" t="n">
        <x:f>IF(A22&lt;='Inputs'!$B$28,F21+E21,"")</x:f>
        <x:v>309</x:v>
      </x:c>
      <x:c r="G22" s="29" t="n">
        <x:f>IF(A22&lt;='Inputs'!$B$28,'Inputs'!$B$27^A22,"")</x:f>
        <x:v>2.191123143033421</x:v>
      </x:c>
      <x:c r="H22" s="21" t="n">
        <x:f>IF(A22&lt;'Inputs'!$B$32,ROUNDUP(ROUND('Inputs'!$B$29*'Inputs'!$B$30^A22,6),0),"")</x:f>
        <x:v>94</x:v>
      </x:c>
      <x:c r="I22" s="21" t="n">
        <x:f>IF(A22&lt;='Inputs'!$B$32,I21+H21,"")</x:f>
        <x:v>926</x:v>
      </x:c>
      <x:c r="J22" s="29" t="n">
        <x:f>IF(A22&lt;='Inputs'!$B$32,1+'Inputs'!$B$31*A22,"")</x:f>
        <x:v>1.4</x:v>
      </x:c>
    </x:row>
    <x:row r="23" ht="25" customHeight="1">
      <x:c r="A23" s="19" t="n">
        <x:v>21</x:v>
      </x:c>
      <x:c r="B23" s="21" t="n">
        <x:f>IF(A23&lt;'Inputs'!$B$24,ROUNDUP(ROUND('Inputs'!$B$21*'Inputs'!$B$22^A23,6),0),"")</x:f>
        <x:v>208</x:v>
      </x:c>
      <x:c r="C23" s="21" t="n">
        <x:f>IF(A23&lt;='Inputs'!$B$24,C22+B22,"")</x:f>
        <x:v>2252</x:v>
      </x:c>
      <x:c r="D23" s="29" t="n">
        <x:f>IF(A23&lt;='Inputs'!$B$24,'Inputs'!$B$23^A23,"")</x:f>
        <x:v>1.6795818512976541</x:v>
      </x:c>
      <x:c r="E23" s="21" t="n">
        <x:f>IF(A23&lt;'Inputs'!$B$28,ROUNDUP(ROUND('Inputs'!$B$25*'Inputs'!$B$26^A23,6),0),"")</x:f>
        <x:v>23</x:v>
      </x:c>
      <x:c r="F23" s="21" t="n">
        <x:f>IF(A23&lt;='Inputs'!$B$28,F22+E22,"")</x:f>
        <x:v>331</x:v>
      </x:c>
      <x:c r="G23" s="29" t="n">
        <x:f>IF(A23&lt;='Inputs'!$B$28,'Inputs'!$B$27^A23,"")</x:f>
        <x:v>2.278768068754758</x:v>
      </x:c>
      <x:c r="H23" s="21" t="n">
        <x:f>IF(A23&lt;'Inputs'!$B$32,ROUNDUP(ROUND('Inputs'!$B$29*'Inputs'!$B$30^A23,6),0),"")</x:f>
        <x:v>101</x:v>
      </x:c>
      <x:c r="I23" s="21" t="n">
        <x:f>IF(A23&lt;='Inputs'!$B$32,I22+H22,"")</x:f>
        <x:v>1020</x:v>
      </x:c>
      <x:c r="J23" s="29" t="n">
        <x:f>IF(A23&lt;='Inputs'!$B$32,1+'Inputs'!$B$31*A23,"")</x:f>
        <x:v>1.42</x:v>
      </x:c>
    </x:row>
    <x:row r="24" ht="25" customHeight="1">
      <x:c r="A24" s="19" t="n">
        <x:v>22</x:v>
      </x:c>
      <x:c r="B24" s="21" t="n">
        <x:f>IF(A24&lt;'Inputs'!$B$24,ROUNDUP(ROUND('Inputs'!$B$21*'Inputs'!$B$22^A24,6),0),"")</x:f>
        <x:v>222</x:v>
      </x:c>
      <x:c r="C24" s="21" t="n">
        <x:f>IF(A24&lt;='Inputs'!$B$24,C23+B23,"")</x:f>
        <x:v>2460</x:v>
      </x:c>
      <x:c r="D24" s="29" t="n">
        <x:f>IF(A24&lt;='Inputs'!$B$24,'Inputs'!$B$23^A24,"")</x:f>
        <x:v>1.7215713975800953</x:v>
      </x:c>
      <x:c r="E24" s="21" t="n">
        <x:f>IF(A24&lt;'Inputs'!$B$28,ROUNDUP(ROUND('Inputs'!$B$25*'Inputs'!$B$26^A24,6),0),"")</x:f>
        <x:v>24</x:v>
      </x:c>
      <x:c r="F24" s="21" t="n">
        <x:f>IF(A24&lt;='Inputs'!$B$28,F23+E23,"")</x:f>
        <x:v>354</x:v>
      </x:c>
      <x:c r="G24" s="29" t="n">
        <x:f>IF(A24&lt;='Inputs'!$B$28,'Inputs'!$B$27^A24,"")</x:f>
        <x:v>2.369918791504948</x:v>
      </x:c>
      <x:c r="H24" s="21" t="n">
        <x:f>IF(A24&lt;'Inputs'!$B$32,ROUNDUP(ROUND('Inputs'!$B$29*'Inputs'!$B$30^A24,6),0),"")</x:f>
        <x:v>109</x:v>
      </x:c>
      <x:c r="I24" s="21" t="n">
        <x:f>IF(A24&lt;='Inputs'!$B$32,I23+H23,"")</x:f>
        <x:v>1121</x:v>
      </x:c>
      <x:c r="J24" s="29" t="n">
        <x:f>IF(A24&lt;='Inputs'!$B$32,1+'Inputs'!$B$31*A24,"")</x:f>
        <x:v>1.44</x:v>
      </x:c>
    </x:row>
    <x:row r="25" ht="25" customHeight="1">
      <x:c r="A25" s="19" t="n">
        <x:v>23</x:v>
      </x:c>
      <x:c r="B25" s="21" t="n">
        <x:f>IF(A25&lt;'Inputs'!$B$24,ROUNDUP(ROUND('Inputs'!$B$21*'Inputs'!$B$22^A25,6),0),"")</x:f>
        <x:v>238</x:v>
      </x:c>
      <x:c r="C25" s="21" t="n">
        <x:f>IF(A25&lt;='Inputs'!$B$24,C24+B24,"")</x:f>
        <x:v>2682</x:v>
      </x:c>
      <x:c r="D25" s="29" t="n">
        <x:f>IF(A25&lt;='Inputs'!$B$24,'Inputs'!$B$23^A25,"")</x:f>
        <x:v>1.7646106825195975</x:v>
      </x:c>
      <x:c r="E25" s="21" t="n">
        <x:f>IF(A25&lt;'Inputs'!$B$28,ROUNDUP(ROUND('Inputs'!$B$25*'Inputs'!$B$26^A25,6),0),"")</x:f>
        <x:v>25</x:v>
      </x:c>
      <x:c r="F25" s="21" t="n">
        <x:f>IF(A25&lt;='Inputs'!$B$28,F24+E24,"")</x:f>
        <x:v>378</x:v>
      </x:c>
      <x:c r="G25" s="29" t="n">
        <x:f>IF(A25&lt;='Inputs'!$B$28,'Inputs'!$B$27^A25,"")</x:f>
        <x:v>2.464715543165146</x:v>
      </x:c>
      <x:c r="H25" s="21" t="n">
        <x:f>IF(A25&lt;'Inputs'!$B$32,ROUNDUP(ROUND('Inputs'!$B$29*'Inputs'!$B$30^A25,6),0),"")</x:f>
        <x:v>118</x:v>
      </x:c>
      <x:c r="I25" s="21" t="n">
        <x:f>IF(A25&lt;='Inputs'!$B$32,I24+H24,"")</x:f>
        <x:v>1230</x:v>
      </x:c>
      <x:c r="J25" s="29" t="n">
        <x:f>IF(A25&lt;='Inputs'!$B$32,1+'Inputs'!$B$31*A25,"")</x:f>
        <x:v>1.46</x:v>
      </x:c>
    </x:row>
    <x:row r="26" ht="25" customHeight="1">
      <x:c r="A26" s="19" t="n">
        <x:v>24</x:v>
      </x:c>
      <x:c r="B26" s="21" t="n">
        <x:f>IF(A26&lt;'Inputs'!$B$24,ROUNDUP(ROUND('Inputs'!$B$21*'Inputs'!$B$22^A26,6),0),"")</x:f>
        <x:v>254</x:v>
      </x:c>
      <x:c r="C26" s="21" t="n">
        <x:f>IF(A26&lt;='Inputs'!$B$24,C25+B25,"")</x:f>
        <x:v>2920</x:v>
      </x:c>
      <x:c r="D26" s="29" t="n">
        <x:f>IF(A26&lt;='Inputs'!$B$24,'Inputs'!$B$23^A26,"")</x:f>
        <x:v>1.8087259495825871</x:v>
      </x:c>
      <x:c r="E26" s="21" t="n">
        <x:f>IF(A26&lt;'Inputs'!$B$28,ROUNDUP(ROUND('Inputs'!$B$25*'Inputs'!$B$26^A26,6),0),"")</x:f>
        <x:v>26</x:v>
      </x:c>
      <x:c r="F26" s="21" t="n">
        <x:f>IF(A26&lt;='Inputs'!$B$28,F25+E25,"")</x:f>
        <x:v>403</x:v>
      </x:c>
      <x:c r="G26" s="29" t="n">
        <x:f>IF(A26&lt;='Inputs'!$B$28,'Inputs'!$B$27^A26,"")</x:f>
        <x:v>2.5633041648917523</x:v>
      </x:c>
      <x:c r="H26" s="21" t="n">
        <x:f>IF(A26&lt;'Inputs'!$B$32,ROUNDUP(ROUND('Inputs'!$B$29*'Inputs'!$B$30^A26,6),0),"")</x:f>
        <x:v>127</x:v>
      </x:c>
      <x:c r="I26" s="21" t="n">
        <x:f>IF(A26&lt;='Inputs'!$B$32,I25+H25,"")</x:f>
        <x:v>1348</x:v>
      </x:c>
      <x:c r="J26" s="29" t="n">
        <x:f>IF(A26&lt;='Inputs'!$B$32,1+'Inputs'!$B$31*A26,"")</x:f>
        <x:v>1.48</x:v>
      </x:c>
    </x:row>
    <x:row r="27" ht="25" customHeight="1">
      <x:c r="A27" s="19" t="n">
        <x:v>25</x:v>
      </x:c>
      <x:c r="B27" s="21" t="n">
        <x:f>IF(A27&lt;'Inputs'!$B$24,ROUNDUP(ROUND('Inputs'!$B$21*'Inputs'!$B$22^A27,6),0),"")</x:f>
        <x:v>272</x:v>
      </x:c>
      <x:c r="C27" s="21" t="n">
        <x:f>IF(A27&lt;='Inputs'!$B$24,C26+B26,"")</x:f>
        <x:v>3174</x:v>
      </x:c>
      <x:c r="D27" s="29" t="n">
        <x:f>IF(A27&lt;='Inputs'!$B$24,'Inputs'!$B$23^A27,"")</x:f>
        <x:v>1.8539440983221518</x:v>
      </x:c>
      <x:c r="E27" s="21" t="n">
        <x:f>IF(A27&lt;'Inputs'!$B$28,ROUNDUP(ROUND('Inputs'!$B$25*'Inputs'!$B$26^A27,6),0),"")</x:f>
        <x:v>27</x:v>
      </x:c>
      <x:c r="F27" s="21" t="n">
        <x:f>IF(A27&lt;='Inputs'!$B$28,F26+E26,"")</x:f>
        <x:v>429</x:v>
      </x:c>
      <x:c r="G27" s="29" t="n">
        <x:f>IF(A27&lt;='Inputs'!$B$28,'Inputs'!$B$27^A27,"")</x:f>
        <x:v>2.665836331487422</x:v>
      </x:c>
      <x:c r="H27" s="21" t="n">
        <x:f>IF(A27&lt;'Inputs'!$B$32,ROUNDUP(ROUND('Inputs'!$B$29*'Inputs'!$B$30^A27,6),0),"")</x:f>
        <x:v>137</x:v>
      </x:c>
      <x:c r="I27" s="21" t="n">
        <x:f>IF(A27&lt;='Inputs'!$B$32,I26+H26,"")</x:f>
        <x:v>1475</x:v>
      </x:c>
      <x:c r="J27" s="29" t="n">
        <x:f>IF(A27&lt;='Inputs'!$B$32,1+'Inputs'!$B$31*A27,"")</x:f>
        <x:v>1.5</x:v>
      </x:c>
    </x:row>
    <x:row r="28" ht="25" customHeight="1">
      <x:c r="A28" s="19" t="n">
        <x:v>26</x:v>
      </x:c>
      <x:c r="B28" s="21" t="n">
        <x:f>IF(A28&lt;'Inputs'!$B$24,ROUNDUP(ROUND('Inputs'!$B$21*'Inputs'!$B$22^A28,6),0),"")</x:f>
        <x:v>291</x:v>
      </x:c>
      <x:c r="C28" s="21" t="n">
        <x:f>IF(A28&lt;='Inputs'!$B$24,C27+B27,"")</x:f>
        <x:v>3446</x:v>
      </x:c>
      <x:c r="D28" s="29" t="n">
        <x:f>IF(A28&lt;='Inputs'!$B$24,'Inputs'!$B$23^A28,"")</x:f>
        <x:v>1.9002927007802053</x:v>
      </x:c>
      <x:c r="E28" s="21" t="n">
        <x:f>IF(A28&lt;'Inputs'!$B$28,ROUNDUP(ROUND('Inputs'!$B$25*'Inputs'!$B$26^A28,6),0),"")</x:f>
        <x:v>28</x:v>
      </x:c>
      <x:c r="F28" s="21" t="n">
        <x:f>IF(A28&lt;='Inputs'!$B$28,F27+E27,"")</x:f>
        <x:v>456</x:v>
      </x:c>
      <x:c r="G28" s="29" t="n">
        <x:f>IF(A28&lt;='Inputs'!$B$28,'Inputs'!$B$27^A28,"")</x:f>
        <x:v>2.772469784746919</x:v>
      </x:c>
      <x:c r="H28" s="21" t="n">
        <x:f>IF(A28&lt;'Inputs'!$B$32,ROUNDUP(ROUND('Inputs'!$B$29*'Inputs'!$B$30^A28,6),0),"")</x:f>
        <x:v>148</x:v>
      </x:c>
      <x:c r="I28" s="21" t="n">
        <x:f>IF(A28&lt;='Inputs'!$B$32,I27+H27,"")</x:f>
        <x:v>1612</x:v>
      </x:c>
      <x:c r="J28" s="29" t="n">
        <x:f>IF(A28&lt;='Inputs'!$B$32,1+'Inputs'!$B$31*A28,"")</x:f>
        <x:v>1.52</x:v>
      </x:c>
    </x:row>
    <x:row r="29" ht="25" customHeight="1">
      <x:c r="A29" s="19" t="n">
        <x:v>27</x:v>
      </x:c>
      <x:c r="B29" s="21" t="n">
        <x:f>IF(A29&lt;'Inputs'!$B$24,ROUNDUP(ROUND('Inputs'!$B$21*'Inputs'!$B$22^A29,6),0),"")</x:f>
        <x:v>311</x:v>
      </x:c>
      <x:c r="C29" s="21" t="n">
        <x:f>IF(A29&lt;='Inputs'!$B$24,C28+B28,"")</x:f>
        <x:v>3737</x:v>
      </x:c>
      <x:c r="D29" s="29" t="n">
        <x:f>IF(A29&lt;='Inputs'!$B$24,'Inputs'!$B$23^A29,"")</x:f>
        <x:v>1.9478000182997104</x:v>
      </x:c>
      <x:c r="E29" s="21" t="n">
        <x:f>IF(A29&lt;'Inputs'!$B$28,ROUNDUP(ROUND('Inputs'!$B$25*'Inputs'!$B$26^A29,6),0),"")</x:f>
        <x:v>29</x:v>
      </x:c>
      <x:c r="F29" s="21" t="n">
        <x:f>IF(A29&lt;='Inputs'!$B$28,F28+E28,"")</x:f>
        <x:v>484</x:v>
      </x:c>
      <x:c r="G29" s="29" t="n">
        <x:f>IF(A29&lt;='Inputs'!$B$28,'Inputs'!$B$27^A29,"")</x:f>
        <x:v>2.883368576136796</x:v>
      </x:c>
      <x:c r="H29" s="21" t="n">
        <x:f>IF(A29&lt;'Inputs'!$B$32,ROUNDUP(ROUND('Inputs'!$B$29*'Inputs'!$B$30^A29,6),0),"")</x:f>
        <x:v>160</x:v>
      </x:c>
      <x:c r="I29" s="21" t="n">
        <x:f>IF(A29&lt;='Inputs'!$B$32,I28+H28,"")</x:f>
        <x:v>1760</x:v>
      </x:c>
      <x:c r="J29" s="29" t="n">
        <x:f>IF(A29&lt;='Inputs'!$B$32,1+'Inputs'!$B$31*A29,"")</x:f>
        <x:v>1.54</x:v>
      </x:c>
    </x:row>
    <x:row r="30" ht="25" customHeight="1">
      <x:c r="A30" s="19" t="n">
        <x:v>28</x:v>
      </x:c>
      <x:c r="B30" s="21" t="n">
        <x:f>IF(A30&lt;'Inputs'!$B$24,ROUNDUP(ROUND('Inputs'!$B$21*'Inputs'!$B$22^A30,6),0),"")</x:f>
        <x:v>333</x:v>
      </x:c>
      <x:c r="C30" s="21" t="n">
        <x:f>IF(A30&lt;='Inputs'!$B$24,C29+B29,"")</x:f>
        <x:v>4048</x:v>
      </x:c>
      <x:c r="D30" s="29" t="n">
        <x:f>IF(A30&lt;='Inputs'!$B$24,'Inputs'!$B$23^A30,"")</x:f>
        <x:v>1.996495018757203</x:v>
      </x:c>
      <x:c r="E30" s="21" t="n">
        <x:f>IF(A30&lt;'Inputs'!$B$28,ROUNDUP(ROUND('Inputs'!$B$25*'Inputs'!$B$26^A30,6),0),"")</x:f>
        <x:v>30</x:v>
      </x:c>
      <x:c r="F30" s="21" t="n">
        <x:f>IF(A30&lt;='Inputs'!$B$28,F29+E29,"")</x:f>
        <x:v>513</x:v>
      </x:c>
      <x:c r="G30" s="29" t="n">
        <x:f>IF(A30&lt;='Inputs'!$B$28,'Inputs'!$B$27^A30,"")</x:f>
        <x:v>2.998703319182268</x:v>
      </x:c>
      <x:c r="H30" s="21" t="n">
        <x:f>IF(A30&lt;'Inputs'!$B$32,ROUNDUP(ROUND('Inputs'!$B$29*'Inputs'!$B$30^A30,6),0),"")</x:f>
        <x:v>173</x:v>
      </x:c>
      <x:c r="I30" s="21" t="n">
        <x:f>IF(A30&lt;='Inputs'!$B$32,I29+H29,"")</x:f>
        <x:v>1920</x:v>
      </x:c>
      <x:c r="J30" s="29" t="n">
        <x:f>IF(A30&lt;='Inputs'!$B$32,1+'Inputs'!$B$31*A30,"")</x:f>
        <x:v>1.56</x:v>
      </x:c>
    </x:row>
    <x:row r="31" ht="25" customHeight="1">
      <x:c r="A31" s="19" t="n">
        <x:v>29</x:v>
      </x:c>
      <x:c r="B31" s="21" t="n">
        <x:f>IF(A31&lt;'Inputs'!$B$24,ROUNDUP(ROUND('Inputs'!$B$21*'Inputs'!$B$22^A31,6),0),"")</x:f>
        <x:v>356</x:v>
      </x:c>
      <x:c r="C31" s="21" t="n">
        <x:f>IF(A31&lt;='Inputs'!$B$24,C30+B30,"")</x:f>
        <x:v>4381</x:v>
      </x:c>
      <x:c r="D31" s="29" t="n">
        <x:f>IF(A31&lt;='Inputs'!$B$24,'Inputs'!$B$23^A31,"")</x:f>
        <x:v>2.046407394226133</x:v>
      </x:c>
      <x:c r="E31" s="21" t="n">
        <x:f>IF(A31&lt;'Inputs'!$B$28,ROUNDUP(ROUND('Inputs'!$B$25*'Inputs'!$B$26^A31,6),0),"")</x:f>
        <x:v>32</x:v>
      </x:c>
      <x:c r="F31" s="21" t="n">
        <x:f>IF(A31&lt;='Inputs'!$B$28,F30+E30,"")</x:f>
        <x:v>543</x:v>
      </x:c>
      <x:c r="G31" s="29" t="n">
        <x:f>IF(A31&lt;='Inputs'!$B$28,'Inputs'!$B$27^A31,"")</x:f>
        <x:v>3.118651451949559</x:v>
      </x:c>
      <x:c r="H31" s="21" t="n">
        <x:f>IF(A31&lt;'Inputs'!$B$32,ROUNDUP(ROUND('Inputs'!$B$29*'Inputs'!$B$30^A31,6),0),"")</x:f>
        <x:v>187</x:v>
      </x:c>
      <x:c r="I31" s="21" t="n">
        <x:f>IF(A31&lt;='Inputs'!$B$32,I30+H30,"")</x:f>
        <x:v>2093</x:v>
      </x:c>
      <x:c r="J31" s="29" t="n">
        <x:f>IF(A31&lt;='Inputs'!$B$32,1+'Inputs'!$B$31*A31,"")</x:f>
        <x:v>1.58</x:v>
      </x:c>
    </x:row>
    <x:row r="32" ht="25" customHeight="1">
      <x:c r="A32" s="19" t="n">
        <x:v>30</x:v>
      </x:c>
      <x:c r="B32" s="21" t="n">
        <x:f>IF(A32&lt;'Inputs'!$B$24,ROUNDUP(ROUND('Inputs'!$B$21*'Inputs'!$B$22^A32,6),0),"")</x:f>
        <x:v>381</x:v>
      </x:c>
      <x:c r="C32" s="21" t="n">
        <x:f>IF(A32&lt;='Inputs'!$B$24,C31+B31,"")</x:f>
        <x:v>4737</x:v>
      </x:c>
      <x:c r="D32" s="29" t="n">
        <x:f>IF(A32&lt;='Inputs'!$B$24,'Inputs'!$B$23^A32,"")</x:f>
        <x:v>2.097567579081786</x:v>
      </x:c>
      <x:c r="E32" s="21" t="n">
        <x:f>IF(A32&lt;'Inputs'!$B$28,ROUNDUP(ROUND('Inputs'!$B$25*'Inputs'!$B$26^A32,6),0),"")</x:f>
        <x:v>33</x:v>
      </x:c>
      <x:c r="F32" s="21" t="n">
        <x:f>IF(A32&lt;='Inputs'!$B$28,F31+E31,"")</x:f>
        <x:v>575</x:v>
      </x:c>
      <x:c r="G32" s="29" t="n">
        <x:f>IF(A32&lt;='Inputs'!$B$28,'Inputs'!$B$27^A32,"")</x:f>
        <x:v>3.2433975100275414</x:v>
      </x:c>
      <x:c r="H32" s="21" t="n">
        <x:f>IF(A32&lt;'Inputs'!$B$32,ROUNDUP(ROUND('Inputs'!$B$29*'Inputs'!$B$30^A32,6),0),"")</x:f>
        <x:v>202</x:v>
      </x:c>
      <x:c r="I32" s="21" t="n">
        <x:f>IF(A32&lt;='Inputs'!$B$32,I31+H31,"")</x:f>
        <x:v>2280</x:v>
      </x:c>
      <x:c r="J32" s="29" t="n">
        <x:f>IF(A32&lt;='Inputs'!$B$32,1+'Inputs'!$B$31*A32,"")</x:f>
        <x:v>1.6</x:v>
      </x:c>
    </x:row>
    <x:row r="33" ht="25" customHeight="1">
      <x:c r="A33" s="19" t="n">
        <x:v>31</x:v>
      </x:c>
      <x:c r="B33" s="21" t="n">
        <x:f>IF(A33&lt;'Inputs'!$B$24,ROUNDUP(ROUND('Inputs'!$B$21*'Inputs'!$B$22^A33,6),0),"")</x:f>
        <x:v>408</x:v>
      </x:c>
      <x:c r="C33" s="21" t="n">
        <x:f>IF(A33&lt;='Inputs'!$B$24,C32+B32,"")</x:f>
        <x:v>5118</x:v>
      </x:c>
      <x:c r="D33" s="29" t="n">
        <x:f>IF(A33&lt;='Inputs'!$B$24,'Inputs'!$B$23^A33,"")</x:f>
        <x:v>2.1500067685588307</x:v>
      </x:c>
      <x:c r="E33" s="21" t="n">
        <x:f>IF(A33&lt;'Inputs'!$B$28,ROUNDUP(ROUND('Inputs'!$B$25*'Inputs'!$B$26^A33,6),0),"")</x:f>
        <x:v>34</x:v>
      </x:c>
      <x:c r="F33" s="21" t="n">
        <x:f>IF(A33&lt;='Inputs'!$B$28,F32+E32,"")</x:f>
        <x:v>608</x:v>
      </x:c>
      <x:c r="G33" s="29" t="n">
        <x:f>IF(A33&lt;='Inputs'!$B$28,'Inputs'!$B$27^A33,"")</x:f>
        <x:v>3.3731334104286432</x:v>
      </x:c>
      <x:c r="H33" s="21" t="n">
        <x:f>IF(A33&lt;'Inputs'!$B$32,ROUNDUP(ROUND('Inputs'!$B$29*'Inputs'!$B$30^A33,6),0),"")</x:f>
        <x:v>218</x:v>
      </x:c>
      <x:c r="I33" s="21" t="n">
        <x:f>IF(A33&lt;='Inputs'!$B$32,I32+H32,"")</x:f>
        <x:v>2482</x:v>
      </x:c>
      <x:c r="J33" s="29" t="n">
        <x:f>IF(A33&lt;='Inputs'!$B$32,1+'Inputs'!$B$31*A33,"")</x:f>
        <x:v>1.62</x:v>
      </x:c>
    </x:row>
    <x:row r="34" ht="25" customHeight="1">
      <x:c r="A34" s="19" t="n">
        <x:v>32</x:v>
      </x:c>
      <x:c r="B34" s="21" t="n">
        <x:f>IF(A34&lt;'Inputs'!$B$24,ROUNDUP(ROUND('Inputs'!$B$21*'Inputs'!$B$22^A34,6),0),"")</x:f>
        <x:v>436</x:v>
      </x:c>
      <x:c r="C34" s="21" t="n">
        <x:f>IF(A34&lt;='Inputs'!$B$24,C33+B33,"")</x:f>
        <x:v>5526</x:v>
      </x:c>
      <x:c r="D34" s="29" t="n">
        <x:f>IF(A34&lt;='Inputs'!$B$24,'Inputs'!$B$23^A34,"")</x:f>
        <x:v>2.203756937772801</x:v>
      </x:c>
      <x:c r="E34" s="21" t="n">
        <x:f>IF(A34&lt;'Inputs'!$B$28,ROUNDUP(ROUND('Inputs'!$B$25*'Inputs'!$B$26^A34,6),0),"")</x:f>
        <x:v>36</x:v>
      </x:c>
      <x:c r="F34" s="21" t="n">
        <x:f>IF(A34&lt;='Inputs'!$B$28,F33+E33,"")</x:f>
        <x:v>642</x:v>
      </x:c>
      <x:c r="G34" s="29" t="n">
        <x:f>IF(A34&lt;='Inputs'!$B$28,'Inputs'!$B$27^A34,"")</x:f>
        <x:v>3.508058746845789</x:v>
      </x:c>
      <x:c r="H34" s="21" t="n">
        <x:f>IF(A34&lt;'Inputs'!$B$32,ROUNDUP(ROUND('Inputs'!$B$29*'Inputs'!$B$30^A34,6),0),"")</x:f>
        <x:v>235</x:v>
      </x:c>
      <x:c r="I34" s="21" t="n">
        <x:f>IF(A34&lt;='Inputs'!$B$32,I33+H33,"")</x:f>
        <x:v>2700</x:v>
      </x:c>
      <x:c r="J34" s="29" t="n">
        <x:f>IF(A34&lt;='Inputs'!$B$32,1+'Inputs'!$B$31*A34,"")</x:f>
        <x:v>1.6400000000000001</x:v>
      </x:c>
    </x:row>
    <x:row r="35" ht="25" customHeight="1">
      <x:c r="A35" s="19" t="n">
        <x:v>33</x:v>
      </x:c>
      <x:c r="B35" s="21" t="n">
        <x:f>IF(A35&lt;'Inputs'!$B$24,ROUNDUP(ROUND('Inputs'!$B$21*'Inputs'!$B$22^A35,6),0),"")</x:f>
        <x:v>467</x:v>
      </x:c>
      <x:c r="C35" s="21" t="n">
        <x:f>IF(A35&lt;='Inputs'!$B$24,C34+B34,"")</x:f>
        <x:v>5962</x:v>
      </x:c>
      <x:c r="D35" s="29" t="n">
        <x:f>IF(A35&lt;='Inputs'!$B$24,'Inputs'!$B$23^A35,"")</x:f>
        <x:v>2.258850861217121</x:v>
      </x:c>
      <x:c r="E35" s="21" t="n">
        <x:f>IF(A35&lt;'Inputs'!$B$28,ROUNDUP(ROUND('Inputs'!$B$25*'Inputs'!$B$26^A35,6),0),"")</x:f>
        <x:v>37</x:v>
      </x:c>
      <x:c r="F35" s="21" t="n">
        <x:f>IF(A35&lt;='Inputs'!$B$28,F34+E34,"")</x:f>
        <x:v>678</x:v>
      </x:c>
      <x:c r="G35" s="29" t="n">
        <x:f>IF(A35&lt;='Inputs'!$B$28,'Inputs'!$B$27^A35,"")</x:f>
        <x:v>3.648381096719621</x:v>
      </x:c>
      <x:c r="H35" s="21" t="n">
        <x:f>IF(A35&lt;'Inputs'!$B$32,ROUNDUP(ROUND('Inputs'!$B$29*'Inputs'!$B$30^A35,6),0),"")</x:f>
        <x:v>254</x:v>
      </x:c>
      <x:c r="I35" s="21" t="n">
        <x:f>IF(A35&lt;='Inputs'!$B$32,I34+H34,"")</x:f>
        <x:v>2935</x:v>
      </x:c>
      <x:c r="J35" s="29" t="n">
        <x:f>IF(A35&lt;='Inputs'!$B$32,1+'Inputs'!$B$31*A35,"")</x:f>
        <x:v>1.6600000000000001</x:v>
      </x:c>
    </x:row>
    <x:row r="36" ht="25" customHeight="1">
      <x:c r="A36" s="19" t="n">
        <x:v>34</x:v>
      </x:c>
      <x:c r="B36" s="21" t="n">
        <x:f>IF(A36&lt;'Inputs'!$B$24,ROUNDUP(ROUND('Inputs'!$B$21*'Inputs'!$B$22^A36,6),0),"")</x:f>
        <x:v>499</x:v>
      </x:c>
      <x:c r="C36" s="21" t="n">
        <x:f>IF(A36&lt;='Inputs'!$B$24,C35+B35,"")</x:f>
        <x:v>6429</x:v>
      </x:c>
      <x:c r="D36" s="29" t="n">
        <x:f>IF(A36&lt;='Inputs'!$B$24,'Inputs'!$B$23^A36,"")</x:f>
        <x:v>2.3153221327475486</x:v>
      </x:c>
      <x:c r="E36" s="21" t="n">
        <x:f>IF(A36&lt;'Inputs'!$B$28,ROUNDUP(ROUND('Inputs'!$B$25*'Inputs'!$B$26^A36,6),0),"")</x:f>
        <x:v>38</x:v>
      </x:c>
      <x:c r="F36" s="21" t="n">
        <x:f>IF(A36&lt;='Inputs'!$B$28,F35+E35,"")</x:f>
        <x:v>715</x:v>
      </x:c>
      <x:c r="G36" s="29" t="n">
        <x:f>IF(A36&lt;='Inputs'!$B$28,'Inputs'!$B$27^A36,"")</x:f>
        <x:v>3.7943163405884057</x:v>
      </x:c>
      <x:c r="H36" s="21" t="n">
        <x:f>IF(A36&lt;'Inputs'!$B$32,ROUNDUP(ROUND('Inputs'!$B$29*'Inputs'!$B$30^A36,6),0),"")</x:f>
        <x:v>274</x:v>
      </x:c>
      <x:c r="I36" s="21" t="n">
        <x:f>IF(A36&lt;='Inputs'!$B$32,I35+H35,"")</x:f>
        <x:v>3189</x:v>
      </x:c>
      <x:c r="J36" s="29" t="n">
        <x:f>IF(A36&lt;='Inputs'!$B$32,1+'Inputs'!$B$31*A36,"")</x:f>
        <x:v>1.6800000000000002</x:v>
      </x:c>
    </x:row>
    <x:row r="37" ht="25" customHeight="1">
      <x:c r="A37" s="19" t="n">
        <x:v>35</x:v>
      </x:c>
      <x:c r="B37" s="21" t="n">
        <x:f>IF(A37&lt;'Inputs'!$B$24,ROUNDUP(ROUND('Inputs'!$B$21*'Inputs'!$B$22^A37,6),0),"")</x:f>
        <x:v>534</x:v>
      </x:c>
      <x:c r="C37" s="21" t="n">
        <x:f>IF(A37&lt;='Inputs'!$B$24,C36+B36,"")</x:f>
        <x:v>6928</x:v>
      </x:c>
      <x:c r="D37" s="29" t="n">
        <x:f>IF(A37&lt;='Inputs'!$B$24,'Inputs'!$B$23^A37,"")</x:f>
        <x:v>2.373205186066237</x:v>
      </x:c>
      <x:c r="E37" s="21" t="n">
        <x:f>IF(A37&lt;'Inputs'!$B$28,ROUNDUP(ROUND('Inputs'!$B$25*'Inputs'!$B$26^A37,6),0),"")</x:f>
        <x:v>40</x:v>
      </x:c>
      <x:c r="F37" s="21" t="n">
        <x:f>IF(A37&lt;='Inputs'!$B$28,F36+E36,"")</x:f>
        <x:v>753</x:v>
      </x:c>
      <x:c r="G37" s="29" t="n">
        <x:f>IF(A37&lt;='Inputs'!$B$28,'Inputs'!$B$27^A37,"")</x:f>
        <x:v>3.946088994211942</x:v>
      </x:c>
      <x:c r="H37" s="21" t="n">
        <x:f>IF(A37&lt;'Inputs'!$B$32,ROUNDUP(ROUND('Inputs'!$B$29*'Inputs'!$B$30^A37,6),0),"")</x:f>
        <x:v>296</x:v>
      </x:c>
      <x:c r="I37" s="21" t="n">
        <x:f>IF(A37&lt;='Inputs'!$B$32,I36+H36,"")</x:f>
        <x:v>3463</x:v>
      </x:c>
      <x:c r="J37" s="29" t="n">
        <x:f>IF(A37&lt;='Inputs'!$B$32,1+'Inputs'!$B$31*A37,"")</x:f>
        <x:v>1.7000000000000002</x:v>
      </x:c>
    </x:row>
    <x:row r="38" ht="25" customHeight="1">
      <x:c r="A38" s="19" t="n">
        <x:v>36</x:v>
      </x:c>
      <x:c r="B38" s="21" t="n">
        <x:f>IF(A38&lt;'Inputs'!$B$24,ROUNDUP(ROUND('Inputs'!$B$21*'Inputs'!$B$22^A38,6),0),"")</x:f>
        <x:v>572</x:v>
      </x:c>
      <x:c r="C38" s="21" t="n">
        <x:f>IF(A38&lt;='Inputs'!$B$24,C37+B37,"")</x:f>
        <x:v>7462</x:v>
      </x:c>
      <x:c r="D38" s="29" t="n">
        <x:f>IF(A38&lt;='Inputs'!$B$24,'Inputs'!$B$23^A38,"")</x:f>
        <x:v>2.432535315717893</x:v>
      </x:c>
      <x:c r="E38" s="21" t="n">
        <x:f>IF(A38&lt;'Inputs'!$B$28,ROUNDUP(ROUND('Inputs'!$B$25*'Inputs'!$B$26^A38,6),0),"")</x:f>
        <x:v>42</x:v>
      </x:c>
      <x:c r="F38" s="21" t="n">
        <x:f>IF(A38&lt;='Inputs'!$B$28,F37+E37,"")</x:f>
        <x:v>793</x:v>
      </x:c>
      <x:c r="G38" s="29" t="n">
        <x:f>IF(A38&lt;='Inputs'!$B$28,'Inputs'!$B$27^A38,"")</x:f>
        <x:v>4.10393255398042</x:v>
      </x:c>
      <x:c r="H38" s="21" t="n">
        <x:f>IF(A38&lt;'Inputs'!$B$32,ROUNDUP(ROUND('Inputs'!$B$29*'Inputs'!$B$30^A38,6),0),"")</x:f>
        <x:v>320</x:v>
      </x:c>
      <x:c r="I38" s="21" t="n">
        <x:f>IF(A38&lt;='Inputs'!$B$32,I37+H37,"")</x:f>
        <x:v>3759</x:v>
      </x:c>
      <x:c r="J38" s="29" t="n">
        <x:f>IF(A38&lt;='Inputs'!$B$32,1+'Inputs'!$B$31*A38,"")</x:f>
        <x:v>1.72</x:v>
      </x:c>
    </x:row>
    <x:row r="39" ht="25" customHeight="1">
      <x:c r="A39" s="19" t="n">
        <x:v>37</x:v>
      </x:c>
      <x:c r="B39" s="21" t="n">
        <x:f>IF(A39&lt;'Inputs'!$B$24,ROUNDUP(ROUND('Inputs'!$B$21*'Inputs'!$B$22^A39,6),0),"")</x:f>
        <x:v>612</x:v>
      </x:c>
      <x:c r="C39" s="21" t="n">
        <x:f>IF(A39&lt;='Inputs'!$B$24,C38+B38,"")</x:f>
        <x:v>8034</x:v>
      </x:c>
      <x:c r="D39" s="29" t="n">
        <x:f>IF(A39&lt;='Inputs'!$B$24,'Inputs'!$B$23^A39,"")</x:f>
        <x:v>2.49334869861084</x:v>
      </x:c>
      <x:c r="E39" s="21" t="n">
        <x:f>IF(A39&lt;'Inputs'!$B$28,ROUNDUP(ROUND('Inputs'!$B$25*'Inputs'!$B$26^A39,6),0),"")</x:f>
        <x:v>43</x:v>
      </x:c>
      <x:c r="F39" s="21" t="n">
        <x:f>IF(A39&lt;='Inputs'!$B$28,F38+E38,"")</x:f>
        <x:v>835</x:v>
      </x:c>
      <x:c r="G39" s="29" t="n">
        <x:f>IF(A39&lt;='Inputs'!$B$28,'Inputs'!$B$27^A39,"")</x:f>
        <x:v>4.268089856139636</x:v>
      </x:c>
      <x:c r="H39" s="21" t="n">
        <x:f>IF(A39&lt;'Inputs'!$B$32,ROUNDUP(ROUND('Inputs'!$B$29*'Inputs'!$B$30^A39,6),0),"")</x:f>
        <x:v>345</x:v>
      </x:c>
      <x:c r="I39" s="21" t="n">
        <x:f>IF(A39&lt;='Inputs'!$B$32,I38+H38,"")</x:f>
        <x:v>4079</x:v>
      </x:c>
      <x:c r="J39" s="29" t="n">
        <x:f>IF(A39&lt;='Inputs'!$B$32,1+'Inputs'!$B$31*A39,"")</x:f>
        <x:v>1.74</x:v>
      </x:c>
    </x:row>
    <x:row r="40" ht="25" customHeight="1">
      <x:c r="A40" s="19" t="n">
        <x:v>38</x:v>
      </x:c>
      <x:c r="B40" s="21" t="n">
        <x:f>IF(A40&lt;'Inputs'!$B$24,ROUNDUP(ROUND('Inputs'!$B$21*'Inputs'!$B$22^A40,6),0),"")</x:f>
        <x:v>654</x:v>
      </x:c>
      <x:c r="C40" s="21" t="n">
        <x:f>IF(A40&lt;='Inputs'!$B$24,C39+B39,"")</x:f>
        <x:v>8646</x:v>
      </x:c>
      <x:c r="D40" s="29" t="n">
        <x:f>IF(A40&lt;='Inputs'!$B$24,'Inputs'!$B$23^A40,"")</x:f>
        <x:v>2.555682416076111</x:v>
      </x:c>
      <x:c r="E40" s="21" t="n">
        <x:f>IF(A40&lt;'Inputs'!$B$28,ROUNDUP(ROUND('Inputs'!$B$25*'Inputs'!$B$26^A40,6),0),"")</x:f>
        <x:v>45</x:v>
      </x:c>
      <x:c r="F40" s="21" t="n">
        <x:f>IF(A40&lt;='Inputs'!$B$28,F39+E39,"")</x:f>
        <x:v>878</x:v>
      </x:c>
      <x:c r="G40" s="29" t="n">
        <x:f>IF(A40&lt;='Inputs'!$B$28,'Inputs'!$B$27^A40,"")</x:f>
        <x:v>4.438813450385222</x:v>
      </x:c>
      <x:c r="H40" s="21" t="n">
        <x:f>IF(A40&lt;'Inputs'!$B$32,ROUNDUP(ROUND('Inputs'!$B$29*'Inputs'!$B$30^A40,6),0),"")</x:f>
        <x:v>373</x:v>
      </x:c>
      <x:c r="I40" s="21" t="n">
        <x:f>IF(A40&lt;='Inputs'!$B$32,I39+H39,"")</x:f>
        <x:v>4424</x:v>
      </x:c>
      <x:c r="J40" s="29" t="n">
        <x:f>IF(A40&lt;='Inputs'!$B$32,1+'Inputs'!$B$31*A40,"")</x:f>
        <x:v>1.76</x:v>
      </x:c>
    </x:row>
    <x:row r="41" ht="25" customHeight="1">
      <x:c r="A41" s="19" t="n">
        <x:v>39</x:v>
      </x:c>
      <x:c r="B41" s="21" t="n">
        <x:f>IF(A41&lt;'Inputs'!$B$24,ROUNDUP(ROUND('Inputs'!$B$21*'Inputs'!$B$22^A41,6),0),"")</x:f>
        <x:v>700</x:v>
      </x:c>
      <x:c r="C41" s="21" t="n">
        <x:f>IF(A41&lt;='Inputs'!$B$24,C40+B40,"")</x:f>
        <x:v>9300</x:v>
      </x:c>
      <x:c r="D41" s="29" t="n">
        <x:f>IF(A41&lt;='Inputs'!$B$24,'Inputs'!$B$23^A41,"")</x:f>
        <x:v>2.619574476478013</x:v>
      </x:c>
      <x:c r="E41" s="21" t="n">
        <x:f>IF(A41&lt;'Inputs'!$B$28,ROUNDUP(ROUND('Inputs'!$B$25*'Inputs'!$B$26^A41,6),0),"")</x:f>
        <x:v>47</x:v>
      </x:c>
      <x:c r="F41" s="21" t="n">
        <x:f>IF(A41&lt;='Inputs'!$B$28,F40+E40,"")</x:f>
        <x:v>923</x:v>
      </x:c>
      <x:c r="G41" s="29" t="n">
        <x:f>IF(A41&lt;='Inputs'!$B$28,'Inputs'!$B$27^A41,"")</x:f>
        <x:v>4.616365988400632</x:v>
      </x:c>
      <x:c r="H41" s="21" t="n">
        <x:f>IF(A41&lt;'Inputs'!$B$32,ROUNDUP(ROUND('Inputs'!$B$29*'Inputs'!$B$30^A41,6),0),"")</x:f>
        <x:v>403</x:v>
      </x:c>
      <x:c r="I41" s="21" t="n">
        <x:f>IF(A41&lt;='Inputs'!$B$32,I40+H40,"")</x:f>
        <x:v>4797</x:v>
      </x:c>
      <x:c r="J41" s="29" t="n">
        <x:f>IF(A41&lt;='Inputs'!$B$32,1+'Inputs'!$B$31*A41,"")</x:f>
        <x:v>1.78</x:v>
      </x:c>
    </x:row>
    <x:row r="42" ht="25" customHeight="1">
      <x:c r="A42" s="19" t="n">
        <x:v>40</x:v>
      </x:c>
      <x:c r="B42" s="21" t="n">
        <x:f>IF(A42&lt;'Inputs'!$B$24,ROUNDUP(ROUND('Inputs'!$B$21*'Inputs'!$B$22^A42,6),0),"")</x:f>
        <x:v>749</x:v>
      </x:c>
      <x:c r="C42" s="21" t="n">
        <x:f>IF(A42&lt;='Inputs'!$B$24,C41+B41,"")</x:f>
        <x:v>10000</x:v>
      </x:c>
      <x:c r="D42" s="29" t="n">
        <x:f>IF(A42&lt;='Inputs'!$B$24,'Inputs'!$B$23^A42,"")</x:f>
        <x:v>2.685063838389963</x:v>
      </x:c>
      <x:c r="E42" s="21" t="n">
        <x:f>IF(A42&lt;'Inputs'!$B$28,ROUNDUP(ROUND('Inputs'!$B$25*'Inputs'!$B$26^A42,6),0),"")</x:f>
        <x:v>49</x:v>
      </x:c>
      <x:c r="F42" s="21" t="n">
        <x:f>IF(A42&lt;='Inputs'!$B$28,F41+E41,"")</x:f>
        <x:v>970</x:v>
      </x:c>
      <x:c r="G42" s="29" t="n">
        <x:f>IF(A42&lt;='Inputs'!$B$28,'Inputs'!$B$27^A42,"")</x:f>
        <x:v>4.801020627936657</x:v>
      </x:c>
      <x:c r="H42" s="21" t="n">
        <x:f>IF(A42&lt;'Inputs'!$B$32,ROUNDUP(ROUND('Inputs'!$B$29*'Inputs'!$B$30^A42,6),0),"")</x:f>
        <x:v>435</x:v>
      </x:c>
      <x:c r="I42" s="21" t="n">
        <x:f>IF(A42&lt;='Inputs'!$B$32,I41+H41,"")</x:f>
        <x:v>5200</x:v>
      </x:c>
      <x:c r="J42" s="29" t="n">
        <x:f>IF(A42&lt;='Inputs'!$B$32,1+'Inputs'!$B$31*A42,"")</x:f>
        <x:v>1.8</x:v>
      </x:c>
    </x:row>
    <x:row r="43" ht="25" customHeight="1">
      <x:c r="A43" s="19" t="n">
        <x:v>41</x:v>
      </x:c>
      <x:c r="B43" s="21" t="n">
        <x:f>IF(A43&lt;'Inputs'!$B$24,ROUNDUP(ROUND('Inputs'!$B$21*'Inputs'!$B$22^A43,6),0),"")</x:f>
        <x:v>802</x:v>
      </x:c>
      <x:c r="C43" s="21" t="n">
        <x:f>IF(A43&lt;='Inputs'!$B$24,C42+B42,"")</x:f>
        <x:v>10749</x:v>
      </x:c>
      <x:c r="D43" s="29" t="n">
        <x:f>IF(A43&lt;='Inputs'!$B$24,'Inputs'!$B$23^A43,"")</x:f>
        <x:v>2.7521904343497123</x:v>
      </x:c>
      <x:c r="E43" s="21" t="n">
        <x:f>IF(A43&lt;'Inputs'!$B$28,ROUNDUP(ROUND('Inputs'!$B$25*'Inputs'!$B$26^A43,6),0),"")</x:f>
        <x:v>50</x:v>
      </x:c>
      <x:c r="F43" s="21" t="n">
        <x:f>IF(A43&lt;='Inputs'!$B$28,F42+E42,"")</x:f>
        <x:v>1019</x:v>
      </x:c>
      <x:c r="G43" s="29" t="n">
        <x:f>IF(A43&lt;='Inputs'!$B$28,'Inputs'!$B$27^A43,"")</x:f>
        <x:v>4.993061453054123</x:v>
      </x:c>
      <x:c r="H43" s="21" t="n">
        <x:f>IF(A43&lt;'Inputs'!$B$32,ROUNDUP(ROUND('Inputs'!$B$29*'Inputs'!$B$30^A43,6),0),"")</x:f>
        <x:v>470</x:v>
      </x:c>
      <x:c r="I43" s="21" t="n">
        <x:f>IF(A43&lt;='Inputs'!$B$32,I42+H42,"")</x:f>
        <x:v>5635</x:v>
      </x:c>
      <x:c r="J43" s="29" t="n">
        <x:f>IF(A43&lt;='Inputs'!$B$32,1+'Inputs'!$B$31*A43,"")</x:f>
        <x:v>1.82</x:v>
      </x:c>
    </x:row>
    <x:row r="44" ht="25" customHeight="1">
      <x:c r="A44" s="19" t="n">
        <x:v>42</x:v>
      </x:c>
      <x:c r="B44" s="21" t="n">
        <x:f>IF(A44&lt;'Inputs'!$B$24,ROUNDUP(ROUND('Inputs'!$B$21*'Inputs'!$B$22^A44,6),0),"")</x:f>
        <x:v>858</x:v>
      </x:c>
      <x:c r="C44" s="21" t="n">
        <x:f>IF(A44&lt;='Inputs'!$B$24,C43+B43,"")</x:f>
        <x:v>11551</x:v>
      </x:c>
      <x:c r="D44" s="29" t="n">
        <x:f>IF(A44&lt;='Inputs'!$B$24,'Inputs'!$B$23^A44,"")</x:f>
        <x:v>2.8209951952084547</x:v>
      </x:c>
      <x:c r="E44" s="21" t="n">
        <x:f>IF(A44&lt;'Inputs'!$B$28,ROUNDUP(ROUND('Inputs'!$B$25*'Inputs'!$B$26^A44,6),0),"")</x:f>
        <x:v>52</x:v>
      </x:c>
      <x:c r="F44" s="21" t="n">
        <x:f>IF(A44&lt;='Inputs'!$B$28,F43+E43,"")</x:f>
        <x:v>1069</x:v>
      </x:c>
      <x:c r="G44" s="29" t="n">
        <x:f>IF(A44&lt;='Inputs'!$B$28,'Inputs'!$B$27^A44,"")</x:f>
        <x:v>5.192783911176289</x:v>
      </x:c>
      <x:c r="H44" s="21" t="n">
        <x:f>IF(A44&lt;'Inputs'!$B$32,ROUNDUP(ROUND('Inputs'!$B$29*'Inputs'!$B$30^A44,6),0),"")</x:f>
        <x:v>507</x:v>
      </x:c>
      <x:c r="I44" s="21" t="n">
        <x:f>IF(A44&lt;='Inputs'!$B$32,I43+H43,"")</x:f>
        <x:v>6105</x:v>
      </x:c>
      <x:c r="J44" s="29" t="n">
        <x:f>IF(A44&lt;='Inputs'!$B$32,1+'Inputs'!$B$31*A44,"")</x:f>
        <x:v>1.8399999999999999</x:v>
      </x:c>
    </x:row>
    <x:row r="45" ht="25" customHeight="1">
      <x:c r="A45" s="19" t="n">
        <x:v>43</x:v>
      </x:c>
      <x:c r="B45" s="21" t="n">
        <x:f>IF(A45&lt;'Inputs'!$B$24,ROUNDUP(ROUND('Inputs'!$B$21*'Inputs'!$B$22^A45,6),0),"")</x:f>
        <x:v>918</x:v>
      </x:c>
      <x:c r="C45" s="21" t="n">
        <x:f>IF(A45&lt;='Inputs'!$B$24,C44+B44,"")</x:f>
        <x:v>12409</x:v>
      </x:c>
      <x:c r="D45" s="29" t="n">
        <x:f>IF(A45&lt;='Inputs'!$B$24,'Inputs'!$B$23^A45,"")</x:f>
        <x:v>2.891520075088666</x:v>
      </x:c>
      <x:c r="E45" s="21" t="n">
        <x:f>IF(A45&lt;'Inputs'!$B$28,ROUNDUP(ROUND('Inputs'!$B$25*'Inputs'!$B$26^A45,6),0),"")</x:f>
        <x:v>55</x:v>
      </x:c>
      <x:c r="F45" s="21" t="n">
        <x:f>IF(A45&lt;='Inputs'!$B$28,F44+E44,"")</x:f>
        <x:v>1121</x:v>
      </x:c>
      <x:c r="G45" s="29" t="n">
        <x:f>IF(A45&lt;='Inputs'!$B$28,'Inputs'!$B$27^A45,"")</x:f>
        <x:v>5.40049526762334</x:v>
      </x:c>
      <x:c r="H45" s="21" t="n">
        <x:f>IF(A45&lt;'Inputs'!$B$32,ROUNDUP(ROUND('Inputs'!$B$29*'Inputs'!$B$30^A45,6),0),"")</x:f>
        <x:v>548</x:v>
      </x:c>
      <x:c r="I45" s="21" t="n">
        <x:f>IF(A45&lt;='Inputs'!$B$32,I44+H44,"")</x:f>
        <x:v>6612</x:v>
      </x:c>
      <x:c r="J45" s="29" t="n">
        <x:f>IF(A45&lt;='Inputs'!$B$32,1+'Inputs'!$B$31*A45,"")</x:f>
        <x:v>1.8599999999999999</x:v>
      </x:c>
    </x:row>
    <x:row r="46" ht="25" customHeight="1">
      <x:c r="A46" s="19" t="n">
        <x:v>44</x:v>
      </x:c>
      <x:c r="B46" s="21" t="n">
        <x:f>IF(A46&lt;'Inputs'!$B$24,ROUNDUP(ROUND('Inputs'!$B$21*'Inputs'!$B$22^A46,6),0),"")</x:f>
        <x:v>982</x:v>
      </x:c>
      <x:c r="C46" s="21" t="n">
        <x:f>IF(A46&lt;='Inputs'!$B$24,C45+B45,"")</x:f>
        <x:v>13327</x:v>
      </x:c>
      <x:c r="D46" s="29" t="n">
        <x:f>IF(A46&lt;='Inputs'!$B$24,'Inputs'!$B$23^A46,"")</x:f>
        <x:v>2.9638080769658823</x:v>
      </x:c>
      <x:c r="E46" s="21" t="n">
        <x:f>IF(A46&lt;'Inputs'!$B$28,ROUNDUP(ROUND('Inputs'!$B$25*'Inputs'!$B$26^A46,6),0),"")</x:f>
        <x:v>57</x:v>
      </x:c>
      <x:c r="F46" s="21" t="n">
        <x:f>IF(A46&lt;='Inputs'!$B$28,F45+E45,"")</x:f>
        <x:v>1176</x:v>
      </x:c>
      <x:c r="G46" s="29" t="n">
        <x:f>IF(A46&lt;='Inputs'!$B$28,'Inputs'!$B$27^A46,"")</x:f>
        <x:v>5.616515078328274</x:v>
      </x:c>
      <x:c r="H46" s="21" t="n">
        <x:f>IF(A46&lt;'Inputs'!$B$32,ROUNDUP(ROUND('Inputs'!$B$29*'Inputs'!$B$30^A46,6),0),"")</x:f>
        <x:v>592</x:v>
      </x:c>
      <x:c r="I46" s="21" t="n">
        <x:f>IF(A46&lt;='Inputs'!$B$32,I45+H45,"")</x:f>
        <x:v>7160</x:v>
      </x:c>
      <x:c r="J46" s="29" t="n">
        <x:f>IF(A46&lt;='Inputs'!$B$32,1+'Inputs'!$B$31*A46,"")</x:f>
        <x:v>1.88</x:v>
      </x:c>
    </x:row>
    <x:row r="47" ht="25" customHeight="1">
      <x:c r="A47" s="19" t="n">
        <x:v>45</x:v>
      </x:c>
      <x:c r="B47" s="21" t="n">
        <x:f>IF(A47&lt;'Inputs'!$B$24,ROUNDUP(ROUND('Inputs'!$B$21*'Inputs'!$B$22^A47,6),0),"")</x:f>
        <x:v>1051</x:v>
      </x:c>
      <x:c r="C47" s="21" t="n">
        <x:f>IF(A47&lt;='Inputs'!$B$24,C46+B46,"")</x:f>
        <x:v>14309</x:v>
      </x:c>
      <x:c r="D47" s="29" t="n">
        <x:f>IF(A47&lt;='Inputs'!$B$24,'Inputs'!$B$23^A47,"")</x:f>
        <x:v>3.0379032788900293</x:v>
      </x:c>
      <x:c r="E47" s="21" t="n">
        <x:f>IF(A47&lt;'Inputs'!$B$28,ROUNDUP(ROUND('Inputs'!$B$25*'Inputs'!$B$26^A47,6),0),"")</x:f>
        <x:v>59</x:v>
      </x:c>
      <x:c r="F47" s="21" t="n">
        <x:f>IF(A47&lt;='Inputs'!$B$28,F46+E46,"")</x:f>
        <x:v>1233</x:v>
      </x:c>
      <x:c r="G47" s="29" t="n">
        <x:f>IF(A47&lt;='Inputs'!$B$28,'Inputs'!$B$27^A47,"")</x:f>
        <x:v>5.841175681461405</x:v>
      </x:c>
      <x:c r="H47" s="21" t="n">
        <x:f>IF(A47&lt;'Inputs'!$B$32,ROUNDUP(ROUND('Inputs'!$B$29*'Inputs'!$B$30^A47,6),0),"")</x:f>
        <x:v>639</x:v>
      </x:c>
      <x:c r="I47" s="21" t="n">
        <x:f>IF(A47&lt;='Inputs'!$B$32,I46+H46,"")</x:f>
        <x:v>7752</x:v>
      </x:c>
      <x:c r="J47" s="29" t="n">
        <x:f>IF(A47&lt;='Inputs'!$B$32,1+'Inputs'!$B$31*A47,"")</x:f>
        <x:v>1.9</x:v>
      </x:c>
    </x:row>
    <x:row r="48" ht="25" customHeight="1">
      <x:c r="A48" s="19" t="n">
        <x:v>46</x:v>
      </x:c>
      <x:c r="B48" s="21" t="n">
        <x:f>IF(A48&lt;'Inputs'!$B$24,ROUNDUP(ROUND('Inputs'!$B$21*'Inputs'!$B$22^A48,6),0),"")</x:f>
        <x:v>1124</x:v>
      </x:c>
      <x:c r="C48" s="21" t="n">
        <x:f>IF(A48&lt;='Inputs'!$B$24,C47+B47,"")</x:f>
        <x:v>15360</x:v>
      </x:c>
      <x:c r="D48" s="29" t="n">
        <x:f>IF(A48&lt;='Inputs'!$B$24,'Inputs'!$B$23^A48,"")</x:f>
        <x:v>3.1138508608622795</x:v>
      </x:c>
      <x:c r="E48" s="21" t="n">
        <x:f>IF(A48&lt;'Inputs'!$B$28,ROUNDUP(ROUND('Inputs'!$B$25*'Inputs'!$B$26^A48,6),0),"")</x:f>
        <x:v>61</x:v>
      </x:c>
      <x:c r="F48" s="21" t="n">
        <x:f>IF(A48&lt;='Inputs'!$B$28,F47+E47,"")</x:f>
        <x:v>1292</x:v>
      </x:c>
      <x:c r="G48" s="29" t="n">
        <x:f>IF(A48&lt;='Inputs'!$B$28,'Inputs'!$B$27^A48,"")</x:f>
        <x:v>6.074822708719862</x:v>
      </x:c>
      <x:c r="H48" s="21" t="n">
        <x:f>IF(A48&lt;'Inputs'!$B$32,ROUNDUP(ROUND('Inputs'!$B$29*'Inputs'!$B$30^A48,6),0),"")</x:f>
        <x:v>690</x:v>
      </x:c>
      <x:c r="I48" s="21" t="n">
        <x:f>IF(A48&lt;='Inputs'!$B$32,I47+H47,"")</x:f>
        <x:v>8391</x:v>
      </x:c>
      <x:c r="J48" s="29" t="n">
        <x:f>IF(A48&lt;='Inputs'!$B$32,1+'Inputs'!$B$31*A48,"")</x:f>
        <x:v>1.92</x:v>
      </x:c>
    </x:row>
    <x:row r="49" ht="25" customHeight="1">
      <x:c r="A49" s="19" t="n">
        <x:v>47</x:v>
      </x:c>
      <x:c r="B49" s="21" t="n">
        <x:f>IF(A49&lt;'Inputs'!$B$24,ROUNDUP(ROUND('Inputs'!$B$21*'Inputs'!$B$22^A49,6),0),"")</x:f>
        <x:v>1203</x:v>
      </x:c>
      <x:c r="C49" s="21" t="n">
        <x:f>IF(A49&lt;='Inputs'!$B$24,C48+B48,"")</x:f>
        <x:v>16484</x:v>
      </x:c>
      <x:c r="D49" s="29" t="n">
        <x:f>IF(A49&lt;='Inputs'!$B$24,'Inputs'!$B$23^A49,"")</x:f>
        <x:v>3.1916971323838363</x:v>
      </x:c>
      <x:c r="E49" s="21" t="n">
        <x:f>IF(A49&lt;'Inputs'!$B$28,ROUNDUP(ROUND('Inputs'!$B$25*'Inputs'!$B$26^A49,6),0),"")</x:f>
        <x:v>64</x:v>
      </x:c>
      <x:c r="F49" s="21" t="n">
        <x:f>IF(A49&lt;='Inputs'!$B$28,F48+E48,"")</x:f>
        <x:v>1353</x:v>
      </x:c>
      <x:c r="G49" s="29" t="n">
        <x:f>IF(A49&lt;='Inputs'!$B$28,'Inputs'!$B$27^A49,"")</x:f>
        <x:v>6.317815617068656</x:v>
      </x:c>
      <x:c r="H49" s="21" t="n">
        <x:f>IF(A49&lt;'Inputs'!$B$32,ROUNDUP(ROUND('Inputs'!$B$29*'Inputs'!$B$30^A49,6),0),"")</x:f>
        <x:v>745</x:v>
      </x:c>
      <x:c r="I49" s="21" t="n">
        <x:f>IF(A49&lt;='Inputs'!$B$32,I48+H48,"")</x:f>
        <x:v>9081</x:v>
      </x:c>
      <x:c r="J49" s="29" t="n">
        <x:f>IF(A49&lt;='Inputs'!$B$32,1+'Inputs'!$B$31*A49,"")</x:f>
        <x:v>1.94</x:v>
      </x:c>
    </x:row>
    <x:row r="50" ht="25" customHeight="1">
      <x:c r="A50" s="19" t="n">
        <x:v>48</x:v>
      </x:c>
      <x:c r="B50" s="21" t="n">
        <x:f>IF(A50&lt;'Inputs'!$B$24,ROUNDUP(ROUND('Inputs'!$B$21*'Inputs'!$B$22^A50,6),0),"")</x:f>
        <x:v>1287</x:v>
      </x:c>
      <x:c r="C50" s="21" t="n">
        <x:f>IF(A50&lt;='Inputs'!$B$24,C49+B49,"")</x:f>
        <x:v>17687</x:v>
      </x:c>
      <x:c r="D50" s="29" t="n">
        <x:f>IF(A50&lt;='Inputs'!$B$24,'Inputs'!$B$23^A50,"")</x:f>
        <x:v>3.271489560693432</x:v>
      </x:c>
      <x:c r="E50" s="21" t="n">
        <x:f>IF(A50&lt;'Inputs'!$B$28,ROUNDUP(ROUND('Inputs'!$B$25*'Inputs'!$B$26^A50,6),0),"")</x:f>
        <x:v>66</x:v>
      </x:c>
      <x:c r="F50" s="21" t="n">
        <x:f>IF(A50&lt;='Inputs'!$B$28,F49+E49,"")</x:f>
        <x:v>1417</x:v>
      </x:c>
      <x:c r="G50" s="29" t="n">
        <x:f>IF(A50&lt;='Inputs'!$B$28,'Inputs'!$B$27^A50,"")</x:f>
        <x:v>6.570528241751402</x:v>
      </x:c>
      <x:c r="H50" s="21" t="n">
        <x:f>IF(A50&lt;'Inputs'!$B$32,ROUNDUP(ROUND('Inputs'!$B$29*'Inputs'!$B$30^A50,6),0),"")</x:f>
        <x:v>805</x:v>
      </x:c>
      <x:c r="I50" s="21" t="n">
        <x:f>IF(A50&lt;='Inputs'!$B$32,I49+H49,"")</x:f>
        <x:v>9826</x:v>
      </x:c>
      <x:c r="J50" s="29" t="n">
        <x:f>IF(A50&lt;='Inputs'!$B$32,1+'Inputs'!$B$31*A50,"")</x:f>
        <x:v>1.96</x:v>
      </x:c>
    </x:row>
    <x:row r="51" ht="25" customHeight="1">
      <x:c r="A51" s="19" t="n">
        <x:v>49</x:v>
      </x:c>
      <x:c r="B51" s="21" t="n">
        <x:f>IF(A51&lt;'Inputs'!$B$24,ROUNDUP(ROUND('Inputs'!$B$21*'Inputs'!$B$22^A51,6),0),"")</x:f>
        <x:v>1377</x:v>
      </x:c>
      <x:c r="C51" s="21" t="n">
        <x:f>IF(A51&lt;='Inputs'!$B$24,C50+B50,"")</x:f>
        <x:v>18974</x:v>
      </x:c>
      <x:c r="D51" s="29" t="n">
        <x:f>IF(A51&lt;='Inputs'!$B$24,'Inputs'!$B$23^A51,"")</x:f>
        <x:v>3.3532767997107675</x:v>
      </x:c>
      <x:c r="E51" s="21" t="n">
        <x:f>IF(A51&lt;'Inputs'!$B$28,ROUNDUP(ROUND('Inputs'!$B$25*'Inputs'!$B$26^A51,6),0),"")</x:f>
        <x:v>69</x:v>
      </x:c>
      <x:c r="F51" s="21" t="n">
        <x:f>IF(A51&lt;='Inputs'!$B$28,F50+E50,"")</x:f>
        <x:v>1483</x:v>
      </x:c>
      <x:c r="G51" s="29" t="n">
        <x:f>IF(A51&lt;='Inputs'!$B$28,'Inputs'!$B$27^A51,"")</x:f>
        <x:v>6.833349371421459</x:v>
      </x:c>
      <x:c r="H51" s="21" t="n">
        <x:f>IF(A51&lt;'Inputs'!$B$32,ROUNDUP(ROUND('Inputs'!$B$29*'Inputs'!$B$30^A51,6),0),"")</x:f>
        <x:v>869</x:v>
      </x:c>
      <x:c r="I51" s="21" t="n">
        <x:f>IF(A51&lt;='Inputs'!$B$32,I50+H50,"")</x:f>
        <x:v>10631</x:v>
      </x:c>
      <x:c r="J51" s="29" t="n">
        <x:f>IF(A51&lt;='Inputs'!$B$32,1+'Inputs'!$B$31*A51,"")</x:f>
        <x:v>1.98</x:v>
      </x:c>
    </x:row>
    <x:row r="52" ht="25" customHeight="1">
      <x:c r="A52" s="19" t="n">
        <x:v>50</x:v>
      </x:c>
      <x:c r="B52" s="21" t="n">
        <x:f>IF(A52&lt;'Inputs'!$B$24,ROUNDUP(ROUND('Inputs'!$B$21*'Inputs'!$B$22^A52,6),0),"")</x:f>
        <x:v>1473</x:v>
      </x:c>
      <x:c r="C52" s="21" t="n">
        <x:f>IF(A52&lt;='Inputs'!$B$24,C51+B51,"")</x:f>
        <x:v>20351</x:v>
      </x:c>
      <x:c r="D52" s="29" t="n">
        <x:f>IF(A52&lt;='Inputs'!$B$24,'Inputs'!$B$23^A52,"")</x:f>
        <x:v>3.437108719703536</x:v>
      </x:c>
      <x:c r="E52" s="21" t="n">
        <x:f>IF(A52&lt;'Inputs'!$B$28,ROUNDUP(ROUND('Inputs'!$B$25*'Inputs'!$B$26^A52,6),0),"")</x:f>
        <x:v>72</x:v>
      </x:c>
      <x:c r="F52" s="21" t="n">
        <x:f>IF(A52&lt;='Inputs'!$B$28,F51+E51,"")</x:f>
        <x:v>1552</x:v>
      </x:c>
      <x:c r="G52" s="29" t="n">
        <x:f>IF(A52&lt;='Inputs'!$B$28,'Inputs'!$B$27^A52,"")</x:f>
        <x:v>7.106683346278317</x:v>
      </x:c>
      <x:c r="H52" s="21" t="str">
        <x:f>IF(A52&lt;'Inputs'!$B$32,ROUNDUP(ROUND('Inputs'!$B$29*'Inputs'!$B$30^A52,6),0),"")</x:f>
      </x:c>
      <x:c r="I52" s="21" t="n">
        <x:f>IF(A52&lt;='Inputs'!$B$32,I51+H51,"")</x:f>
        <x:v>11500</x:v>
      </x:c>
      <x:c r="J52" s="29" t="n">
        <x:f>IF(A52&lt;='Inputs'!$B$32,1+'Inputs'!$B$31*A52,"")</x:f>
        <x:v>2</x:v>
      </x:c>
    </x:row>
    <x:row r="53" ht="25" customHeight="1">
      <x:c r="A53" s="19" t="n">
        <x:v>51</x:v>
      </x:c>
      <x:c r="B53" s="21" t="n">
        <x:f>IF(A53&lt;'Inputs'!$B$24,ROUNDUP(ROUND('Inputs'!$B$21*'Inputs'!$B$22^A53,6),0),"")</x:f>
        <x:v>1576</x:v>
      </x:c>
      <x:c r="C53" s="21" t="n">
        <x:f>IF(A53&lt;='Inputs'!$B$24,C52+B52,"")</x:f>
        <x:v>21824</x:v>
      </x:c>
      <x:c r="D53" s="29" t="n">
        <x:f>IF(A53&lt;='Inputs'!$B$24,'Inputs'!$B$23^A53,"")</x:f>
        <x:v>3.5230364376961245</x:v>
      </x:c>
      <x:c r="E53" s="21" t="n">
        <x:f>IF(A53&lt;'Inputs'!$B$28,ROUNDUP(ROUND('Inputs'!$B$25*'Inputs'!$B$26^A53,6),0),"")</x:f>
        <x:v>74</x:v>
      </x:c>
      <x:c r="F53" s="21" t="n">
        <x:f>IF(A53&lt;='Inputs'!$B$28,F52+E52,"")</x:f>
        <x:v>1624</x:v>
      </x:c>
      <x:c r="G53" s="29" t="n">
        <x:f>IF(A53&lt;='Inputs'!$B$28,'Inputs'!$B$27^A53,"")</x:f>
        <x:v>7.390950680129451</x:v>
      </x:c>
      <x:c r="H53" s="21" t="str">
        <x:f>IF(A53&lt;'Inputs'!$B$32,ROUNDUP(ROUND('Inputs'!$B$29*'Inputs'!$B$30^A53,6),0),"")</x:f>
      </x:c>
      <x:c r="I53" s="21" t="str">
        <x:f>IF(A53&lt;='Inputs'!$B$32,I52+H52,"")</x:f>
      </x:c>
      <x:c r="J53" s="29" t="str">
        <x:f>IF(A53&lt;='Inputs'!$B$32,1+'Inputs'!$B$31*A53,"")</x:f>
      </x:c>
    </x:row>
    <x:row r="54" ht="25" customHeight="1">
      <x:c r="A54" s="19" t="n">
        <x:v>52</x:v>
      </x:c>
      <x:c r="B54" s="21" t="n">
        <x:f>IF(A54&lt;'Inputs'!$B$24,ROUNDUP(ROUND('Inputs'!$B$21*'Inputs'!$B$22^A54,6),0),"")</x:f>
        <x:v>1687</x:v>
      </x:c>
      <x:c r="C54" s="21" t="n">
        <x:f>IF(A54&lt;='Inputs'!$B$24,C53+B53,"")</x:f>
        <x:v>23400</x:v>
      </x:c>
      <x:c r="D54" s="29" t="n">
        <x:f>IF(A54&lt;='Inputs'!$B$24,'Inputs'!$B$23^A54,"")</x:f>
        <x:v>3.6111123486385273</x:v>
      </x:c>
      <x:c r="E54" s="21" t="n">
        <x:f>IF(A54&lt;'Inputs'!$B$28,ROUNDUP(ROUND('Inputs'!$B$25*'Inputs'!$B$26^A54,6),0),"")</x:f>
        <x:v>77</x:v>
      </x:c>
      <x:c r="F54" s="21" t="n">
        <x:f>IF(A54&lt;='Inputs'!$B$28,F53+E53,"")</x:f>
        <x:v>1698</x:v>
      </x:c>
      <x:c r="G54" s="29" t="n">
        <x:f>IF(A54&lt;='Inputs'!$B$28,'Inputs'!$B$27^A54,"")</x:f>
        <x:v>7.686588707334629</x:v>
      </x:c>
      <x:c r="H54" s="21" t="str">
        <x:f>IF(A54&lt;'Inputs'!$B$32,ROUNDUP(ROUND('Inputs'!$B$29*'Inputs'!$B$30^A54,6),0),"")</x:f>
      </x:c>
      <x:c r="I54" s="21" t="str">
        <x:f>IF(A54&lt;='Inputs'!$B$32,I53+H53,"")</x:f>
      </x:c>
      <x:c r="J54" s="29" t="str">
        <x:f>IF(A54&lt;='Inputs'!$B$32,1+'Inputs'!$B$31*A54,"")</x:f>
      </x:c>
    </x:row>
    <x:row r="55" ht="25" customHeight="1">
      <x:c r="A55" s="19" t="n">
        <x:v>53</x:v>
      </x:c>
      <x:c r="B55" s="21" t="n">
        <x:f>IF(A55&lt;'Inputs'!$B$24,ROUNDUP(ROUND('Inputs'!$B$21*'Inputs'!$B$22^A55,6),0),"")</x:f>
        <x:v>1805</x:v>
      </x:c>
      <x:c r="C55" s="21" t="n">
        <x:f>IF(A55&lt;='Inputs'!$B$24,C54+B54,"")</x:f>
        <x:v>25087</x:v>
      </x:c>
      <x:c r="D55" s="29" t="n">
        <x:f>IF(A55&lt;='Inputs'!$B$24,'Inputs'!$B$23^A55,"")</x:f>
        <x:v>3.7013901573544903</x:v>
      </x:c>
      <x:c r="E55" s="21" t="n">
        <x:f>IF(A55&lt;'Inputs'!$B$28,ROUNDUP(ROUND('Inputs'!$B$25*'Inputs'!$B$26^A55,6),0),"")</x:f>
        <x:v>80</x:v>
      </x:c>
      <x:c r="F55" s="21" t="n">
        <x:f>IF(A55&lt;='Inputs'!$B$28,F54+E54,"")</x:f>
        <x:v>1775</x:v>
      </x:c>
      <x:c r="G55" s="29" t="n">
        <x:f>IF(A55&lt;='Inputs'!$B$28,'Inputs'!$B$27^A55,"")</x:f>
        <x:v>7.994052255628014</x:v>
      </x:c>
      <x:c r="H55" s="21" t="str">
        <x:f>IF(A55&lt;'Inputs'!$B$32,ROUNDUP(ROUND('Inputs'!$B$29*'Inputs'!$B$30^A55,6),0),"")</x:f>
      </x:c>
      <x:c r="I55" s="21" t="str">
        <x:f>IF(A55&lt;='Inputs'!$B$32,I54+H54,"")</x:f>
      </x:c>
      <x:c r="J55" s="29" t="str">
        <x:f>IF(A55&lt;='Inputs'!$B$32,1+'Inputs'!$B$31*A55,"")</x:f>
      </x:c>
    </x:row>
    <x:row r="56" ht="25" customHeight="1">
      <x:c r="A56" s="19" t="n">
        <x:v>54</x:v>
      </x:c>
      <x:c r="B56" s="21" t="n">
        <x:f>IF(A56&lt;'Inputs'!$B$24,ROUNDUP(ROUND('Inputs'!$B$21*'Inputs'!$B$22^A56,6),0),"")</x:f>
        <x:v>1931</x:v>
      </x:c>
      <x:c r="C56" s="21" t="n">
        <x:f>IF(A56&lt;='Inputs'!$B$24,C55+B55,"")</x:f>
        <x:v>26892</x:v>
      </x:c>
      <x:c r="D56" s="29" t="n">
        <x:f>IF(A56&lt;='Inputs'!$B$24,'Inputs'!$B$23^A56,"")</x:f>
        <x:v>3.793924911288352</x:v>
      </x:c>
      <x:c r="E56" s="21" t="n">
        <x:f>IF(A56&lt;'Inputs'!$B$28,ROUNDUP(ROUND('Inputs'!$B$25*'Inputs'!$B$26^A56,6),0),"")</x:f>
        <x:v>84</x:v>
      </x:c>
      <x:c r="F56" s="21" t="n">
        <x:f>IF(A56&lt;='Inputs'!$B$28,F55+E55,"")</x:f>
        <x:v>1855</x:v>
      </x:c>
      <x:c r="G56" s="29" t="n">
        <x:f>IF(A56&lt;='Inputs'!$B$28,'Inputs'!$B$27^A56,"")</x:f>
        <x:v>8.313814345853135</x:v>
      </x:c>
      <x:c r="H56" s="21" t="str">
        <x:f>IF(A56&lt;'Inputs'!$B$32,ROUNDUP(ROUND('Inputs'!$B$29*'Inputs'!$B$30^A56,6),0),"")</x:f>
      </x:c>
      <x:c r="I56" s="21" t="str">
        <x:f>IF(A56&lt;='Inputs'!$B$32,I55+H55,"")</x:f>
      </x:c>
      <x:c r="J56" s="29" t="str">
        <x:f>IF(A56&lt;='Inputs'!$B$32,1+'Inputs'!$B$31*A56,"")</x:f>
      </x:c>
    </x:row>
    <x:row r="57" ht="25" customHeight="1">
      <x:c r="A57" s="19" t="n">
        <x:v>55</x:v>
      </x:c>
      <x:c r="B57" s="21" t="n">
        <x:f>IF(A57&lt;'Inputs'!$B$24,ROUNDUP(ROUND('Inputs'!$B$21*'Inputs'!$B$22^A57,6),0),"")</x:f>
        <x:v>2066</x:v>
      </x:c>
      <x:c r="C57" s="21" t="n">
        <x:f>IF(A57&lt;='Inputs'!$B$24,C56+B56,"")</x:f>
        <x:v>28823</x:v>
      </x:c>
      <x:c r="D57" s="29" t="n">
        <x:f>IF(A57&lt;='Inputs'!$B$24,'Inputs'!$B$23^A57,"")</x:f>
        <x:v>3.8887730340705606</x:v>
      </x:c>
      <x:c r="E57" s="21" t="n">
        <x:f>IF(A57&lt;'Inputs'!$B$28,ROUNDUP(ROUND('Inputs'!$B$25*'Inputs'!$B$26^A57,6),0),"")</x:f>
        <x:v>87</x:v>
      </x:c>
      <x:c r="F57" s="21" t="n">
        <x:f>IF(A57&lt;='Inputs'!$B$28,F56+E56,"")</x:f>
        <x:v>1939</x:v>
      </x:c>
      <x:c r="G57" s="29" t="n">
        <x:f>IF(A57&lt;='Inputs'!$B$28,'Inputs'!$B$27^A57,"")</x:f>
        <x:v>8.64636691968726</x:v>
      </x:c>
      <x:c r="H57" s="21" t="str">
        <x:f>IF(A57&lt;'Inputs'!$B$32,ROUNDUP(ROUND('Inputs'!$B$29*'Inputs'!$B$30^A57,6),0),"")</x:f>
      </x:c>
      <x:c r="I57" s="21" t="str">
        <x:f>IF(A57&lt;='Inputs'!$B$32,I56+H56,"")</x:f>
      </x:c>
      <x:c r="J57" s="29" t="str">
        <x:f>IF(A57&lt;='Inputs'!$B$32,1+'Inputs'!$B$31*A57,"")</x:f>
      </x:c>
    </x:row>
    <x:row r="58" ht="25" customHeight="1">
      <x:c r="A58" s="19" t="n">
        <x:v>56</x:v>
      </x:c>
      <x:c r="B58" s="21" t="n">
        <x:f>IF(A58&lt;'Inputs'!$B$24,ROUNDUP(ROUND('Inputs'!$B$21*'Inputs'!$B$22^A58,6),0),"")</x:f>
        <x:v>2211</x:v>
      </x:c>
      <x:c r="C58" s="21" t="n">
        <x:f>IF(A58&lt;='Inputs'!$B$24,C57+B57,"")</x:f>
        <x:v>30889</x:v>
      </x:c>
      <x:c r="D58" s="29" t="n">
        <x:f>IF(A58&lt;='Inputs'!$B$24,'Inputs'!$B$23^A58,"")</x:f>
        <x:v>3.9859923599223244</x:v>
      </x:c>
      <x:c r="E58" s="21" t="n">
        <x:f>IF(A58&lt;'Inputs'!$B$28,ROUNDUP(ROUND('Inputs'!$B$25*'Inputs'!$B$26^A58,6),0),"")</x:f>
        <x:v>90</x:v>
      </x:c>
      <x:c r="F58" s="21" t="n">
        <x:f>IF(A58&lt;='Inputs'!$B$28,F57+E57,"")</x:f>
        <x:v>2026</x:v>
      </x:c>
      <x:c r="G58" s="29" t="n">
        <x:f>IF(A58&lt;='Inputs'!$B$28,'Inputs'!$B$27^A58,"")</x:f>
        <x:v>8.992221596474751</x:v>
      </x:c>
      <x:c r="H58" s="21" t="str">
        <x:f>IF(A58&lt;'Inputs'!$B$32,ROUNDUP(ROUND('Inputs'!$B$29*'Inputs'!$B$30^A58,6),0),"")</x:f>
      </x:c>
      <x:c r="I58" s="21" t="str">
        <x:f>IF(A58&lt;='Inputs'!$B$32,I57+H57,"")</x:f>
      </x:c>
      <x:c r="J58" s="29" t="str">
        <x:f>IF(A58&lt;='Inputs'!$B$32,1+'Inputs'!$B$31*A58,"")</x:f>
      </x:c>
    </x:row>
    <x:row r="59" ht="25" customHeight="1">
      <x:c r="A59" s="19" t="n">
        <x:v>57</x:v>
      </x:c>
      <x:c r="B59" s="21" t="n">
        <x:f>IF(A59&lt;'Inputs'!$B$24,ROUNDUP(ROUND('Inputs'!$B$21*'Inputs'!$B$22^A59,6),0),"")</x:f>
        <x:v>2366</x:v>
      </x:c>
      <x:c r="C59" s="21" t="n">
        <x:f>IF(A59&lt;='Inputs'!$B$24,C58+B58,"")</x:f>
        <x:v>33100</x:v>
      </x:c>
      <x:c r="D59" s="29" t="n">
        <x:f>IF(A59&lt;='Inputs'!$B$24,'Inputs'!$B$23^A59,"")</x:f>
        <x:v>4.085642168920382</x:v>
      </x:c>
      <x:c r="E59" s="21" t="n">
        <x:f>IF(A59&lt;'Inputs'!$B$28,ROUNDUP(ROUND('Inputs'!$B$25*'Inputs'!$B$26^A59,6),0),"")</x:f>
        <x:v>94</x:v>
      </x:c>
      <x:c r="F59" s="21" t="n">
        <x:f>IF(A59&lt;='Inputs'!$B$28,F58+E58,"")</x:f>
        <x:v>2116</x:v>
      </x:c>
      <x:c r="G59" s="29" t="n">
        <x:f>IF(A59&lt;='Inputs'!$B$28,'Inputs'!$B$27^A59,"")</x:f>
        <x:v>9.351910460333741</x:v>
      </x:c>
      <x:c r="H59" s="21" t="str">
        <x:f>IF(A59&lt;'Inputs'!$B$32,ROUNDUP(ROUND('Inputs'!$B$29*'Inputs'!$B$30^A59,6),0),"")</x:f>
      </x:c>
      <x:c r="I59" s="21" t="str">
        <x:f>IF(A59&lt;='Inputs'!$B$32,I58+H58,"")</x:f>
      </x:c>
      <x:c r="J59" s="29" t="str">
        <x:f>IF(A59&lt;='Inputs'!$B$32,1+'Inputs'!$B$31*A59,"")</x:f>
      </x:c>
    </x:row>
    <x:row r="60" ht="25" customHeight="1">
      <x:c r="A60" s="19" t="n">
        <x:v>58</x:v>
      </x:c>
      <x:c r="B60" s="21" t="n">
        <x:f>IF(A60&lt;'Inputs'!$B$24,ROUNDUP(ROUND('Inputs'!$B$21*'Inputs'!$B$22^A60,6),0),"")</x:f>
        <x:v>2531</x:v>
      </x:c>
      <x:c r="C60" s="21" t="n">
        <x:f>IF(A60&lt;='Inputs'!$B$24,C59+B59,"")</x:f>
        <x:v>35466</x:v>
      </x:c>
      <x:c r="D60" s="29" t="n">
        <x:f>IF(A60&lt;='Inputs'!$B$24,'Inputs'!$B$23^A60,"")</x:f>
        <x:v>4.187783223143391</x:v>
      </x:c>
      <x:c r="E60" s="21" t="n">
        <x:f>IF(A60&lt;'Inputs'!$B$28,ROUNDUP(ROUND('Inputs'!$B$25*'Inputs'!$B$26^A60,6),0),"")</x:f>
        <x:v>98</x:v>
      </x:c>
      <x:c r="F60" s="21" t="n">
        <x:f>IF(A60&lt;='Inputs'!$B$28,F59+E59,"")</x:f>
        <x:v>2210</x:v>
      </x:c>
      <x:c r="G60" s="29" t="n">
        <x:f>IF(A60&lt;='Inputs'!$B$28,'Inputs'!$B$27^A60,"")</x:f>
        <x:v>9.725986878747092</x:v>
      </x:c>
      <x:c r="H60" s="21" t="str">
        <x:f>IF(A60&lt;'Inputs'!$B$32,ROUNDUP(ROUND('Inputs'!$B$29*'Inputs'!$B$30^A60,6),0),"")</x:f>
      </x:c>
      <x:c r="I60" s="21" t="str">
        <x:f>IF(A60&lt;='Inputs'!$B$32,I59+H59,"")</x:f>
      </x:c>
      <x:c r="J60" s="29" t="str">
        <x:f>IF(A60&lt;='Inputs'!$B$32,1+'Inputs'!$B$31*A60,"")</x:f>
      </x:c>
    </x:row>
    <x:row r="61" ht="25" customHeight="1">
      <x:c r="A61" s="19" t="n">
        <x:v>59</x:v>
      </x:c>
      <x:c r="B61" s="21" t="n">
        <x:f>IF(A61&lt;'Inputs'!$B$24,ROUNDUP(ROUND('Inputs'!$B$21*'Inputs'!$B$22^A61,6),0),"")</x:f>
        <x:v>2708</x:v>
      </x:c>
      <x:c r="C61" s="21" t="n">
        <x:f>IF(A61&lt;='Inputs'!$B$24,C60+B60,"")</x:f>
        <x:v>37997</x:v>
      </x:c>
      <x:c r="D61" s="29" t="n">
        <x:f>IF(A61&lt;='Inputs'!$B$24,'Inputs'!$B$23^A61,"")</x:f>
        <x:v>4.292477803721975</x:v>
      </x:c>
      <x:c r="E61" s="21" t="n">
        <x:f>IF(A61&lt;'Inputs'!$B$28,ROUNDUP(ROUND('Inputs'!$B$25*'Inputs'!$B$26^A61,6),0),"")</x:f>
        <x:v>102</x:v>
      </x:c>
      <x:c r="F61" s="21" t="n">
        <x:f>IF(A61&lt;='Inputs'!$B$28,F60+E60,"")</x:f>
        <x:v>2308</x:v>
      </x:c>
      <x:c r="G61" s="29" t="n">
        <x:f>IF(A61&lt;='Inputs'!$B$28,'Inputs'!$B$27^A61,"")</x:f>
        <x:v>10.115026353896976</x:v>
      </x:c>
      <x:c r="H61" s="21" t="str">
        <x:f>IF(A61&lt;'Inputs'!$B$32,ROUNDUP(ROUND('Inputs'!$B$29*'Inputs'!$B$30^A61,6),0),"")</x:f>
      </x:c>
      <x:c r="I61" s="21" t="str">
        <x:f>IF(A61&lt;='Inputs'!$B$32,I60+H60,"")</x:f>
      </x:c>
      <x:c r="J61" s="29" t="str">
        <x:f>IF(A61&lt;='Inputs'!$B$32,1+'Inputs'!$B$31*A61,"")</x:f>
      </x:c>
    </x:row>
    <x:row r="62" ht="25" customHeight="1">
      <x:c r="A62" s="19" t="n">
        <x:v>60</x:v>
      </x:c>
      <x:c r="B62" s="21" t="n">
        <x:f>IF(A62&lt;'Inputs'!$B$24,ROUNDUP(ROUND('Inputs'!$B$21*'Inputs'!$B$22^A62,6),0),"")</x:f>
        <x:v>2898</x:v>
      </x:c>
      <x:c r="C62" s="21" t="n">
        <x:f>IF(A62&lt;='Inputs'!$B$24,C61+B61,"")</x:f>
        <x:v>40705</x:v>
      </x:c>
      <x:c r="D62" s="29" t="n">
        <x:f>IF(A62&lt;='Inputs'!$B$24,'Inputs'!$B$23^A62,"")</x:f>
        <x:v>4.399789748815024</x:v>
      </x:c>
      <x:c r="E62" s="21" t="n">
        <x:f>IF(A62&lt;'Inputs'!$B$28,ROUNDUP(ROUND('Inputs'!$B$25*'Inputs'!$B$26^A62,6),0),"")</x:f>
        <x:v>106</x:v>
      </x:c>
      <x:c r="F62" s="21" t="n">
        <x:f>IF(A62&lt;='Inputs'!$B$28,F61+E61,"")</x:f>
        <x:v>2410</x:v>
      </x:c>
      <x:c r="G62" s="29" t="n">
        <x:f>IF(A62&lt;='Inputs'!$B$28,'Inputs'!$B$27^A62,"")</x:f>
        <x:v>10.519627408052855</x:v>
      </x:c>
      <x:c r="H62" s="21" t="str">
        <x:f>IF(A62&lt;'Inputs'!$B$32,ROUNDUP(ROUND('Inputs'!$B$29*'Inputs'!$B$30^A62,6),0),"")</x:f>
      </x:c>
      <x:c r="I62" s="21" t="str">
        <x:f>IF(A62&lt;='Inputs'!$B$32,I61+H61,"")</x:f>
      </x:c>
      <x:c r="J62" s="29" t="str">
        <x:f>IF(A62&lt;='Inputs'!$B$32,1+'Inputs'!$B$31*A62,"")</x:f>
      </x:c>
    </x:row>
    <x:row r="63" ht="25" customHeight="1">
      <x:c r="A63" s="19" t="n">
        <x:v>61</x:v>
      </x:c>
      <x:c r="B63" s="21" t="n">
        <x:f>IF(A63&lt;'Inputs'!$B$24,ROUNDUP(ROUND('Inputs'!$B$21*'Inputs'!$B$22^A63,6),0),"")</x:f>
        <x:v>3101</x:v>
      </x:c>
      <x:c r="C63" s="21" t="n">
        <x:f>IF(A63&lt;='Inputs'!$B$24,C62+B62,"")</x:f>
        <x:v>43603</x:v>
      </x:c>
      <x:c r="D63" s="29" t="n">
        <x:f>IF(A63&lt;='Inputs'!$B$24,'Inputs'!$B$23^A63,"")</x:f>
        <x:v>4.5097844925354</x:v>
      </x:c>
      <x:c r="E63" s="21" t="n">
        <x:f>IF(A63&lt;'Inputs'!$B$28,ROUNDUP(ROUND('Inputs'!$B$25*'Inputs'!$B$26^A63,6),0),"")</x:f>
        <x:v>110</x:v>
      </x:c>
      <x:c r="F63" s="21" t="n">
        <x:f>IF(A63&lt;='Inputs'!$B$28,F62+E62,"")</x:f>
        <x:v>2516</x:v>
      </x:c>
      <x:c r="G63" s="29" t="n">
        <x:f>IF(A63&lt;='Inputs'!$B$28,'Inputs'!$B$27^A63,"")</x:f>
        <x:v>10.94041250437497</x:v>
      </x:c>
      <x:c r="H63" s="21" t="str">
        <x:f>IF(A63&lt;'Inputs'!$B$32,ROUNDUP(ROUND('Inputs'!$B$29*'Inputs'!$B$30^A63,6),0),"")</x:f>
      </x:c>
      <x:c r="I63" s="21" t="str">
        <x:f>IF(A63&lt;='Inputs'!$B$32,I62+H62,"")</x:f>
      </x:c>
      <x:c r="J63" s="29" t="str">
        <x:f>IF(A63&lt;='Inputs'!$B$32,1+'Inputs'!$B$31*A63,"")</x:f>
      </x:c>
    </x:row>
    <x:row r="64" ht="25" customHeight="1">
      <x:c r="A64" s="19" t="n">
        <x:v>62</x:v>
      </x:c>
      <x:c r="B64" s="21" t="n">
        <x:f>IF(A64&lt;'Inputs'!$B$24,ROUNDUP(ROUND('Inputs'!$B$21*'Inputs'!$B$22^A64,6),0),"")</x:f>
        <x:v>3318</x:v>
      </x:c>
      <x:c r="C64" s="21" t="n">
        <x:f>IF(A64&lt;='Inputs'!$B$24,C63+B63,"")</x:f>
        <x:v>46704</x:v>
      </x:c>
      <x:c r="D64" s="29" t="n">
        <x:f>IF(A64&lt;='Inputs'!$B$24,'Inputs'!$B$23^A64,"")</x:f>
        <x:v>4.622529104848784</x:v>
      </x:c>
      <x:c r="E64" s="21" t="n">
        <x:f>IF(A64&lt;'Inputs'!$B$28,ROUNDUP(ROUND('Inputs'!$B$25*'Inputs'!$B$26^A64,6),0),"")</x:f>
        <x:v>114</x:v>
      </x:c>
      <x:c r="F64" s="21" t="n">
        <x:f>IF(A64&lt;='Inputs'!$B$28,F63+E63,"")</x:f>
        <x:v>2626</x:v>
      </x:c>
      <x:c r="G64" s="29" t="n">
        <x:f>IF(A64&lt;='Inputs'!$B$28,'Inputs'!$B$27^A64,"")</x:f>
        <x:v>11.378029004549969</x:v>
      </x:c>
      <x:c r="H64" s="21" t="str">
        <x:f>IF(A64&lt;'Inputs'!$B$32,ROUNDUP(ROUND('Inputs'!$B$29*'Inputs'!$B$30^A64,6),0),"")</x:f>
      </x:c>
      <x:c r="I64" s="21" t="str">
        <x:f>IF(A64&lt;='Inputs'!$B$32,I63+H63,"")</x:f>
      </x:c>
      <x:c r="J64" s="29" t="str">
        <x:f>IF(A64&lt;='Inputs'!$B$32,1+'Inputs'!$B$31*A64,"")</x:f>
      </x:c>
    </x:row>
    <x:row r="65" ht="25" customHeight="1">
      <x:c r="A65" s="19" t="n">
        <x:v>63</x:v>
      </x:c>
      <x:c r="B65" s="21" t="n">
        <x:f>IF(A65&lt;'Inputs'!$B$24,ROUNDUP(ROUND('Inputs'!$B$21*'Inputs'!$B$22^A65,6),0),"")</x:f>
        <x:v>3550</x:v>
      </x:c>
      <x:c r="C65" s="21" t="n">
        <x:f>IF(A65&lt;='Inputs'!$B$24,C64+B64,"")</x:f>
        <x:v>50022</x:v>
      </x:c>
      <x:c r="D65" s="29" t="n">
        <x:f>IF(A65&lt;='Inputs'!$B$24,'Inputs'!$B$23^A65,"")</x:f>
        <x:v>4.7380923324700035</x:v>
      </x:c>
      <x:c r="E65" s="21" t="n">
        <x:f>IF(A65&lt;'Inputs'!$B$28,ROUNDUP(ROUND('Inputs'!$B$25*'Inputs'!$B$26^A65,6),0),"")</x:f>
        <x:v>119</x:v>
      </x:c>
      <x:c r="F65" s="21" t="n">
        <x:f>IF(A65&lt;='Inputs'!$B$28,F64+E64,"")</x:f>
        <x:v>2740</x:v>
      </x:c>
      <x:c r="G65" s="29" t="n">
        <x:f>IF(A65&lt;='Inputs'!$B$28,'Inputs'!$B$27^A65,"")</x:f>
        <x:v>11.833150164731968</x:v>
      </x:c>
      <x:c r="H65" s="21" t="str">
        <x:f>IF(A65&lt;'Inputs'!$B$32,ROUNDUP(ROUND('Inputs'!$B$29*'Inputs'!$B$30^A65,6),0),"")</x:f>
      </x:c>
      <x:c r="I65" s="21" t="str">
        <x:f>IF(A65&lt;='Inputs'!$B$32,I64+H64,"")</x:f>
      </x:c>
      <x:c r="J65" s="29" t="str">
        <x:f>IF(A65&lt;='Inputs'!$B$32,1+'Inputs'!$B$31*A65,"")</x:f>
      </x:c>
    </x:row>
    <x:row r="66" ht="25" customHeight="1">
      <x:c r="A66" s="19" t="n">
        <x:v>64</x:v>
      </x:c>
      <x:c r="B66" s="21" t="n">
        <x:f>IF(A66&lt;'Inputs'!$B$24,ROUNDUP(ROUND('Inputs'!$B$21*'Inputs'!$B$22^A66,6),0),"")</x:f>
        <x:v>3798</x:v>
      </x:c>
      <x:c r="C66" s="21" t="n">
        <x:f>IF(A66&lt;='Inputs'!$B$24,C65+B65,"")</x:f>
        <x:v>53572</x:v>
      </x:c>
      <x:c r="D66" s="29" t="n">
        <x:f>IF(A66&lt;='Inputs'!$B$24,'Inputs'!$B$23^A66,"")</x:f>
        <x:v>4.856544640781753</x:v>
      </x:c>
      <x:c r="E66" s="21" t="n">
        <x:f>IF(A66&lt;'Inputs'!$B$28,ROUNDUP(ROUND('Inputs'!$B$25*'Inputs'!$B$26^A66,6),0),"")</x:f>
        <x:v>124</x:v>
      </x:c>
      <x:c r="F66" s="21" t="n">
        <x:f>IF(A66&lt;='Inputs'!$B$28,F65+E65,"")</x:f>
        <x:v>2859</x:v>
      </x:c>
      <x:c r="G66" s="29" t="n">
        <x:f>IF(A66&lt;='Inputs'!$B$28,'Inputs'!$B$27^A66,"")</x:f>
        <x:v>12.306476171321247</x:v>
      </x:c>
      <x:c r="H66" s="21" t="str">
        <x:f>IF(A66&lt;'Inputs'!$B$32,ROUNDUP(ROUND('Inputs'!$B$29*'Inputs'!$B$30^A66,6),0),"")</x:f>
      </x:c>
      <x:c r="I66" s="21" t="str">
        <x:f>IF(A66&lt;='Inputs'!$B$32,I65+H65,"")</x:f>
      </x:c>
      <x:c r="J66" s="29" t="str">
        <x:f>IF(A66&lt;='Inputs'!$B$32,1+'Inputs'!$B$31*A66,"")</x:f>
      </x:c>
    </x:row>
    <x:row r="67" ht="25" customHeight="1">
      <x:c r="A67" s="19" t="n">
        <x:v>65</x:v>
      </x:c>
      <x:c r="B67" s="21" t="n">
        <x:f>IF(A67&lt;'Inputs'!$B$24,ROUNDUP(ROUND('Inputs'!$B$21*'Inputs'!$B$22^A67,6),0),"")</x:f>
        <x:v>4064</x:v>
      </x:c>
      <x:c r="C67" s="21" t="n">
        <x:f>IF(A67&lt;='Inputs'!$B$24,C66+B66,"")</x:f>
        <x:v>57370</x:v>
      </x:c>
      <x:c r="D67" s="29" t="n">
        <x:f>IF(A67&lt;='Inputs'!$B$24,'Inputs'!$B$23^A67,"")</x:f>
        <x:v>4.977958256801297</x:v>
      </x:c>
      <x:c r="E67" s="21" t="n">
        <x:f>IF(A67&lt;'Inputs'!$B$28,ROUNDUP(ROUND('Inputs'!$B$25*'Inputs'!$B$26^A67,6),0),"")</x:f>
        <x:v>128</x:v>
      </x:c>
      <x:c r="F67" s="21" t="n">
        <x:f>IF(A67&lt;='Inputs'!$B$28,F66+E66,"")</x:f>
        <x:v>2983</x:v>
      </x:c>
      <x:c r="G67" s="29" t="n">
        <x:f>IF(A67&lt;='Inputs'!$B$28,'Inputs'!$B$27^A67,"")</x:f>
        <x:v>12.798735218174098</x:v>
      </x:c>
      <x:c r="H67" s="21" t="str">
        <x:f>IF(A67&lt;'Inputs'!$B$32,ROUNDUP(ROUND('Inputs'!$B$29*'Inputs'!$B$30^A67,6),0),"")</x:f>
      </x:c>
      <x:c r="I67" s="21" t="str">
        <x:f>IF(A67&lt;='Inputs'!$B$32,I66+H66,"")</x:f>
      </x:c>
      <x:c r="J67" s="29" t="str">
        <x:f>IF(A67&lt;='Inputs'!$B$32,1+'Inputs'!$B$31*A67,"")</x:f>
      </x:c>
    </x:row>
    <x:row r="68" ht="25" customHeight="1">
      <x:c r="A68" s="19" t="n">
        <x:v>66</x:v>
      </x:c>
      <x:c r="B68" s="21" t="n">
        <x:f>IF(A68&lt;'Inputs'!$B$24,ROUNDUP(ROUND('Inputs'!$B$21*'Inputs'!$B$22^A68,6),0),"")</x:f>
        <x:v>4349</x:v>
      </x:c>
      <x:c r="C68" s="21" t="n">
        <x:f>IF(A68&lt;='Inputs'!$B$24,C67+B67,"")</x:f>
        <x:v>61434</x:v>
      </x:c>
      <x:c r="D68" s="29" t="n">
        <x:f>IF(A68&lt;='Inputs'!$B$24,'Inputs'!$B$23^A68,"")</x:f>
        <x:v>5.102407213221329</x:v>
      </x:c>
      <x:c r="E68" s="21" t="n">
        <x:f>IF(A68&lt;'Inputs'!$B$28,ROUNDUP(ROUND('Inputs'!$B$25*'Inputs'!$B$26^A68,6),0),"")</x:f>
        <x:v>134</x:v>
      </x:c>
      <x:c r="F68" s="21" t="n">
        <x:f>IF(A68&lt;='Inputs'!$B$28,F67+E67,"")</x:f>
        <x:v>3111</x:v>
      </x:c>
      <x:c r="G68" s="29" t="n">
        <x:f>IF(A68&lt;='Inputs'!$B$28,'Inputs'!$B$27^A68,"")</x:f>
        <x:v>13.310684626901063</x:v>
      </x:c>
      <x:c r="H68" s="21" t="str">
        <x:f>IF(A68&lt;'Inputs'!$B$32,ROUNDUP(ROUND('Inputs'!$B$29*'Inputs'!$B$30^A68,6),0),"")</x:f>
      </x:c>
      <x:c r="I68" s="21" t="str">
        <x:f>IF(A68&lt;='Inputs'!$B$32,I67+H67,"")</x:f>
      </x:c>
      <x:c r="J68" s="29" t="str">
        <x:f>IF(A68&lt;='Inputs'!$B$32,1+'Inputs'!$B$31*A68,"")</x:f>
      </x:c>
    </x:row>
    <x:row r="69" ht="25" customHeight="1">
      <x:c r="A69" s="19" t="n">
        <x:v>67</x:v>
      </x:c>
      <x:c r="B69" s="21" t="n">
        <x:f>IF(A69&lt;'Inputs'!$B$24,ROUNDUP(ROUND('Inputs'!$B$21*'Inputs'!$B$22^A69,6),0),"")</x:f>
        <x:v>4653</x:v>
      </x:c>
      <x:c r="C69" s="21" t="n">
        <x:f>IF(A69&lt;='Inputs'!$B$24,C68+B68,"")</x:f>
        <x:v>65783</x:v>
      </x:c>
      <x:c r="D69" s="29" t="n">
        <x:f>IF(A69&lt;='Inputs'!$B$24,'Inputs'!$B$23^A69,"")</x:f>
        <x:v>5.229967393551862</x:v>
      </x:c>
      <x:c r="E69" s="21" t="n">
        <x:f>IF(A69&lt;'Inputs'!$B$28,ROUNDUP(ROUND('Inputs'!$B$25*'Inputs'!$B$26^A69,6),0),"")</x:f>
        <x:v>139</x:v>
      </x:c>
      <x:c r="F69" s="21" t="n">
        <x:f>IF(A69&lt;='Inputs'!$B$28,F68+E68,"")</x:f>
        <x:v>3245</x:v>
      </x:c>
      <x:c r="G69" s="29" t="n">
        <x:f>IF(A69&lt;='Inputs'!$B$28,'Inputs'!$B$27^A69,"")</x:f>
        <x:v>13.843112011977105</x:v>
      </x:c>
      <x:c r="H69" s="21" t="str">
        <x:f>IF(A69&lt;'Inputs'!$B$32,ROUNDUP(ROUND('Inputs'!$B$29*'Inputs'!$B$30^A69,6),0),"")</x:f>
      </x:c>
      <x:c r="I69" s="21" t="str">
        <x:f>IF(A69&lt;='Inputs'!$B$32,I68+H68,"")</x:f>
      </x:c>
      <x:c r="J69" s="29" t="str">
        <x:f>IF(A69&lt;='Inputs'!$B$32,1+'Inputs'!$B$31*A69,"")</x:f>
      </x:c>
    </x:row>
    <x:row r="70" ht="25" customHeight="1">
      <x:c r="A70" s="19" t="n">
        <x:v>68</x:v>
      </x:c>
      <x:c r="B70" s="21" t="n">
        <x:f>IF(A70&lt;'Inputs'!$B$24,ROUNDUP(ROUND('Inputs'!$B$21*'Inputs'!$B$22^A70,6),0),"")</x:f>
        <x:v>4979</x:v>
      </x:c>
      <x:c r="C70" s="21" t="n">
        <x:f>IF(A70&lt;='Inputs'!$B$24,C69+B69,"")</x:f>
        <x:v>70436</x:v>
      </x:c>
      <x:c r="D70" s="29" t="n">
        <x:f>IF(A70&lt;='Inputs'!$B$24,'Inputs'!$B$23^A70,"")</x:f>
        <x:v>5.360716578390657</x:v>
      </x:c>
      <x:c r="E70" s="21" t="n">
        <x:f>IF(A70&lt;'Inputs'!$B$28,ROUNDUP(ROUND('Inputs'!$B$25*'Inputs'!$B$26^A70,6),0),"")</x:f>
        <x:v>144</x:v>
      </x:c>
      <x:c r="F70" s="21" t="n">
        <x:f>IF(A70&lt;='Inputs'!$B$28,F69+E69,"")</x:f>
        <x:v>3384</x:v>
      </x:c>
      <x:c r="G70" s="29" t="n">
        <x:f>IF(A70&lt;='Inputs'!$B$28,'Inputs'!$B$27^A70,"")</x:f>
        <x:v>14.39683649245619</x:v>
      </x:c>
      <x:c r="H70" s="21" t="str">
        <x:f>IF(A70&lt;'Inputs'!$B$32,ROUNDUP(ROUND('Inputs'!$B$29*'Inputs'!$B$30^A70,6),0),"")</x:f>
      </x:c>
      <x:c r="I70" s="21" t="str">
        <x:f>IF(A70&lt;='Inputs'!$B$32,I69+H69,"")</x:f>
      </x:c>
      <x:c r="J70" s="29" t="str">
        <x:f>IF(A70&lt;='Inputs'!$B$32,1+'Inputs'!$B$31*A70,"")</x:f>
      </x:c>
    </x:row>
    <x:row r="71" ht="25" customHeight="1">
      <x:c r="A71" s="19" t="n">
        <x:v>69</x:v>
      </x:c>
      <x:c r="B71" s="21" t="n">
        <x:f>IF(A71&lt;'Inputs'!$B$24,ROUNDUP(ROUND('Inputs'!$B$21*'Inputs'!$B$22^A71,6),0),"")</x:f>
        <x:v>5327</x:v>
      </x:c>
      <x:c r="C71" s="21" t="n">
        <x:f>IF(A71&lt;='Inputs'!$B$24,C70+B70,"")</x:f>
        <x:v>75415</x:v>
      </x:c>
      <x:c r="D71" s="29" t="n">
        <x:f>IF(A71&lt;='Inputs'!$B$24,'Inputs'!$B$23^A71,"")</x:f>
        <x:v>5.494734492850423</x:v>
      </x:c>
      <x:c r="E71" s="21" t="n">
        <x:f>IF(A71&lt;'Inputs'!$B$28,ROUNDUP(ROUND('Inputs'!$B$25*'Inputs'!$B$26^A71,6),0),"")</x:f>
        <x:v>150</x:v>
      </x:c>
      <x:c r="F71" s="21" t="n">
        <x:f>IF(A71&lt;='Inputs'!$B$28,F70+E70,"")</x:f>
        <x:v>3528</x:v>
      </x:c>
      <x:c r="G71" s="29" t="n">
        <x:f>IF(A71&lt;='Inputs'!$B$28,'Inputs'!$B$27^A71,"")</x:f>
        <x:v>14.972709952154437</x:v>
      </x:c>
      <x:c r="H71" s="21" t="str">
        <x:f>IF(A71&lt;'Inputs'!$B$32,ROUNDUP(ROUND('Inputs'!$B$29*'Inputs'!$B$30^A71,6),0),"")</x:f>
      </x:c>
      <x:c r="I71" s="21" t="str">
        <x:f>IF(A71&lt;='Inputs'!$B$32,I70+H70,"")</x:f>
      </x:c>
      <x:c r="J71" s="29" t="str">
        <x:f>IF(A71&lt;='Inputs'!$B$32,1+'Inputs'!$B$31*A71,"")</x:f>
      </x:c>
    </x:row>
    <x:row r="72" ht="25" customHeight="1">
      <x:c r="A72" s="19" t="n">
        <x:v>70</x:v>
      </x:c>
      <x:c r="B72" s="21" t="n">
        <x:f>IF(A72&lt;'Inputs'!$B$24,ROUNDUP(ROUND('Inputs'!$B$21*'Inputs'!$B$22^A72,6),0),"")</x:f>
        <x:v>5700</x:v>
      </x:c>
      <x:c r="C72" s="21" t="n">
        <x:f>IF(A72&lt;='Inputs'!$B$24,C71+B71,"")</x:f>
        <x:v>80742</x:v>
      </x:c>
      <x:c r="D72" s="29" t="n">
        <x:f>IF(A72&lt;='Inputs'!$B$24,'Inputs'!$B$23^A72,"")</x:f>
        <x:v>5.632102855171683</x:v>
      </x:c>
      <x:c r="E72" s="21" t="n">
        <x:f>IF(A72&lt;'Inputs'!$B$28,ROUNDUP(ROUND('Inputs'!$B$25*'Inputs'!$B$26^A72,6),0),"")</x:f>
        <x:v>156</x:v>
      </x:c>
      <x:c r="F72" s="21" t="n">
        <x:f>IF(A72&lt;='Inputs'!$B$28,F71+E71,"")</x:f>
        <x:v>3678</x:v>
      </x:c>
      <x:c r="G72" s="29" t="n">
        <x:f>IF(A72&lt;='Inputs'!$B$28,'Inputs'!$B$27^A72,"")</x:f>
        <x:v>15.571618350240616</x:v>
      </x:c>
      <x:c r="H72" s="21" t="str">
        <x:f>IF(A72&lt;'Inputs'!$B$32,ROUNDUP(ROUND('Inputs'!$B$29*'Inputs'!$B$30^A72,6),0),"")</x:f>
      </x:c>
      <x:c r="I72" s="21" t="str">
        <x:f>IF(A72&lt;='Inputs'!$B$32,I71+H71,"")</x:f>
      </x:c>
      <x:c r="J72" s="29" t="str">
        <x:f>IF(A72&lt;='Inputs'!$B$32,1+'Inputs'!$B$31*A72,"")</x:f>
      </x:c>
    </x:row>
    <x:row r="73" ht="25" customHeight="1">
      <x:c r="A73" s="19" t="n">
        <x:v>71</x:v>
      </x:c>
      <x:c r="B73" s="21" t="n">
        <x:f>IF(A73&lt;'Inputs'!$B$24,ROUNDUP(ROUND('Inputs'!$B$21*'Inputs'!$B$22^A73,6),0),"")</x:f>
        <x:v>6099</x:v>
      </x:c>
      <x:c r="C73" s="21" t="n">
        <x:f>IF(A73&lt;='Inputs'!$B$24,C72+B72,"")</x:f>
        <x:v>86442</x:v>
      </x:c>
      <x:c r="D73" s="29" t="n">
        <x:f>IF(A73&lt;='Inputs'!$B$24,'Inputs'!$B$23^A73,"")</x:f>
        <x:v>5.772905426550975</x:v>
      </x:c>
      <x:c r="E73" s="21" t="n">
        <x:f>IF(A73&lt;'Inputs'!$B$28,ROUNDUP(ROUND('Inputs'!$B$25*'Inputs'!$B$26^A73,6),0),"")</x:f>
        <x:v>162</x:v>
      </x:c>
      <x:c r="F73" s="21" t="n">
        <x:f>IF(A73&lt;='Inputs'!$B$28,F72+E72,"")</x:f>
        <x:v>3834</x:v>
      </x:c>
      <x:c r="G73" s="29" t="n">
        <x:f>IF(A73&lt;='Inputs'!$B$28,'Inputs'!$B$27^A73,"")</x:f>
        <x:v>16.19448308425024</x:v>
      </x:c>
      <x:c r="H73" s="21" t="str">
        <x:f>IF(A73&lt;'Inputs'!$B$32,ROUNDUP(ROUND('Inputs'!$B$29*'Inputs'!$B$30^A73,6),0),"")</x:f>
      </x:c>
      <x:c r="I73" s="21" t="str">
        <x:f>IF(A73&lt;='Inputs'!$B$32,I72+H72,"")</x:f>
      </x:c>
      <x:c r="J73" s="29" t="str">
        <x:f>IF(A73&lt;='Inputs'!$B$32,1+'Inputs'!$B$31*A73,"")</x:f>
      </x:c>
    </x:row>
    <x:row r="74" ht="25" customHeight="1">
      <x:c r="A74" s="19" t="n">
        <x:v>72</x:v>
      </x:c>
      <x:c r="B74" s="21" t="n">
        <x:f>IF(A74&lt;'Inputs'!$B$24,ROUNDUP(ROUND('Inputs'!$B$21*'Inputs'!$B$22^A74,6),0),"")</x:f>
        <x:v>6526</x:v>
      </x:c>
      <x:c r="C74" s="21" t="n">
        <x:f>IF(A74&lt;='Inputs'!$B$24,C73+B73,"")</x:f>
        <x:v>92541</x:v>
      </x:c>
      <x:c r="D74" s="29" t="n">
        <x:f>IF(A74&lt;='Inputs'!$B$24,'Inputs'!$B$23^A74,"")</x:f>
        <x:v>5.917228062214749</x:v>
      </x:c>
      <x:c r="E74" s="21" t="n">
        <x:f>IF(A74&lt;'Inputs'!$B$28,ROUNDUP(ROUND('Inputs'!$B$25*'Inputs'!$B$26^A74,6),0),"")</x:f>
        <x:v>169</x:v>
      </x:c>
      <x:c r="F74" s="21" t="n">
        <x:f>IF(A74&lt;='Inputs'!$B$28,F73+E73,"")</x:f>
        <x:v>3996</x:v>
      </x:c>
      <x:c r="G74" s="29" t="n">
        <x:f>IF(A74&lt;='Inputs'!$B$28,'Inputs'!$B$27^A74,"")</x:f>
        <x:v>16.84226240762025</x:v>
      </x:c>
      <x:c r="H74" s="21" t="str">
        <x:f>IF(A74&lt;'Inputs'!$B$32,ROUNDUP(ROUND('Inputs'!$B$29*'Inputs'!$B$30^A74,6),0),"")</x:f>
      </x:c>
      <x:c r="I74" s="21" t="str">
        <x:f>IF(A74&lt;='Inputs'!$B$32,I73+H73,"")</x:f>
      </x:c>
      <x:c r="J74" s="29" t="str">
        <x:f>IF(A74&lt;='Inputs'!$B$32,1+'Inputs'!$B$31*A74,"")</x:f>
      </x:c>
    </x:row>
    <x:row r="75" ht="25" customHeight="1">
      <x:c r="A75" s="19" t="n">
        <x:v>73</x:v>
      </x:c>
      <x:c r="B75" s="21" t="n">
        <x:f>IF(A75&lt;'Inputs'!$B$24,ROUNDUP(ROUND('Inputs'!$B$21*'Inputs'!$B$22^A75,6),0),"")</x:f>
        <x:v>6983</x:v>
      </x:c>
      <x:c r="C75" s="21" t="n">
        <x:f>IF(A75&lt;='Inputs'!$B$24,C74+B74,"")</x:f>
        <x:v>99067</x:v>
      </x:c>
      <x:c r="D75" s="29" t="n">
        <x:f>IF(A75&lt;='Inputs'!$B$24,'Inputs'!$B$23^A75,"")</x:f>
        <x:v>6.065158763770117</x:v>
      </x:c>
      <x:c r="E75" s="21" t="n">
        <x:f>IF(A75&lt;'Inputs'!$B$28,ROUNDUP(ROUND('Inputs'!$B$25*'Inputs'!$B$26^A75,6),0),"")</x:f>
        <x:v>176</x:v>
      </x:c>
      <x:c r="F75" s="21" t="n">
        <x:f>IF(A75&lt;='Inputs'!$B$28,F74+E74,"")</x:f>
        <x:v>4165</x:v>
      </x:c>
      <x:c r="G75" s="29" t="n">
        <x:f>IF(A75&lt;='Inputs'!$B$28,'Inputs'!$B$27^A75,"")</x:f>
        <x:v>17.51595290392506</x:v>
      </x:c>
      <x:c r="H75" s="21" t="str">
        <x:f>IF(A75&lt;'Inputs'!$B$32,ROUNDUP(ROUND('Inputs'!$B$29*'Inputs'!$B$30^A75,6),0),"")</x:f>
      </x:c>
      <x:c r="I75" s="21" t="str">
        <x:f>IF(A75&lt;='Inputs'!$B$32,I74+H74,"")</x:f>
      </x:c>
      <x:c r="J75" s="29" t="str">
        <x:f>IF(A75&lt;='Inputs'!$B$32,1+'Inputs'!$B$31*A75,"")</x:f>
      </x:c>
    </x:row>
    <x:row r="76" ht="25" customHeight="1">
      <x:c r="A76" s="19" t="n">
        <x:v>74</x:v>
      </x:c>
      <x:c r="B76" s="21" t="n">
        <x:f>IF(A76&lt;'Inputs'!$B$24,ROUNDUP(ROUND('Inputs'!$B$21*'Inputs'!$B$22^A76,6),0),"")</x:f>
        <x:v>7471</x:v>
      </x:c>
      <x:c r="C76" s="21" t="n">
        <x:f>IF(A76&lt;='Inputs'!$B$24,C75+B75,"")</x:f>
        <x:v>106050</x:v>
      </x:c>
      <x:c r="D76" s="29" t="n">
        <x:f>IF(A76&lt;='Inputs'!$B$24,'Inputs'!$B$23^A76,"")</x:f>
        <x:v>6.216787732864369</x:v>
      </x:c>
      <x:c r="E76" s="21" t="n">
        <x:f>IF(A76&lt;'Inputs'!$B$28,ROUNDUP(ROUND('Inputs'!$B$25*'Inputs'!$B$26^A76,6),0),"")</x:f>
        <x:v>183</x:v>
      </x:c>
      <x:c r="F76" s="21" t="n">
        <x:f>IF(A76&lt;='Inputs'!$B$28,F75+E75,"")</x:f>
        <x:v>4341</x:v>
      </x:c>
      <x:c r="G76" s="29" t="n">
        <x:f>IF(A76&lt;='Inputs'!$B$28,'Inputs'!$B$27^A76,"")</x:f>
        <x:v>18.216591020082063</x:v>
      </x:c>
      <x:c r="H76" s="21" t="str">
        <x:f>IF(A76&lt;'Inputs'!$B$32,ROUNDUP(ROUND('Inputs'!$B$29*'Inputs'!$B$30^A76,6),0),"")</x:f>
      </x:c>
      <x:c r="I76" s="21" t="str">
        <x:f>IF(A76&lt;='Inputs'!$B$32,I75+H75,"")</x:f>
      </x:c>
      <x:c r="J76" s="29" t="str">
        <x:f>IF(A76&lt;='Inputs'!$B$32,1+'Inputs'!$B$31*A76,"")</x:f>
      </x:c>
    </x:row>
    <x:row r="77" ht="25" customHeight="1">
      <x:c r="A77" s="19" t="n">
        <x:v>75</x:v>
      </x:c>
      <x:c r="B77" s="21" t="n">
        <x:f>IF(A77&lt;'Inputs'!$B$24,ROUNDUP(ROUND('Inputs'!$B$21*'Inputs'!$B$22^A77,6),0),"")</x:f>
        <x:v>7994</x:v>
      </x:c>
      <x:c r="C77" s="21" t="n">
        <x:f>IF(A77&lt;='Inputs'!$B$24,C76+B76,"")</x:f>
        <x:v>113521</x:v>
      </x:c>
      <x:c r="D77" s="29" t="n">
        <x:f>IF(A77&lt;='Inputs'!$B$24,'Inputs'!$B$23^A77,"")</x:f>
        <x:v>6.3722074261859785</x:v>
      </x:c>
      <x:c r="E77" s="21" t="n">
        <x:f>IF(A77&lt;'Inputs'!$B$28,ROUNDUP(ROUND('Inputs'!$B$25*'Inputs'!$B$26^A77,6),0),"")</x:f>
        <x:v>190</x:v>
      </x:c>
      <x:c r="F77" s="21" t="n">
        <x:f>IF(A77&lt;='Inputs'!$B$28,F76+E76,"")</x:f>
        <x:v>4524</x:v>
      </x:c>
      <x:c r="G77" s="29" t="n">
        <x:f>IF(A77&lt;='Inputs'!$B$28,'Inputs'!$B$27^A77,"")</x:f>
        <x:v>18.945254660885347</x:v>
      </x:c>
      <x:c r="H77" s="21" t="str">
        <x:f>IF(A77&lt;'Inputs'!$B$32,ROUNDUP(ROUND('Inputs'!$B$29*'Inputs'!$B$30^A77,6),0),"")</x:f>
      </x:c>
      <x:c r="I77" s="21" t="str">
        <x:f>IF(A77&lt;='Inputs'!$B$32,I76+H76,"")</x:f>
      </x:c>
      <x:c r="J77" s="29" t="str">
        <x:f>IF(A77&lt;='Inputs'!$B$32,1+'Inputs'!$B$31*A77,"")</x:f>
      </x:c>
    </x:row>
    <x:row r="78" ht="25" customHeight="1">
      <x:c r="A78" s="19" t="n">
        <x:v>76</x:v>
      </x:c>
      <x:c r="B78" s="21" t="n">
        <x:f>IF(A78&lt;'Inputs'!$B$24,ROUNDUP(ROUND('Inputs'!$B$21*'Inputs'!$B$22^A78,6),0),"")</x:f>
        <x:v>8554</x:v>
      </x:c>
      <x:c r="C78" s="21" t="n">
        <x:f>IF(A78&lt;='Inputs'!$B$24,C77+B77,"")</x:f>
        <x:v>121515</x:v>
      </x:c>
      <x:c r="D78" s="29" t="n">
        <x:f>IF(A78&lt;='Inputs'!$B$24,'Inputs'!$B$23^A78,"")</x:f>
        <x:v>6.531512611840627</x:v>
      </x:c>
      <x:c r="E78" s="21" t="n">
        <x:f>IF(A78&lt;'Inputs'!$B$28,ROUNDUP(ROUND('Inputs'!$B$25*'Inputs'!$B$26^A78,6),0),"")</x:f>
        <x:v>198</x:v>
      </x:c>
      <x:c r="F78" s="21" t="n">
        <x:f>IF(A78&lt;='Inputs'!$B$28,F77+E77,"")</x:f>
        <x:v>4714</x:v>
      </x:c>
      <x:c r="G78" s="29" t="n">
        <x:f>IF(A78&lt;='Inputs'!$B$28,'Inputs'!$B$27^A78,"")</x:f>
        <x:v>19.703064847320764</x:v>
      </x:c>
      <x:c r="H78" s="21" t="str">
        <x:f>IF(A78&lt;'Inputs'!$B$32,ROUNDUP(ROUND('Inputs'!$B$29*'Inputs'!$B$30^A78,6),0),"")</x:f>
      </x:c>
      <x:c r="I78" s="21" t="str">
        <x:f>IF(A78&lt;='Inputs'!$B$32,I77+H77,"")</x:f>
      </x:c>
      <x:c r="J78" s="29" t="str">
        <x:f>IF(A78&lt;='Inputs'!$B$32,1+'Inputs'!$B$31*A78,"")</x:f>
      </x:c>
    </x:row>
    <x:row r="79" ht="25" customHeight="1">
      <x:c r="A79" s="19" t="n">
        <x:v>77</x:v>
      </x:c>
      <x:c r="B79" s="21" t="n">
        <x:f>IF(A79&lt;'Inputs'!$B$24,ROUNDUP(ROUND('Inputs'!$B$21*'Inputs'!$B$22^A79,6),0),"")</x:f>
        <x:v>9153</x:v>
      </x:c>
      <x:c r="C79" s="21" t="n">
        <x:f>IF(A79&lt;='Inputs'!$B$24,C78+B78,"")</x:f>
        <x:v>130069</x:v>
      </x:c>
      <x:c r="D79" s="29" t="n">
        <x:f>IF(A79&lt;='Inputs'!$B$24,'Inputs'!$B$23^A79,"")</x:f>
        <x:v>6.694800427136642</x:v>
      </x:c>
      <x:c r="E79" s="21" t="n">
        <x:f>IF(A79&lt;'Inputs'!$B$28,ROUNDUP(ROUND('Inputs'!$B$25*'Inputs'!$B$26^A79,6),0),"")</x:f>
        <x:v>205</x:v>
      </x:c>
      <x:c r="F79" s="21" t="n">
        <x:f>IF(A79&lt;='Inputs'!$B$28,F78+E78,"")</x:f>
        <x:v>4912</x:v>
      </x:c>
      <x:c r="G79" s="29" t="n">
        <x:f>IF(A79&lt;='Inputs'!$B$28,'Inputs'!$B$27^A79,"")</x:f>
        <x:v>20.491187441213594</x:v>
      </x:c>
      <x:c r="H79" s="21" t="str">
        <x:f>IF(A79&lt;'Inputs'!$B$32,ROUNDUP(ROUND('Inputs'!$B$29*'Inputs'!$B$30^A79,6),0),"")</x:f>
      </x:c>
      <x:c r="I79" s="21" t="str">
        <x:f>IF(A79&lt;='Inputs'!$B$32,I78+H78,"")</x:f>
      </x:c>
      <x:c r="J79" s="29" t="str">
        <x:f>IF(A79&lt;='Inputs'!$B$32,1+'Inputs'!$B$31*A79,"")</x:f>
      </x:c>
    </x:row>
    <x:row r="80" ht="25" customHeight="1">
      <x:c r="A80" s="19" t="n">
        <x:v>78</x:v>
      </x:c>
      <x:c r="B80" s="21" t="n">
        <x:f>IF(A80&lt;'Inputs'!$B$24,ROUNDUP(ROUND('Inputs'!$B$21*'Inputs'!$B$22^A80,6),0),"")</x:f>
        <x:v>9793</x:v>
      </x:c>
      <x:c r="C80" s="21" t="n">
        <x:f>IF(A80&lt;='Inputs'!$B$24,C79+B79,"")</x:f>
        <x:v>139222</x:v>
      </x:c>
      <x:c r="D80" s="29" t="n">
        <x:f>IF(A80&lt;='Inputs'!$B$24,'Inputs'!$B$23^A80,"")</x:f>
        <x:v>6.862170437815058</x:v>
      </x:c>
      <x:c r="E80" s="21" t="n">
        <x:f>IF(A80&lt;'Inputs'!$B$28,ROUNDUP(ROUND('Inputs'!$B$25*'Inputs'!$B$26^A80,6),0),"")</x:f>
        <x:v>214</x:v>
      </x:c>
      <x:c r="F80" s="21" t="n">
        <x:f>IF(A80&lt;='Inputs'!$B$28,F79+E79,"")</x:f>
        <x:v>5117</x:v>
      </x:c>
      <x:c r="G80" s="29" t="n">
        <x:f>IF(A80&lt;='Inputs'!$B$28,'Inputs'!$B$27^A80,"")</x:f>
        <x:v>21.31083493886214</x:v>
      </x:c>
      <x:c r="H80" s="21" t="str">
        <x:f>IF(A80&lt;'Inputs'!$B$32,ROUNDUP(ROUND('Inputs'!$B$29*'Inputs'!$B$30^A80,6),0),"")</x:f>
      </x:c>
      <x:c r="I80" s="21" t="str">
        <x:f>IF(A80&lt;='Inputs'!$B$32,I79+H79,"")</x:f>
      </x:c>
      <x:c r="J80" s="29" t="str">
        <x:f>IF(A80&lt;='Inputs'!$B$32,1+'Inputs'!$B$31*A80,"")</x:f>
      </x:c>
    </x:row>
    <x:row r="81" ht="25" customHeight="1">
      <x:c r="A81" s="19" t="n">
        <x:v>79</x:v>
      </x:c>
      <x:c r="B81" s="21" t="n">
        <x:f>IF(A81&lt;'Inputs'!$B$24,ROUNDUP(ROUND('Inputs'!$B$21*'Inputs'!$B$22^A81,6),0),"")</x:f>
        <x:v>10479</x:v>
      </x:c>
      <x:c r="C81" s="21" t="n">
        <x:f>IF(A81&lt;='Inputs'!$B$24,C80+B80,"")</x:f>
        <x:v>149015</x:v>
      </x:c>
      <x:c r="D81" s="29" t="n">
        <x:f>IF(A81&lt;='Inputs'!$B$24,'Inputs'!$B$23^A81,"")</x:f>
        <x:v>7.033724698760434</x:v>
      </x:c>
      <x:c r="E81" s="21" t="n">
        <x:f>IF(A81&lt;'Inputs'!$B$28,ROUNDUP(ROUND('Inputs'!$B$25*'Inputs'!$B$26^A81,6),0),"")</x:f>
        <x:v>222</x:v>
      </x:c>
      <x:c r="F81" s="21" t="n">
        <x:f>IF(A81&lt;='Inputs'!$B$28,F80+E80,"")</x:f>
        <x:v>5331</x:v>
      </x:c>
      <x:c r="G81" s="29" t="n">
        <x:f>IF(A81&lt;='Inputs'!$B$28,'Inputs'!$B$27^A81,"")</x:f>
        <x:v>22.163268336416625</x:v>
      </x:c>
      <x:c r="H81" s="21" t="str">
        <x:f>IF(A81&lt;'Inputs'!$B$32,ROUNDUP(ROUND('Inputs'!$B$29*'Inputs'!$B$30^A81,6),0),"")</x:f>
      </x:c>
      <x:c r="I81" s="21" t="str">
        <x:f>IF(A81&lt;='Inputs'!$B$32,I80+H80,"")</x:f>
      </x:c>
      <x:c r="J81" s="29" t="str">
        <x:f>IF(A81&lt;='Inputs'!$B$32,1+'Inputs'!$B$31*A81,"")</x:f>
      </x:c>
    </x:row>
    <x:row r="82" ht="25" customHeight="1">
      <x:c r="A82" s="19" t="n">
        <x:v>80</x:v>
      </x:c>
      <x:c r="B82" s="21" t="n">
        <x:f>IF(A82&lt;'Inputs'!$B$24,ROUNDUP(ROUND('Inputs'!$B$21*'Inputs'!$B$22^A82,6),0),"")</x:f>
        <x:v>11212</x:v>
      </x:c>
      <x:c r="C82" s="21" t="n">
        <x:f>IF(A82&lt;='Inputs'!$B$24,C81+B81,"")</x:f>
        <x:v>159494</x:v>
      </x:c>
      <x:c r="D82" s="29" t="n">
        <x:f>IF(A82&lt;='Inputs'!$B$24,'Inputs'!$B$23^A82,"")</x:f>
        <x:v>7.209567816229444</x:v>
      </x:c>
      <x:c r="E82" s="21" t="n">
        <x:f>IF(A82&lt;'Inputs'!$B$28,ROUNDUP(ROUND('Inputs'!$B$25*'Inputs'!$B$26^A82,6),0),"")</x:f>
        <x:v>231</x:v>
      </x:c>
      <x:c r="F82" s="21" t="n">
        <x:f>IF(A82&lt;='Inputs'!$B$28,F81+E81,"")</x:f>
        <x:v>5553</x:v>
      </x:c>
      <x:c r="G82" s="29" t="n">
        <x:f>IF(A82&lt;='Inputs'!$B$28,'Inputs'!$B$27^A82,"")</x:f>
        <x:v>23.04979906987329</x:v>
      </x:c>
      <x:c r="H82" s="21" t="str">
        <x:f>IF(A82&lt;'Inputs'!$B$32,ROUNDUP(ROUND('Inputs'!$B$29*'Inputs'!$B$30^A82,6),0),"")</x:f>
      </x:c>
      <x:c r="I82" s="21" t="str">
        <x:f>IF(A82&lt;='Inputs'!$B$32,I81+H81,"")</x:f>
      </x:c>
      <x:c r="J82" s="29" t="str">
        <x:f>IF(A82&lt;='Inputs'!$B$32,1+'Inputs'!$B$31*A82,"")</x:f>
      </x:c>
    </x:row>
    <x:row r="83" ht="25" customHeight="1">
      <x:c r="A83" s="19" t="n">
        <x:v>81</x:v>
      </x:c>
      <x:c r="B83" s="21" t="n">
        <x:f>IF(A83&lt;'Inputs'!$B$24,ROUNDUP(ROUND('Inputs'!$B$21*'Inputs'!$B$22^A83,6),0),"")</x:f>
        <x:v>11997</x:v>
      </x:c>
      <x:c r="C83" s="21" t="n">
        <x:f>IF(A83&lt;='Inputs'!$B$24,C82+B82,"")</x:f>
        <x:v>170706</x:v>
      </x:c>
      <x:c r="D83" s="29" t="n">
        <x:f>IF(A83&lt;='Inputs'!$B$24,'Inputs'!$B$23^A83,"")</x:f>
        <x:v>7.389807011635179</x:v>
      </x:c>
      <x:c r="E83" s="21" t="n">
        <x:f>IF(A83&lt;'Inputs'!$B$28,ROUNDUP(ROUND('Inputs'!$B$25*'Inputs'!$B$26^A83,6),0),"")</x:f>
        <x:v>240</x:v>
      </x:c>
      <x:c r="F83" s="21" t="n">
        <x:f>IF(A83&lt;='Inputs'!$B$28,F82+E82,"")</x:f>
        <x:v>5784</x:v>
      </x:c>
      <x:c r="G83" s="29" t="n">
        <x:f>IF(A83&lt;='Inputs'!$B$28,'Inputs'!$B$27^A83,"")</x:f>
        <x:v>23.97179103266822</x:v>
      </x:c>
      <x:c r="H83" s="21" t="str">
        <x:f>IF(A83&lt;'Inputs'!$B$32,ROUNDUP(ROUND('Inputs'!$B$29*'Inputs'!$B$30^A83,6),0),"")</x:f>
      </x:c>
      <x:c r="I83" s="21" t="str">
        <x:f>IF(A83&lt;='Inputs'!$B$32,I82+H82,"")</x:f>
      </x:c>
      <x:c r="J83" s="29" t="str">
        <x:f>IF(A83&lt;='Inputs'!$B$32,1+'Inputs'!$B$31*A83,"")</x:f>
      </x:c>
    </x:row>
    <x:row r="84" ht="25" customHeight="1">
      <x:c r="A84" s="19" t="n">
        <x:v>82</x:v>
      </x:c>
      <x:c r="B84" s="21" t="n">
        <x:f>IF(A84&lt;'Inputs'!$B$24,ROUNDUP(ROUND('Inputs'!$B$21*'Inputs'!$B$22^A84,6),0),"")</x:f>
        <x:v>12837</x:v>
      </x:c>
      <x:c r="C84" s="21" t="n">
        <x:f>IF(A84&lt;='Inputs'!$B$24,C83+B83,"")</x:f>
        <x:v>182703</x:v>
      </x:c>
      <x:c r="D84" s="29" t="n">
        <x:f>IF(A84&lt;='Inputs'!$B$24,'Inputs'!$B$23^A84,"")</x:f>
        <x:v>7.5745521869260575</x:v>
      </x:c>
      <x:c r="E84" s="21" t="n">
        <x:f>IF(A84&lt;'Inputs'!$B$28,ROUNDUP(ROUND('Inputs'!$B$25*'Inputs'!$B$26^A84,6),0),"")</x:f>
        <x:v>250</x:v>
      </x:c>
      <x:c r="F84" s="21" t="n">
        <x:f>IF(A84&lt;='Inputs'!$B$28,F83+E83,"")</x:f>
        <x:v>6024</x:v>
      </x:c>
      <x:c r="G84" s="29" t="n">
        <x:f>IF(A84&lt;='Inputs'!$B$28,'Inputs'!$B$27^A84,"")</x:f>
        <x:v>24.930662673974954</x:v>
      </x:c>
      <x:c r="H84" s="21" t="str">
        <x:f>IF(A84&lt;'Inputs'!$B$32,ROUNDUP(ROUND('Inputs'!$B$29*'Inputs'!$B$30^A84,6),0),"")</x:f>
      </x:c>
      <x:c r="I84" s="21" t="str">
        <x:f>IF(A84&lt;='Inputs'!$B$32,I83+H83,"")</x:f>
      </x:c>
      <x:c r="J84" s="29" t="str">
        <x:f>IF(A84&lt;='Inputs'!$B$32,1+'Inputs'!$B$31*A84,"")</x:f>
      </x:c>
    </x:row>
    <x:row r="85" ht="25" customHeight="1">
      <x:c r="A85" s="19" t="n">
        <x:v>83</x:v>
      </x:c>
      <x:c r="B85" s="21" t="n">
        <x:f>IF(A85&lt;'Inputs'!$B$24,ROUNDUP(ROUND('Inputs'!$B$21*'Inputs'!$B$22^A85,6),0),"")</x:f>
        <x:v>13735</x:v>
      </x:c>
      <x:c r="C85" s="21" t="n">
        <x:f>IF(A85&lt;='Inputs'!$B$24,C84+B84,"")</x:f>
        <x:v>195540</x:v>
      </x:c>
      <x:c r="D85" s="29" t="n">
        <x:f>IF(A85&lt;='Inputs'!$B$24,'Inputs'!$B$23^A85,"")</x:f>
        <x:v>7.763915991599209</x:v>
      </x:c>
      <x:c r="E85" s="21" t="n">
        <x:f>IF(A85&lt;'Inputs'!$B$28,ROUNDUP(ROUND('Inputs'!$B$25*'Inputs'!$B$26^A85,6),0),"")</x:f>
        <x:v>260</x:v>
      </x:c>
      <x:c r="F85" s="21" t="n">
        <x:f>IF(A85&lt;='Inputs'!$B$28,F84+E84,"")</x:f>
        <x:v>6274</x:v>
      </x:c>
      <x:c r="G85" s="29" t="n">
        <x:f>IF(A85&lt;='Inputs'!$B$28,'Inputs'!$B$27^A85,"")</x:f>
        <x:v>25.927889180933953</x:v>
      </x:c>
      <x:c r="H85" s="21" t="str">
        <x:f>IF(A85&lt;'Inputs'!$B$32,ROUNDUP(ROUND('Inputs'!$B$29*'Inputs'!$B$30^A85,6),0),"")</x:f>
      </x:c>
      <x:c r="I85" s="21" t="str">
        <x:f>IF(A85&lt;='Inputs'!$B$32,I84+H84,"")</x:f>
      </x:c>
      <x:c r="J85" s="29" t="str">
        <x:f>IF(A85&lt;='Inputs'!$B$32,1+'Inputs'!$B$31*A85,"")</x:f>
      </x:c>
    </x:row>
    <x:row r="86" ht="25" customHeight="1">
      <x:c r="A86" s="19" t="n">
        <x:v>84</x:v>
      </x:c>
      <x:c r="B86" s="21" t="n">
        <x:f>IF(A86&lt;'Inputs'!$B$24,ROUNDUP(ROUND('Inputs'!$B$21*'Inputs'!$B$22^A86,6),0),"")</x:f>
        <x:v>14697</x:v>
      </x:c>
      <x:c r="C86" s="21" t="n">
        <x:f>IF(A86&lt;='Inputs'!$B$24,C85+B85,"")</x:f>
        <x:v>209275</x:v>
      </x:c>
      <x:c r="D86" s="29" t="n">
        <x:f>IF(A86&lt;='Inputs'!$B$24,'Inputs'!$B$23^A86,"")</x:f>
        <x:v>7.9580138913891885</x:v>
      </x:c>
      <x:c r="E86" s="21" t="n">
        <x:f>IF(A86&lt;'Inputs'!$B$28,ROUNDUP(ROUND('Inputs'!$B$25*'Inputs'!$B$26^A86,6),0),"")</x:f>
        <x:v>270</x:v>
      </x:c>
      <x:c r="F86" s="21" t="n">
        <x:f>IF(A86&lt;='Inputs'!$B$28,F85+E85,"")</x:f>
        <x:v>6534</x:v>
      </x:c>
      <x:c r="G86" s="29" t="n">
        <x:f>IF(A86&lt;='Inputs'!$B$28,'Inputs'!$B$27^A86,"")</x:f>
        <x:v>26.96500474817131</x:v>
      </x:c>
      <x:c r="H86" s="21" t="str">
        <x:f>IF(A86&lt;'Inputs'!$B$32,ROUNDUP(ROUND('Inputs'!$B$29*'Inputs'!$B$30^A86,6),0),"")</x:f>
      </x:c>
      <x:c r="I86" s="21" t="str">
        <x:f>IF(A86&lt;='Inputs'!$B$32,I85+H85,"")</x:f>
      </x:c>
      <x:c r="J86" s="29" t="str">
        <x:f>IF(A86&lt;='Inputs'!$B$32,1+'Inputs'!$B$31*A86,"")</x:f>
      </x:c>
    </x:row>
    <x:row r="87" ht="25" customHeight="1">
      <x:c r="A87" s="19" t="n">
        <x:v>85</x:v>
      </x:c>
      <x:c r="B87" s="21" t="n">
        <x:f>IF(A87&lt;'Inputs'!$B$24,ROUNDUP(ROUND('Inputs'!$B$21*'Inputs'!$B$22^A87,6),0),"")</x:f>
        <x:v>15726</x:v>
      </x:c>
      <x:c r="C87" s="21" t="n">
        <x:f>IF(A87&lt;='Inputs'!$B$24,C86+B86,"")</x:f>
        <x:v>223972</x:v>
      </x:c>
      <x:c r="D87" s="29" t="n">
        <x:f>IF(A87&lt;='Inputs'!$B$24,'Inputs'!$B$23^A87,"")</x:f>
        <x:v>8.156964238673917</x:v>
      </x:c>
      <x:c r="E87" s="21" t="n">
        <x:f>IF(A87&lt;'Inputs'!$B$28,ROUNDUP(ROUND('Inputs'!$B$25*'Inputs'!$B$26^A87,6),0),"")</x:f>
        <x:v>281</x:v>
      </x:c>
      <x:c r="F87" s="21" t="n">
        <x:f>IF(A87&lt;='Inputs'!$B$28,F86+E86,"")</x:f>
        <x:v>6804</x:v>
      </x:c>
      <x:c r="G87" s="29" t="n">
        <x:f>IF(A87&lt;='Inputs'!$B$28,'Inputs'!$B$27^A87,"")</x:f>
        <x:v>28.043604938098163</x:v>
      </x:c>
      <x:c r="H87" s="21" t="str">
        <x:f>IF(A87&lt;'Inputs'!$B$32,ROUNDUP(ROUND('Inputs'!$B$29*'Inputs'!$B$30^A87,6),0),"")</x:f>
      </x:c>
      <x:c r="I87" s="21" t="str">
        <x:f>IF(A87&lt;='Inputs'!$B$32,I86+H86,"")</x:f>
      </x:c>
      <x:c r="J87" s="29" t="str">
        <x:f>IF(A87&lt;='Inputs'!$B$32,1+'Inputs'!$B$31*A87,"")</x:f>
      </x:c>
    </x:row>
    <x:row r="88" ht="25" customHeight="1">
      <x:c r="A88" s="19" t="n">
        <x:v>86</x:v>
      </x:c>
      <x:c r="B88" s="21" t="n">
        <x:f>IF(A88&lt;'Inputs'!$B$24,ROUNDUP(ROUND('Inputs'!$B$21*'Inputs'!$B$22^A88,6),0),"")</x:f>
        <x:v>16826</x:v>
      </x:c>
      <x:c r="C88" s="21" t="n">
        <x:f>IF(A88&lt;='Inputs'!$B$24,C87+B87,"")</x:f>
        <x:v>239698</x:v>
      </x:c>
      <x:c r="D88" s="29" t="n">
        <x:f>IF(A88&lt;='Inputs'!$B$24,'Inputs'!$B$23^A88,"")</x:f>
        <x:v>8.360888344640765</x:v>
      </x:c>
      <x:c r="E88" s="21" t="n">
        <x:f>IF(A88&lt;'Inputs'!$B$28,ROUNDUP(ROUND('Inputs'!$B$25*'Inputs'!$B$26^A88,6),0),"")</x:f>
        <x:v>292</x:v>
      </x:c>
      <x:c r="F88" s="21" t="n">
        <x:f>IF(A88&lt;='Inputs'!$B$28,F87+E87,"")</x:f>
        <x:v>7085</x:v>
      </x:c>
      <x:c r="G88" s="29" t="n">
        <x:f>IF(A88&lt;='Inputs'!$B$28,'Inputs'!$B$27^A88,"")</x:f>
        <x:v>29.16534913562209</x:v>
      </x:c>
      <x:c r="H88" s="21" t="str">
        <x:f>IF(A88&lt;'Inputs'!$B$32,ROUNDUP(ROUND('Inputs'!$B$29*'Inputs'!$B$30^A88,6),0),"")</x:f>
      </x:c>
      <x:c r="I88" s="21" t="str">
        <x:f>IF(A88&lt;='Inputs'!$B$32,I87+H87,"")</x:f>
      </x:c>
      <x:c r="J88" s="29" t="str">
        <x:f>IF(A88&lt;='Inputs'!$B$32,1+'Inputs'!$B$31*A88,"")</x:f>
      </x:c>
    </x:row>
    <x:row r="89" ht="25" customHeight="1">
      <x:c r="A89" s="19" t="n">
        <x:v>87</x:v>
      </x:c>
      <x:c r="B89" s="21" t="n">
        <x:f>IF(A89&lt;'Inputs'!$B$24,ROUNDUP(ROUND('Inputs'!$B$21*'Inputs'!$B$22^A89,6),0),"")</x:f>
        <x:v>18004</x:v>
      </x:c>
      <x:c r="C89" s="21" t="n">
        <x:f>IF(A89&lt;='Inputs'!$B$24,C88+B88,"")</x:f>
        <x:v>256524</x:v>
      </x:c>
      <x:c r="D89" s="29" t="n">
        <x:f>IF(A89&lt;='Inputs'!$B$24,'Inputs'!$B$23^A89,"")</x:f>
        <x:v>8.569910553256783</x:v>
      </x:c>
      <x:c r="E89" s="21" t="n">
        <x:f>IF(A89&lt;'Inputs'!$B$28,ROUNDUP(ROUND('Inputs'!$B$25*'Inputs'!$B$26^A89,6),0),"")</x:f>
        <x:v>304</x:v>
      </x:c>
      <x:c r="F89" s="21" t="n">
        <x:f>IF(A89&lt;='Inputs'!$B$28,F88+E88,"")</x:f>
        <x:v>7377</x:v>
      </x:c>
      <x:c r="G89" s="29" t="n">
        <x:f>IF(A89&lt;='Inputs'!$B$28,'Inputs'!$B$27^A89,"")</x:f>
        <x:v>30.331963101046977</x:v>
      </x:c>
      <x:c r="H89" s="21" t="str">
        <x:f>IF(A89&lt;'Inputs'!$B$32,ROUNDUP(ROUND('Inputs'!$B$29*'Inputs'!$B$30^A89,6),0),"")</x:f>
      </x:c>
      <x:c r="I89" s="21" t="str">
        <x:f>IF(A89&lt;='Inputs'!$B$32,I88+H88,"")</x:f>
      </x:c>
      <x:c r="J89" s="29" t="str">
        <x:f>IF(A89&lt;='Inputs'!$B$32,1+'Inputs'!$B$31*A89,"")</x:f>
      </x:c>
    </x:row>
    <x:row r="90" ht="25" customHeight="1">
      <x:c r="A90" s="19" t="n">
        <x:v>88</x:v>
      </x:c>
      <x:c r="B90" s="21" t="n">
        <x:f>IF(A90&lt;'Inputs'!$B$24,ROUNDUP(ROUND('Inputs'!$B$21*'Inputs'!$B$22^A90,6),0),"")</x:f>
        <x:v>19264</x:v>
      </x:c>
      <x:c r="C90" s="21" t="n">
        <x:f>IF(A90&lt;='Inputs'!$B$24,C89+B89,"")</x:f>
        <x:v>274528</x:v>
      </x:c>
      <x:c r="D90" s="29" t="n">
        <x:f>IF(A90&lt;='Inputs'!$B$24,'Inputs'!$B$23^A90,"")</x:f>
        <x:v>8.7841583170882</x:v>
      </x:c>
      <x:c r="E90" s="21" t="n">
        <x:f>IF(A90&lt;'Inputs'!$B$28,ROUNDUP(ROUND('Inputs'!$B$25*'Inputs'!$B$26^A90,6),0),"")</x:f>
        <x:v>316</x:v>
      </x:c>
      <x:c r="F90" s="21" t="n">
        <x:f>IF(A90&lt;='Inputs'!$B$28,F89+E89,"")</x:f>
        <x:v>7681</x:v>
      </x:c>
      <x:c r="G90" s="29" t="n">
        <x:f>IF(A90&lt;='Inputs'!$B$28,'Inputs'!$B$27^A90,"")</x:f>
        <x:v>31.545241625088856</x:v>
      </x:c>
      <x:c r="H90" s="21" t="str">
        <x:f>IF(A90&lt;'Inputs'!$B$32,ROUNDUP(ROUND('Inputs'!$B$29*'Inputs'!$B$30^A90,6),0),"")</x:f>
      </x:c>
      <x:c r="I90" s="21" t="str">
        <x:f>IF(A90&lt;='Inputs'!$B$32,I89+H89,"")</x:f>
      </x:c>
      <x:c r="J90" s="29" t="str">
        <x:f>IF(A90&lt;='Inputs'!$B$32,1+'Inputs'!$B$31*A90,"")</x:f>
      </x:c>
    </x:row>
    <x:row r="91" ht="25" customHeight="1">
      <x:c r="A91" s="19" t="n">
        <x:v>89</x:v>
      </x:c>
      <x:c r="B91" s="21" t="n">
        <x:f>IF(A91&lt;'Inputs'!$B$24,ROUNDUP(ROUND('Inputs'!$B$21*'Inputs'!$B$22^A91,6),0),"")</x:f>
        <x:v>20613</x:v>
      </x:c>
      <x:c r="C91" s="21" t="n">
        <x:f>IF(A91&lt;='Inputs'!$B$24,C90+B90,"")</x:f>
        <x:v>293792</x:v>
      </x:c>
      <x:c r="D91" s="29" t="n">
        <x:f>IF(A91&lt;='Inputs'!$B$24,'Inputs'!$B$23^A91,"")</x:f>
        <x:v>9.003762275015406</x:v>
      </x:c>
      <x:c r="E91" s="21" t="n">
        <x:f>IF(A91&lt;'Inputs'!$B$28,ROUNDUP(ROUND('Inputs'!$B$25*'Inputs'!$B$26^A91,6),0),"")</x:f>
        <x:v>329</x:v>
      </x:c>
      <x:c r="F91" s="21" t="n">
        <x:f>IF(A91&lt;='Inputs'!$B$28,F90+E90,"")</x:f>
        <x:v>7997</x:v>
      </x:c>
      <x:c r="G91" s="29" t="n">
        <x:f>IF(A91&lt;='Inputs'!$B$28,'Inputs'!$B$27^A91,"")</x:f>
        <x:v>32.80705129009241</x:v>
      </x:c>
      <x:c r="H91" s="21" t="str">
        <x:f>IF(A91&lt;'Inputs'!$B$32,ROUNDUP(ROUND('Inputs'!$B$29*'Inputs'!$B$30^A91,6),0),"")</x:f>
      </x:c>
      <x:c r="I91" s="21" t="str">
        <x:f>IF(A91&lt;='Inputs'!$B$32,I90+H90,"")</x:f>
      </x:c>
      <x:c r="J91" s="29" t="str">
        <x:f>IF(A91&lt;='Inputs'!$B$32,1+'Inputs'!$B$31*A91,"")</x:f>
      </x:c>
    </x:row>
    <x:row r="92" ht="25" customHeight="1">
      <x:c r="A92" s="19" t="n">
        <x:v>90</x:v>
      </x:c>
      <x:c r="B92" s="21" t="n">
        <x:f>IF(A92&lt;'Inputs'!$B$24,ROUNDUP(ROUND('Inputs'!$B$21*'Inputs'!$B$22^A92,6),0),"")</x:f>
        <x:v>22056</x:v>
      </x:c>
      <x:c r="C92" s="21" t="n">
        <x:f>IF(A92&lt;='Inputs'!$B$24,C91+B91,"")</x:f>
        <x:v>314405</x:v>
      </x:c>
      <x:c r="D92" s="29" t="n">
        <x:f>IF(A92&lt;='Inputs'!$B$24,'Inputs'!$B$23^A92,"")</x:f>
        <x:v>9.22885633189079</x:v>
      </x:c>
      <x:c r="E92" s="21" t="n">
        <x:f>IF(A92&lt;'Inputs'!$B$28,ROUNDUP(ROUND('Inputs'!$B$25*'Inputs'!$B$26^A92,6),0),"")</x:f>
        <x:v>342</x:v>
      </x:c>
      <x:c r="F92" s="21" t="n">
        <x:f>IF(A92&lt;='Inputs'!$B$28,F91+E91,"")</x:f>
        <x:v>8326</x:v>
      </x:c>
      <x:c r="G92" s="29" t="n">
        <x:f>IF(A92&lt;='Inputs'!$B$28,'Inputs'!$B$27^A92,"")</x:f>
        <x:v>34.11933334169611</x:v>
      </x:c>
      <x:c r="H92" s="21" t="str">
        <x:f>IF(A92&lt;'Inputs'!$B$32,ROUNDUP(ROUND('Inputs'!$B$29*'Inputs'!$B$30^A92,6),0),"")</x:f>
      </x:c>
      <x:c r="I92" s="21" t="str">
        <x:f>IF(A92&lt;='Inputs'!$B$32,I91+H91,"")</x:f>
      </x:c>
      <x:c r="J92" s="29" t="str">
        <x:f>IF(A92&lt;='Inputs'!$B$32,1+'Inputs'!$B$31*A92,"")</x:f>
      </x:c>
    </x:row>
    <x:row r="93" ht="25" customHeight="1">
      <x:c r="A93" s="19" t="n">
        <x:v>91</x:v>
      </x:c>
      <x:c r="B93" s="21" t="n">
        <x:f>IF(A93&lt;'Inputs'!$B$24,ROUNDUP(ROUND('Inputs'!$B$21*'Inputs'!$B$22^A93,6),0),"")</x:f>
        <x:v>23600</x:v>
      </x:c>
      <x:c r="C93" s="21" t="n">
        <x:f>IF(A93&lt;='Inputs'!$B$24,C92+B92,"")</x:f>
        <x:v>336461</x:v>
      </x:c>
      <x:c r="D93" s="29" t="n">
        <x:f>IF(A93&lt;='Inputs'!$B$24,'Inputs'!$B$23^A93,"")</x:f>
        <x:v>9.45957774018806</x:v>
      </x:c>
      <x:c r="E93" s="21" t="n">
        <x:f>IF(A93&lt;'Inputs'!$B$28,ROUNDUP(ROUND('Inputs'!$B$25*'Inputs'!$B$26^A93,6),0),"")</x:f>
        <x:v>355</x:v>
      </x:c>
      <x:c r="F93" s="21" t="n">
        <x:f>IF(A93&lt;='Inputs'!$B$28,F92+E92,"")</x:f>
        <x:v>8668</x:v>
      </x:c>
      <x:c r="G93" s="29" t="n">
        <x:f>IF(A93&lt;='Inputs'!$B$28,'Inputs'!$B$27^A93,"")</x:f>
        <x:v>35.484106675363954</x:v>
      </x:c>
      <x:c r="H93" s="21" t="str">
        <x:f>IF(A93&lt;'Inputs'!$B$32,ROUNDUP(ROUND('Inputs'!$B$29*'Inputs'!$B$30^A93,6),0),"")</x:f>
      </x:c>
      <x:c r="I93" s="21" t="str">
        <x:f>IF(A93&lt;='Inputs'!$B$32,I92+H92,"")</x:f>
      </x:c>
      <x:c r="J93" s="29" t="str">
        <x:f>IF(A93&lt;='Inputs'!$B$32,1+'Inputs'!$B$31*A93,"")</x:f>
      </x:c>
    </x:row>
    <x:row r="94" ht="25" customHeight="1">
      <x:c r="A94" s="19" t="n">
        <x:v>92</x:v>
      </x:c>
      <x:c r="B94" s="21" t="n">
        <x:f>IF(A94&lt;'Inputs'!$B$24,ROUNDUP(ROUND('Inputs'!$B$21*'Inputs'!$B$22^A94,6),0),"")</x:f>
        <x:v>25251</x:v>
      </x:c>
      <x:c r="C94" s="21" t="n">
        <x:f>IF(A94&lt;='Inputs'!$B$24,C93+B93,"")</x:f>
        <x:v>360061</x:v>
      </x:c>
      <x:c r="D94" s="29" t="n">
        <x:f>IF(A94&lt;='Inputs'!$B$24,'Inputs'!$B$23^A94,"")</x:f>
        <x:v>9.69606718369276</x:v>
      </x:c>
      <x:c r="E94" s="21" t="n">
        <x:f>IF(A94&lt;'Inputs'!$B$28,ROUNDUP(ROUND('Inputs'!$B$25*'Inputs'!$B$26^A94,6),0),"")</x:f>
        <x:v>370</x:v>
      </x:c>
      <x:c r="F94" s="21" t="n">
        <x:f>IF(A94&lt;='Inputs'!$B$28,F93+E93,"")</x:f>
        <x:v>9023</x:v>
      </x:c>
      <x:c r="G94" s="29" t="n">
        <x:f>IF(A94&lt;='Inputs'!$B$28,'Inputs'!$B$27^A94,"")</x:f>
        <x:v>36.90347094237851</x:v>
      </x:c>
      <x:c r="H94" s="21" t="str">
        <x:f>IF(A94&lt;'Inputs'!$B$32,ROUNDUP(ROUND('Inputs'!$B$29*'Inputs'!$B$30^A94,6),0),"")</x:f>
      </x:c>
      <x:c r="I94" s="21" t="str">
        <x:f>IF(A94&lt;='Inputs'!$B$32,I93+H93,"")</x:f>
      </x:c>
      <x:c r="J94" s="29" t="str">
        <x:f>IF(A94&lt;='Inputs'!$B$32,1+'Inputs'!$B$31*A94,"")</x:f>
      </x:c>
    </x:row>
    <x:row r="95" ht="25" customHeight="1">
      <x:c r="A95" s="19" t="n">
        <x:v>93</x:v>
      </x:c>
      <x:c r="B95" s="21" t="n">
        <x:f>IF(A95&lt;'Inputs'!$B$24,ROUNDUP(ROUND('Inputs'!$B$21*'Inputs'!$B$22^A95,6),0),"")</x:f>
        <x:v>27019</x:v>
      </x:c>
      <x:c r="C95" s="21" t="n">
        <x:f>IF(A95&lt;='Inputs'!$B$24,C94+B94,"")</x:f>
        <x:v>385312</x:v>
      </x:c>
      <x:c r="D95" s="29" t="n">
        <x:f>IF(A95&lt;='Inputs'!$B$24,'Inputs'!$B$23^A95,"")</x:f>
        <x:v>9.938468863285078</x:v>
      </x:c>
      <x:c r="E95" s="21" t="n">
        <x:f>IF(A95&lt;'Inputs'!$B$28,ROUNDUP(ROUND('Inputs'!$B$25*'Inputs'!$B$26^A95,6),0),"")</x:f>
        <x:v>384</x:v>
      </x:c>
      <x:c r="F95" s="21" t="n">
        <x:f>IF(A95&lt;='Inputs'!$B$28,F94+E94,"")</x:f>
        <x:v>9393</x:v>
      </x:c>
      <x:c r="G95" s="29" t="n">
        <x:f>IF(A95&lt;='Inputs'!$B$28,'Inputs'!$B$27^A95,"")</x:f>
        <x:v>38.37960978007366</x:v>
      </x:c>
      <x:c r="H95" s="21" t="str">
        <x:f>IF(A95&lt;'Inputs'!$B$32,ROUNDUP(ROUND('Inputs'!$B$29*'Inputs'!$B$30^A95,6),0),"")</x:f>
      </x:c>
      <x:c r="I95" s="21" t="str">
        <x:f>IF(A95&lt;='Inputs'!$B$32,I94+H94,"")</x:f>
      </x:c>
      <x:c r="J95" s="29" t="str">
        <x:f>IF(A95&lt;='Inputs'!$B$32,1+'Inputs'!$B$31*A95,"")</x:f>
      </x:c>
    </x:row>
    <x:row r="96" ht="25" customHeight="1">
      <x:c r="A96" s="19" t="n">
        <x:v>94</x:v>
      </x:c>
      <x:c r="B96" s="21" t="n">
        <x:f>IF(A96&lt;'Inputs'!$B$24,ROUNDUP(ROUND('Inputs'!$B$21*'Inputs'!$B$22^A96,6),0),"")</x:f>
        <x:v>28910</x:v>
      </x:c>
      <x:c r="C96" s="21" t="n">
        <x:f>IF(A96&lt;='Inputs'!$B$24,C95+B95,"")</x:f>
        <x:v>412331</x:v>
      </x:c>
      <x:c r="D96" s="29" t="n">
        <x:f>IF(A96&lt;='Inputs'!$B$24,'Inputs'!$B$23^A96,"")</x:f>
        <x:v>10.186930584867204</x:v>
      </x:c>
      <x:c r="E96" s="21" t="n">
        <x:f>IF(A96&lt;'Inputs'!$B$28,ROUNDUP(ROUND('Inputs'!$B$25*'Inputs'!$B$26^A96,6),0),"")</x:f>
        <x:v>400</x:v>
      </x:c>
      <x:c r="F96" s="21" t="n">
        <x:f>IF(A96&lt;='Inputs'!$B$28,F95+E95,"")</x:f>
        <x:v>9777</x:v>
      </x:c>
      <x:c r="G96" s="29" t="n">
        <x:f>IF(A96&lt;='Inputs'!$B$28,'Inputs'!$B$27^A96,"")</x:f>
        <x:v>39.914794171276604</x:v>
      </x:c>
      <x:c r="H96" s="21" t="str">
        <x:f>IF(A96&lt;'Inputs'!$B$32,ROUNDUP(ROUND('Inputs'!$B$29*'Inputs'!$B$30^A96,6),0),"")</x:f>
      </x:c>
      <x:c r="I96" s="21" t="str">
        <x:f>IF(A96&lt;='Inputs'!$B$32,I95+H95,"")</x:f>
      </x:c>
      <x:c r="J96" s="29" t="str">
        <x:f>IF(A96&lt;='Inputs'!$B$32,1+'Inputs'!$B$31*A96,"")</x:f>
      </x:c>
    </x:row>
    <x:row r="97" ht="25" customHeight="1">
      <x:c r="A97" s="19" t="n">
        <x:v>95</x:v>
      </x:c>
      <x:c r="B97" s="21" t="n">
        <x:f>IF(A97&lt;'Inputs'!$B$24,ROUNDUP(ROUND('Inputs'!$B$21*'Inputs'!$B$22^A97,6),0),"")</x:f>
        <x:v>30934</x:v>
      </x:c>
      <x:c r="C97" s="21" t="n">
        <x:f>IF(A97&lt;='Inputs'!$B$24,C96+B96,"")</x:f>
        <x:v>441241</x:v>
      </x:c>
      <x:c r="D97" s="29" t="n">
        <x:f>IF(A97&lt;='Inputs'!$B$24,'Inputs'!$B$23^A97,"")</x:f>
        <x:v>10.441603849488883</x:v>
      </x:c>
      <x:c r="E97" s="21" t="n">
        <x:f>IF(A97&lt;'Inputs'!$B$28,ROUNDUP(ROUND('Inputs'!$B$25*'Inputs'!$B$26^A97,6),0),"")</x:f>
        <x:v>416</x:v>
      </x:c>
      <x:c r="F97" s="21" t="n">
        <x:f>IF(A97&lt;='Inputs'!$B$28,F96+E96,"")</x:f>
        <x:v>10177</x:v>
      </x:c>
      <x:c r="G97" s="29" t="n">
        <x:f>IF(A97&lt;='Inputs'!$B$28,'Inputs'!$B$27^A97,"")</x:f>
        <x:v>41.51138593812767</x:v>
      </x:c>
      <x:c r="H97" s="21" t="str">
        <x:f>IF(A97&lt;'Inputs'!$B$32,ROUNDUP(ROUND('Inputs'!$B$29*'Inputs'!$B$30^A97,6),0),"")</x:f>
      </x:c>
      <x:c r="I97" s="21" t="str">
        <x:f>IF(A97&lt;='Inputs'!$B$32,I96+H96,"")</x:f>
      </x:c>
      <x:c r="J97" s="29" t="str">
        <x:f>IF(A97&lt;='Inputs'!$B$32,1+'Inputs'!$B$31*A97,"")</x:f>
      </x:c>
    </x:row>
    <x:row r="98" ht="25" customHeight="1">
      <x:c r="A98" s="19" t="n">
        <x:v>96</x:v>
      </x:c>
      <x:c r="B98" s="21" t="n">
        <x:f>IF(A98&lt;'Inputs'!$B$24,ROUNDUP(ROUND('Inputs'!$B$21*'Inputs'!$B$22^A98,6),0),"")</x:f>
        <x:v>33099</x:v>
      </x:c>
      <x:c r="C98" s="21" t="n">
        <x:f>IF(A98&lt;='Inputs'!$B$24,C97+B97,"")</x:f>
        <x:v>472175</x:v>
      </x:c>
      <x:c r="D98" s="29" t="n">
        <x:f>IF(A98&lt;='Inputs'!$B$24,'Inputs'!$B$23^A98,"")</x:f>
        <x:v>10.702643945726104</x:v>
      </x:c>
      <x:c r="E98" s="21" t="n">
        <x:f>IF(A98&lt;'Inputs'!$B$28,ROUNDUP(ROUND('Inputs'!$B$25*'Inputs'!$B$26^A98,6),0),"")</x:f>
        <x:v>432</x:v>
      </x:c>
      <x:c r="F98" s="21" t="n">
        <x:f>IF(A98&lt;='Inputs'!$B$28,F97+E97,"")</x:f>
        <x:v>10593</x:v>
      </x:c>
      <x:c r="G98" s="29" t="n">
        <x:f>IF(A98&lt;='Inputs'!$B$28,'Inputs'!$B$27^A98,"")</x:f>
        <x:v>43.171841375652775</x:v>
      </x:c>
      <x:c r="H98" s="21" t="str">
        <x:f>IF(A98&lt;'Inputs'!$B$32,ROUNDUP(ROUND('Inputs'!$B$29*'Inputs'!$B$30^A98,6),0),"")</x:f>
      </x:c>
      <x:c r="I98" s="21" t="str">
        <x:f>IF(A98&lt;='Inputs'!$B$32,I97+H97,"")</x:f>
      </x:c>
      <x:c r="J98" s="29" t="str">
        <x:f>IF(A98&lt;='Inputs'!$B$32,1+'Inputs'!$B$31*A98,"")</x:f>
      </x:c>
    </x:row>
    <x:row r="99" ht="25" customHeight="1">
      <x:c r="A99" s="19" t="n">
        <x:v>97</x:v>
      </x:c>
      <x:c r="B99" s="21" t="n">
        <x:f>IF(A99&lt;'Inputs'!$B$24,ROUNDUP(ROUND('Inputs'!$B$21*'Inputs'!$B$22^A99,6),0),"")</x:f>
        <x:v>35416</x:v>
      </x:c>
      <x:c r="C99" s="21" t="n">
        <x:f>IF(A99&lt;='Inputs'!$B$24,C98+B98,"")</x:f>
        <x:v>505274</x:v>
      </x:c>
      <x:c r="D99" s="29" t="n">
        <x:f>IF(A99&lt;='Inputs'!$B$24,'Inputs'!$B$23^A99,"")</x:f>
        <x:v>10.970210044369257</x:v>
      </x:c>
      <x:c r="E99" s="21" t="n">
        <x:f>IF(A99&lt;'Inputs'!$B$28,ROUNDUP(ROUND('Inputs'!$B$25*'Inputs'!$B$26^A99,6),0),"")</x:f>
        <x:v>449</x:v>
      </x:c>
      <x:c r="F99" s="21" t="n">
        <x:f>IF(A99&lt;='Inputs'!$B$28,F98+E98,"")</x:f>
        <x:v>11025</x:v>
      </x:c>
      <x:c r="G99" s="29" t="n">
        <x:f>IF(A99&lt;='Inputs'!$B$28,'Inputs'!$B$27^A99,"")</x:f>
        <x:v>44.89871503067889</x:v>
      </x:c>
      <x:c r="H99" s="21" t="str">
        <x:f>IF(A99&lt;'Inputs'!$B$32,ROUNDUP(ROUND('Inputs'!$B$29*'Inputs'!$B$30^A99,6),0),"")</x:f>
      </x:c>
      <x:c r="I99" s="21" t="str">
        <x:f>IF(A99&lt;='Inputs'!$B$32,I98+H98,"")</x:f>
      </x:c>
      <x:c r="J99" s="29" t="str">
        <x:f>IF(A99&lt;='Inputs'!$B$32,1+'Inputs'!$B$31*A99,"")</x:f>
      </x:c>
    </x:row>
    <x:row r="100" ht="25" customHeight="1">
      <x:c r="A100" s="19" t="n">
        <x:v>98</x:v>
      </x:c>
      <x:c r="B100" s="21" t="n">
        <x:f>IF(A100&lt;'Inputs'!$B$24,ROUNDUP(ROUND('Inputs'!$B$21*'Inputs'!$B$22^A100,6),0),"")</x:f>
        <x:v>37895</x:v>
      </x:c>
      <x:c r="C100" s="21" t="n">
        <x:f>IF(A100&lt;='Inputs'!$B$24,C99+B99,"")</x:f>
        <x:v>540690</x:v>
      </x:c>
      <x:c r="D100" s="29" t="n">
        <x:f>IF(A100&lt;='Inputs'!$B$24,'Inputs'!$B$23^A100,"")</x:f>
        <x:v>11.244465295478486</x:v>
      </x:c>
      <x:c r="E100" s="21" t="n">
        <x:f>IF(A100&lt;'Inputs'!$B$28,ROUNDUP(ROUND('Inputs'!$B$25*'Inputs'!$B$26^A100,6),0),"")</x:f>
        <x:v>467</x:v>
      </x:c>
      <x:c r="F100" s="21" t="n">
        <x:f>IF(A100&lt;='Inputs'!$B$28,F99+E99,"")</x:f>
        <x:v>11474</x:v>
      </x:c>
      <x:c r="G100" s="29" t="n">
        <x:f>IF(A100&lt;='Inputs'!$B$28,'Inputs'!$B$27^A100,"")</x:f>
        <x:v>46.694663631906046</x:v>
      </x:c>
      <x:c r="H100" s="21" t="str">
        <x:f>IF(A100&lt;'Inputs'!$B$32,ROUNDUP(ROUND('Inputs'!$B$29*'Inputs'!$B$30^A100,6),0),"")</x:f>
      </x:c>
      <x:c r="I100" s="21" t="str">
        <x:f>IF(A100&lt;='Inputs'!$B$32,I99+H99,"")</x:f>
      </x:c>
      <x:c r="J100" s="29" t="str">
        <x:f>IF(A100&lt;='Inputs'!$B$32,1+'Inputs'!$B$31*A100,"")</x:f>
      </x:c>
    </x:row>
    <x:row r="101" ht="25" customHeight="1">
      <x:c r="A101" s="19" t="n">
        <x:v>99</x:v>
      </x:c>
      <x:c r="B101" s="21" t="n">
        <x:f>IF(A101&lt;'Inputs'!$B$24,ROUNDUP(ROUND('Inputs'!$B$21*'Inputs'!$B$22^A101,6),0),"")</x:f>
        <x:v>40548</x:v>
      </x:c>
      <x:c r="C101" s="21" t="n">
        <x:f>IF(A101&lt;='Inputs'!$B$24,C100+B100,"")</x:f>
        <x:v>578585</x:v>
      </x:c>
      <x:c r="D101" s="29" t="n">
        <x:f>IF(A101&lt;='Inputs'!$B$24,'Inputs'!$B$23^A101,"")</x:f>
        <x:v>11.525576927865448</x:v>
      </x:c>
      <x:c r="E101" s="21" t="n">
        <x:f>IF(A101&lt;'Inputs'!$B$28,ROUNDUP(ROUND('Inputs'!$B$25*'Inputs'!$B$26^A101,6),0),"")</x:f>
        <x:v>486</x:v>
      </x:c>
      <x:c r="F101" s="21" t="n">
        <x:f>IF(A101&lt;='Inputs'!$B$28,F100+E100,"")</x:f>
        <x:v>11941</x:v>
      </x:c>
      <x:c r="G101" s="29" t="n">
        <x:f>IF(A101&lt;='Inputs'!$B$28,'Inputs'!$B$27^A101,"")</x:f>
        <x:v>48.56245017718229</x:v>
      </x:c>
      <x:c r="H101" s="21" t="str">
        <x:f>IF(A101&lt;'Inputs'!$B$32,ROUNDUP(ROUND('Inputs'!$B$29*'Inputs'!$B$30^A101,6),0),"")</x:f>
      </x:c>
      <x:c r="I101" s="21" t="str">
        <x:f>IF(A101&lt;='Inputs'!$B$32,I100+H100,"")</x:f>
      </x:c>
      <x:c r="J101" s="29" t="str">
        <x:f>IF(A101&lt;='Inputs'!$B$32,1+'Inputs'!$B$31*A101,"")</x:f>
      </x:c>
    </x:row>
    <x:row r="102" ht="25" customHeight="1">
      <x:c r="A102" s="19" t="n">
        <x:v>100</x:v>
      </x:c>
      <x:c r="B102" s="21" t="n">
        <x:f>IF(A102&lt;'Inputs'!$B$24,ROUNDUP(ROUND('Inputs'!$B$21*'Inputs'!$B$22^A102,6),0),"")</x:f>
        <x:v>43386</x:v>
      </x:c>
      <x:c r="C102" s="21" t="n">
        <x:f>IF(A102&lt;='Inputs'!$B$24,C101+B101,"")</x:f>
        <x:v>619133</x:v>
      </x:c>
      <x:c r="D102" s="29" t="n">
        <x:f>IF(A102&lt;='Inputs'!$B$24,'Inputs'!$B$23^A102,"")</x:f>
        <x:v>11.813716351062082</x:v>
      </x:c>
      <x:c r="E102" s="21" t="str">
        <x:f>IF(A102&lt;'Inputs'!$B$28,ROUNDUP(ROUND('Inputs'!$B$25*'Inputs'!$B$26^A102,6),0),"")</x:f>
      </x:c>
      <x:c r="F102" s="21" t="n">
        <x:f>IF(A102&lt;='Inputs'!$B$28,F101+E101,"")</x:f>
        <x:v>12427</x:v>
      </x:c>
      <x:c r="G102" s="29" t="n">
        <x:f>IF(A102&lt;='Inputs'!$B$28,'Inputs'!$B$27^A102,"")</x:f>
        <x:v>50.50494818426959</x:v>
      </x:c>
      <x:c r="H102" s="21" t="str">
        <x:f>IF(A102&lt;'Inputs'!$B$32,ROUNDUP(ROUND('Inputs'!$B$29*'Inputs'!$B$30^A102,6),0),"")</x:f>
      </x:c>
      <x:c r="I102" s="21" t="str">
        <x:f>IF(A102&lt;='Inputs'!$B$32,I101+H101,"")</x:f>
      </x:c>
      <x:c r="J102" s="29" t="str">
        <x:f>IF(A102&lt;='Inputs'!$B$32,1+'Inputs'!$B$31*A102,"")</x:f>
      </x:c>
    </x:row>
    <x:row r="103" ht="25" customHeight="1">
      <x:c r="A103" s="19" t="n">
        <x:v>101</x:v>
      </x:c>
      <x:c r="B103" s="21" t="n">
        <x:f>IF(A103&lt;'Inputs'!$B$24,ROUNDUP(ROUND('Inputs'!$B$21*'Inputs'!$B$22^A103,6),0),"")</x:f>
        <x:v>46423</x:v>
      </x:c>
      <x:c r="C103" s="21" t="n">
        <x:f>IF(A103&lt;='Inputs'!$B$24,C102+B102,"")</x:f>
        <x:v>662519</x:v>
      </x:c>
      <x:c r="D103" s="29" t="n">
        <x:f>IF(A103&lt;='Inputs'!$B$24,'Inputs'!$B$23^A103,"")</x:f>
        <x:v>12.109059259838634</x:v>
      </x:c>
      <x:c r="E103" s="21" t="str">
        <x:f>IF(A103&lt;'Inputs'!$B$28,ROUNDUP(ROUND('Inputs'!$B$25*'Inputs'!$B$26^A103,6),0),"")</x:f>
      </x:c>
      <x:c r="F103" s="21" t="str">
        <x:f>IF(A103&lt;='Inputs'!$B$28,F102+E102,"")</x:f>
      </x:c>
      <x:c r="G103" s="29" t="str">
        <x:f>IF(A103&lt;='Inputs'!$B$28,'Inputs'!$B$27^A103,"")</x:f>
      </x:c>
      <x:c r="H103" s="21" t="str">
        <x:f>IF(A103&lt;'Inputs'!$B$32,ROUNDUP(ROUND('Inputs'!$B$29*'Inputs'!$B$30^A103,6),0),"")</x:f>
      </x:c>
      <x:c r="I103" s="21" t="str">
        <x:f>IF(A103&lt;='Inputs'!$B$32,I102+H102,"")</x:f>
      </x:c>
      <x:c r="J103" s="29" t="str">
        <x:f>IF(A103&lt;='Inputs'!$B$32,1+'Inputs'!$B$31*A103,"")</x:f>
      </x:c>
    </x:row>
    <x:row r="104" ht="25" customHeight="1">
      <x:c r="A104" s="19" t="n">
        <x:v>102</x:v>
      </x:c>
      <x:c r="B104" s="21" t="n">
        <x:f>IF(A104&lt;'Inputs'!$B$24,ROUNDUP(ROUND('Inputs'!$B$21*'Inputs'!$B$22^A104,6),0),"")</x:f>
        <x:v>49673</x:v>
      </x:c>
      <x:c r="C104" s="21" t="n">
        <x:f>IF(A104&lt;='Inputs'!$B$24,C103+B103,"")</x:f>
        <x:v>708942</x:v>
      </x:c>
      <x:c r="D104" s="29" t="n">
        <x:f>IF(A104&lt;='Inputs'!$B$24,'Inputs'!$B$23^A104,"")</x:f>
        <x:v>12.411785741334599</x:v>
      </x:c>
      <x:c r="E104" s="21" t="str">
        <x:f>IF(A104&lt;'Inputs'!$B$28,ROUNDUP(ROUND('Inputs'!$B$25*'Inputs'!$B$26^A104,6),0),"")</x:f>
      </x:c>
      <x:c r="F104" s="21" t="str">
        <x:f>IF(A104&lt;='Inputs'!$B$28,F103+E103,"")</x:f>
      </x:c>
      <x:c r="G104" s="29" t="str">
        <x:f>IF(A104&lt;='Inputs'!$B$28,'Inputs'!$B$27^A104,"")</x:f>
      </x:c>
      <x:c r="H104" s="21" t="str">
        <x:f>IF(A104&lt;'Inputs'!$B$32,ROUNDUP(ROUND('Inputs'!$B$29*'Inputs'!$B$30^A104,6),0),"")</x:f>
      </x:c>
      <x:c r="I104" s="21" t="str">
        <x:f>IF(A104&lt;='Inputs'!$B$32,I103+H103,"")</x:f>
      </x:c>
      <x:c r="J104" s="29" t="str">
        <x:f>IF(A104&lt;='Inputs'!$B$32,1+'Inputs'!$B$31*A104,"")</x:f>
      </x:c>
    </x:row>
    <x:row r="105" ht="25" customHeight="1">
      <x:c r="A105" s="19" t="n">
        <x:v>103</x:v>
      </x:c>
      <x:c r="B105" s="21" t="n">
        <x:f>IF(A105&lt;'Inputs'!$B$24,ROUNDUP(ROUND('Inputs'!$B$21*'Inputs'!$B$22^A105,6),0),"")</x:f>
        <x:v>53150</x:v>
      </x:c>
      <x:c r="C105" s="21" t="n">
        <x:f>IF(A105&lt;='Inputs'!$B$24,C104+B104,"")</x:f>
        <x:v>758615</x:v>
      </x:c>
      <x:c r="D105" s="29" t="n">
        <x:f>IF(A105&lt;='Inputs'!$B$24,'Inputs'!$B$23^A105,"")</x:f>
        <x:v>12.722080384867962</x:v>
      </x:c>
      <x:c r="E105" s="21" t="str">
        <x:f>IF(A105&lt;'Inputs'!$B$28,ROUNDUP(ROUND('Inputs'!$B$25*'Inputs'!$B$26^A105,6),0),"")</x:f>
      </x:c>
      <x:c r="F105" s="21" t="str">
        <x:f>IF(A105&lt;='Inputs'!$B$28,F104+E104,"")</x:f>
      </x:c>
      <x:c r="G105" s="29" t="str">
        <x:f>IF(A105&lt;='Inputs'!$B$28,'Inputs'!$B$27^A105,"")</x:f>
      </x:c>
      <x:c r="H105" s="21" t="str">
        <x:f>IF(A105&lt;'Inputs'!$B$32,ROUNDUP(ROUND('Inputs'!$B$29*'Inputs'!$B$30^A105,6),0),"")</x:f>
      </x:c>
      <x:c r="I105" s="21" t="str">
        <x:f>IF(A105&lt;='Inputs'!$B$32,I104+H104,"")</x:f>
      </x:c>
      <x:c r="J105" s="29" t="str">
        <x:f>IF(A105&lt;='Inputs'!$B$32,1+'Inputs'!$B$31*A105,"")</x:f>
      </x:c>
    </x:row>
    <x:row r="106" ht="25" customHeight="1">
      <x:c r="A106" s="19" t="n">
        <x:v>104</x:v>
      </x:c>
      <x:c r="B106" s="21" t="n">
        <x:f>IF(A106&lt;'Inputs'!$B$24,ROUNDUP(ROUND('Inputs'!$B$21*'Inputs'!$B$22^A106,6),0),"")</x:f>
        <x:v>56870</x:v>
      </x:c>
      <x:c r="C106" s="21" t="n">
        <x:f>IF(A106&lt;='Inputs'!$B$24,C105+B105,"")</x:f>
        <x:v>811765</x:v>
      </x:c>
      <x:c r="D106" s="29" t="n">
        <x:f>IF(A106&lt;='Inputs'!$B$24,'Inputs'!$B$23^A106,"")</x:f>
        <x:v>13.04013239448966</x:v>
      </x:c>
      <x:c r="E106" s="21" t="str">
        <x:f>IF(A106&lt;'Inputs'!$B$28,ROUNDUP(ROUND('Inputs'!$B$25*'Inputs'!$B$26^A106,6),0),"")</x:f>
      </x:c>
      <x:c r="F106" s="21" t="str">
        <x:f>IF(A106&lt;='Inputs'!$B$28,F105+E105,"")</x:f>
      </x:c>
      <x:c r="G106" s="29" t="str">
        <x:f>IF(A106&lt;='Inputs'!$B$28,'Inputs'!$B$27^A106,"")</x:f>
      </x:c>
      <x:c r="H106" s="21" t="str">
        <x:f>IF(A106&lt;'Inputs'!$B$32,ROUNDUP(ROUND('Inputs'!$B$29*'Inputs'!$B$30^A106,6),0),"")</x:f>
      </x:c>
      <x:c r="I106" s="21" t="str">
        <x:f>IF(A106&lt;='Inputs'!$B$32,I105+H105,"")</x:f>
      </x:c>
      <x:c r="J106" s="29" t="str">
        <x:f>IF(A106&lt;='Inputs'!$B$32,1+'Inputs'!$B$31*A106,"")</x:f>
      </x:c>
    </x:row>
    <x:row r="107" ht="25" customHeight="1">
      <x:c r="A107" s="19" t="n">
        <x:v>105</x:v>
      </x:c>
      <x:c r="B107" s="21" t="n">
        <x:f>IF(A107&lt;'Inputs'!$B$24,ROUNDUP(ROUND('Inputs'!$B$21*'Inputs'!$B$22^A107,6),0),"")</x:f>
        <x:v>60851</x:v>
      </x:c>
      <x:c r="C107" s="21" t="n">
        <x:f>IF(A107&lt;='Inputs'!$B$24,C106+B106,"")</x:f>
        <x:v>868635</x:v>
      </x:c>
      <x:c r="D107" s="29" t="n">
        <x:f>IF(A107&lt;='Inputs'!$B$24,'Inputs'!$B$23^A107,"")</x:f>
        <x:v>13.366135704351901</x:v>
      </x:c>
      <x:c r="E107" s="21" t="str">
        <x:f>IF(A107&lt;'Inputs'!$B$28,ROUNDUP(ROUND('Inputs'!$B$25*'Inputs'!$B$26^A107,6),0),"")</x:f>
      </x:c>
      <x:c r="F107" s="21" t="str">
        <x:f>IF(A107&lt;='Inputs'!$B$28,F106+E106,"")</x:f>
      </x:c>
      <x:c r="G107" s="29" t="str">
        <x:f>IF(A107&lt;='Inputs'!$B$28,'Inputs'!$B$27^A107,"")</x:f>
      </x:c>
      <x:c r="H107" s="21" t="str">
        <x:f>IF(A107&lt;'Inputs'!$B$32,ROUNDUP(ROUND('Inputs'!$B$29*'Inputs'!$B$30^A107,6),0),"")</x:f>
      </x:c>
      <x:c r="I107" s="21" t="str">
        <x:f>IF(A107&lt;='Inputs'!$B$32,I106+H106,"")</x:f>
      </x:c>
      <x:c r="J107" s="29" t="str">
        <x:f>IF(A107&lt;='Inputs'!$B$32,1+'Inputs'!$B$31*A107,"")</x:f>
      </x:c>
    </x:row>
    <x:row r="108" ht="25" customHeight="1">
      <x:c r="A108" s="19" t="n">
        <x:v>106</x:v>
      </x:c>
      <x:c r="B108" s="21" t="n">
        <x:f>IF(A108&lt;'Inputs'!$B$24,ROUNDUP(ROUND('Inputs'!$B$21*'Inputs'!$B$22^A108,6),0),"")</x:f>
        <x:v>65111</x:v>
      </x:c>
      <x:c r="C108" s="21" t="n">
        <x:f>IF(A108&lt;='Inputs'!$B$24,C107+B107,"")</x:f>
        <x:v>929486</x:v>
      </x:c>
      <x:c r="D108" s="29" t="n">
        <x:f>IF(A108&lt;='Inputs'!$B$24,'Inputs'!$B$23^A108,"")</x:f>
        <x:v>13.700289096960697</x:v>
      </x:c>
      <x:c r="E108" s="21" t="str">
        <x:f>IF(A108&lt;'Inputs'!$B$28,ROUNDUP(ROUND('Inputs'!$B$25*'Inputs'!$B$26^A108,6),0),"")</x:f>
      </x:c>
      <x:c r="F108" s="21" t="str">
        <x:f>IF(A108&lt;='Inputs'!$B$28,F107+E107,"")</x:f>
      </x:c>
      <x:c r="G108" s="29" t="str">
        <x:f>IF(A108&lt;='Inputs'!$B$28,'Inputs'!$B$27^A108,"")</x:f>
      </x:c>
      <x:c r="H108" s="21" t="str">
        <x:f>IF(A108&lt;'Inputs'!$B$32,ROUNDUP(ROUND('Inputs'!$B$29*'Inputs'!$B$30^A108,6),0),"")</x:f>
      </x:c>
      <x:c r="I108" s="21" t="str">
        <x:f>IF(A108&lt;='Inputs'!$B$32,I107+H107,"")</x:f>
      </x:c>
      <x:c r="J108" s="29" t="str">
        <x:f>IF(A108&lt;='Inputs'!$B$32,1+'Inputs'!$B$31*A108,"")</x:f>
      </x:c>
    </x:row>
    <x:row r="109" ht="25" customHeight="1">
      <x:c r="A109" s="19" t="n">
        <x:v>107</x:v>
      </x:c>
      <x:c r="B109" s="21" t="n">
        <x:f>IF(A109&lt;'Inputs'!$B$24,ROUNDUP(ROUND('Inputs'!$B$21*'Inputs'!$B$22^A109,6),0),"")</x:f>
        <x:v>69669</x:v>
      </x:c>
      <x:c r="C109" s="21" t="n">
        <x:f>IF(A109&lt;='Inputs'!$B$24,C108+B108,"")</x:f>
        <x:v>994597</x:v>
      </x:c>
      <x:c r="D109" s="29" t="n">
        <x:f>IF(A109&lt;='Inputs'!$B$24,'Inputs'!$B$23^A109,"")</x:f>
        <x:v>14.042796324384714</x:v>
      </x:c>
      <x:c r="E109" s="21" t="str">
        <x:f>IF(A109&lt;'Inputs'!$B$28,ROUNDUP(ROUND('Inputs'!$B$25*'Inputs'!$B$26^A109,6),0),"")</x:f>
      </x:c>
      <x:c r="F109" s="21" t="str">
        <x:f>IF(A109&lt;='Inputs'!$B$28,F108+E108,"")</x:f>
      </x:c>
      <x:c r="G109" s="29" t="str">
        <x:f>IF(A109&lt;='Inputs'!$B$28,'Inputs'!$B$27^A109,"")</x:f>
      </x:c>
      <x:c r="H109" s="21" t="str">
        <x:f>IF(A109&lt;'Inputs'!$B$32,ROUNDUP(ROUND('Inputs'!$B$29*'Inputs'!$B$30^A109,6),0),"")</x:f>
      </x:c>
      <x:c r="I109" s="21" t="str">
        <x:f>IF(A109&lt;='Inputs'!$B$32,I108+H108,"")</x:f>
      </x:c>
      <x:c r="J109" s="29" t="str">
        <x:f>IF(A109&lt;='Inputs'!$B$32,1+'Inputs'!$B$31*A109,"")</x:f>
      </x:c>
    </x:row>
    <x:row r="110" ht="25" customHeight="1">
      <x:c r="A110" s="19" t="n">
        <x:v>108</x:v>
      </x:c>
      <x:c r="B110" s="21" t="n">
        <x:f>IF(A110&lt;'Inputs'!$B$24,ROUNDUP(ROUND('Inputs'!$B$21*'Inputs'!$B$22^A110,6),0),"")</x:f>
        <x:v>74545</x:v>
      </x:c>
      <x:c r="C110" s="21" t="n">
        <x:f>IF(A110&lt;='Inputs'!$B$24,C109+B109,"")</x:f>
        <x:v>1064266</x:v>
      </x:c>
      <x:c r="D110" s="29" t="n">
        <x:f>IF(A110&lt;='Inputs'!$B$24,'Inputs'!$B$23^A110,"")</x:f>
        <x:v>14.39386623249433</x:v>
      </x:c>
      <x:c r="E110" s="21" t="str">
        <x:f>IF(A110&lt;'Inputs'!$B$28,ROUNDUP(ROUND('Inputs'!$B$25*'Inputs'!$B$26^A110,6),0),"")</x:f>
      </x:c>
      <x:c r="F110" s="21" t="str">
        <x:f>IF(A110&lt;='Inputs'!$B$28,F109+E109,"")</x:f>
      </x:c>
      <x:c r="G110" s="29" t="str">
        <x:f>IF(A110&lt;='Inputs'!$B$28,'Inputs'!$B$27^A110,"")</x:f>
      </x:c>
      <x:c r="H110" s="21" t="str">
        <x:f>IF(A110&lt;'Inputs'!$B$32,ROUNDUP(ROUND('Inputs'!$B$29*'Inputs'!$B$30^A110,6),0),"")</x:f>
      </x:c>
      <x:c r="I110" s="21" t="str">
        <x:f>IF(A110&lt;='Inputs'!$B$32,I109+H109,"")</x:f>
      </x:c>
      <x:c r="J110" s="29" t="str">
        <x:f>IF(A110&lt;='Inputs'!$B$32,1+'Inputs'!$B$31*A110,"")</x:f>
      </x:c>
    </x:row>
    <x:row r="111" ht="25" customHeight="1">
      <x:c r="A111" s="19" t="n">
        <x:v>109</x:v>
      </x:c>
      <x:c r="B111" s="21" t="n">
        <x:f>IF(A111&lt;'Inputs'!$B$24,ROUNDUP(ROUND('Inputs'!$B$21*'Inputs'!$B$22^A111,6),0),"")</x:f>
        <x:v>79764</x:v>
      </x:c>
      <x:c r="C111" s="21" t="n">
        <x:f>IF(A111&lt;='Inputs'!$B$24,C110+B110,"")</x:f>
        <x:v>1138811</x:v>
      </x:c>
      <x:c r="D111" s="29" t="n">
        <x:f>IF(A111&lt;='Inputs'!$B$24,'Inputs'!$B$23^A111,"")</x:f>
        <x:v>14.753712888306687</x:v>
      </x:c>
      <x:c r="E111" s="21" t="str">
        <x:f>IF(A111&lt;'Inputs'!$B$28,ROUNDUP(ROUND('Inputs'!$B$25*'Inputs'!$B$26^A111,6),0),"")</x:f>
      </x:c>
      <x:c r="F111" s="21" t="str">
        <x:f>IF(A111&lt;='Inputs'!$B$28,F110+E110,"")</x:f>
      </x:c>
      <x:c r="G111" s="29" t="str">
        <x:f>IF(A111&lt;='Inputs'!$B$28,'Inputs'!$B$27^A111,"")</x:f>
      </x:c>
      <x:c r="H111" s="21" t="str">
        <x:f>IF(A111&lt;'Inputs'!$B$32,ROUNDUP(ROUND('Inputs'!$B$29*'Inputs'!$B$30^A111,6),0),"")</x:f>
      </x:c>
      <x:c r="I111" s="21" t="str">
        <x:f>IF(A111&lt;='Inputs'!$B$32,I110+H110,"")</x:f>
      </x:c>
      <x:c r="J111" s="29" t="str">
        <x:f>IF(A111&lt;='Inputs'!$B$32,1+'Inputs'!$B$31*A111,"")</x:f>
      </x:c>
    </x:row>
    <x:row r="112" ht="25" customHeight="1">
      <x:c r="A112" s="19" t="n">
        <x:v>110</x:v>
      </x:c>
      <x:c r="B112" s="21" t="n">
        <x:f>IF(A112&lt;'Inputs'!$B$24,ROUNDUP(ROUND('Inputs'!$B$21*'Inputs'!$B$22^A112,6),0),"")</x:f>
        <x:v>85347</x:v>
      </x:c>
      <x:c r="C112" s="21" t="n">
        <x:f>IF(A112&lt;='Inputs'!$B$24,C111+B111,"")</x:f>
        <x:v>1218575</x:v>
      </x:c>
      <x:c r="D112" s="29" t="n">
        <x:f>IF(A112&lt;='Inputs'!$B$24,'Inputs'!$B$23^A112,"")</x:f>
        <x:v>15.122555710514353</x:v>
      </x:c>
      <x:c r="E112" s="21" t="str">
        <x:f>IF(A112&lt;'Inputs'!$B$28,ROUNDUP(ROUND('Inputs'!$B$25*'Inputs'!$B$26^A112,6),0),"")</x:f>
      </x:c>
      <x:c r="F112" s="21" t="str">
        <x:f>IF(A112&lt;='Inputs'!$B$28,F111+E111,"")</x:f>
      </x:c>
      <x:c r="G112" s="29" t="str">
        <x:f>IF(A112&lt;='Inputs'!$B$28,'Inputs'!$B$27^A112,"")</x:f>
      </x:c>
      <x:c r="H112" s="21" t="str">
        <x:f>IF(A112&lt;'Inputs'!$B$32,ROUNDUP(ROUND('Inputs'!$B$29*'Inputs'!$B$30^A112,6),0),"")</x:f>
      </x:c>
      <x:c r="I112" s="21" t="str">
        <x:f>IF(A112&lt;='Inputs'!$B$32,I111+H111,"")</x:f>
      </x:c>
      <x:c r="J112" s="29" t="str">
        <x:f>IF(A112&lt;='Inputs'!$B$32,1+'Inputs'!$B$31*A112,"")</x:f>
      </x:c>
    </x:row>
    <x:row r="113" ht="25" customHeight="1">
      <x:c r="A113" s="19" t="n">
        <x:v>111</x:v>
      </x:c>
      <x:c r="B113" s="21" t="n">
        <x:f>IF(A113&lt;'Inputs'!$B$24,ROUNDUP(ROUND('Inputs'!$B$21*'Inputs'!$B$22^A113,6),0),"")</x:f>
        <x:v>91321</x:v>
      </x:c>
      <x:c r="C113" s="21" t="n">
        <x:f>IF(A113&lt;='Inputs'!$B$24,C112+B112,"")</x:f>
        <x:v>1303922</x:v>
      </x:c>
      <x:c r="D113" s="29" t="n">
        <x:f>IF(A113&lt;='Inputs'!$B$24,'Inputs'!$B$23^A113,"")</x:f>
        <x:v>15.50061960327721</x:v>
      </x:c>
      <x:c r="E113" s="21" t="str">
        <x:f>IF(A113&lt;'Inputs'!$B$28,ROUNDUP(ROUND('Inputs'!$B$25*'Inputs'!$B$26^A113,6),0),"")</x:f>
      </x:c>
      <x:c r="F113" s="21" t="str">
        <x:f>IF(A113&lt;='Inputs'!$B$28,F112+E112,"")</x:f>
      </x:c>
      <x:c r="G113" s="29" t="str">
        <x:f>IF(A113&lt;='Inputs'!$B$28,'Inputs'!$B$27^A113,"")</x:f>
      </x:c>
      <x:c r="H113" s="21" t="str">
        <x:f>IF(A113&lt;'Inputs'!$B$32,ROUNDUP(ROUND('Inputs'!$B$29*'Inputs'!$B$30^A113,6),0),"")</x:f>
      </x:c>
      <x:c r="I113" s="21" t="str">
        <x:f>IF(A113&lt;='Inputs'!$B$32,I112+H112,"")</x:f>
      </x:c>
      <x:c r="J113" s="29" t="str">
        <x:f>IF(A113&lt;='Inputs'!$B$32,1+'Inputs'!$B$31*A113,"")</x:f>
      </x:c>
    </x:row>
    <x:row r="114" ht="25" customHeight="1">
      <x:c r="A114" s="19" t="n">
        <x:v>112</x:v>
      </x:c>
      <x:c r="B114" s="21" t="n">
        <x:f>IF(A114&lt;'Inputs'!$B$24,ROUNDUP(ROUND('Inputs'!$B$21*'Inputs'!$B$22^A114,6),0),"")</x:f>
        <x:v>97714</x:v>
      </x:c>
      <x:c r="C114" s="21" t="n">
        <x:f>IF(A114&lt;='Inputs'!$B$24,C113+B113,"")</x:f>
        <x:v>1395243</x:v>
      </x:c>
      <x:c r="D114" s="29" t="n">
        <x:f>IF(A114&lt;='Inputs'!$B$24,'Inputs'!$B$23^A114,"")</x:f>
        <x:v>15.88813509335914</x:v>
      </x:c>
      <x:c r="E114" s="21" t="str">
        <x:f>IF(A114&lt;'Inputs'!$B$28,ROUNDUP(ROUND('Inputs'!$B$25*'Inputs'!$B$26^A114,6),0),"")</x:f>
      </x:c>
      <x:c r="F114" s="21" t="str">
        <x:f>IF(A114&lt;='Inputs'!$B$28,F113+E113,"")</x:f>
      </x:c>
      <x:c r="G114" s="29" t="str">
        <x:f>IF(A114&lt;='Inputs'!$B$28,'Inputs'!$B$27^A114,"")</x:f>
      </x:c>
      <x:c r="H114" s="21" t="str">
        <x:f>IF(A114&lt;'Inputs'!$B$32,ROUNDUP(ROUND('Inputs'!$B$29*'Inputs'!$B$30^A114,6),0),"")</x:f>
      </x:c>
      <x:c r="I114" s="21" t="str">
        <x:f>IF(A114&lt;='Inputs'!$B$32,I113+H113,"")</x:f>
      </x:c>
      <x:c r="J114" s="29" t="str">
        <x:f>IF(A114&lt;='Inputs'!$B$32,1+'Inputs'!$B$31*A114,"")</x:f>
      </x:c>
    </x:row>
    <x:row r="115" ht="25" customHeight="1">
      <x:c r="A115" s="19" t="n">
        <x:v>113</x:v>
      </x:c>
      <x:c r="B115" s="21" t="n">
        <x:f>IF(A115&lt;'Inputs'!$B$24,ROUNDUP(ROUND('Inputs'!$B$21*'Inputs'!$B$22^A115,6),0),"")</x:f>
        <x:v>104554</x:v>
      </x:c>
      <x:c r="C115" s="21" t="n">
        <x:f>IF(A115&lt;='Inputs'!$B$24,C114+B114,"")</x:f>
        <x:v>1492957</x:v>
      </x:c>
      <x:c r="D115" s="29" t="n">
        <x:f>IF(A115&lt;='Inputs'!$B$24,'Inputs'!$B$23^A115,"")</x:f>
        <x:v>16.285338470693116</x:v>
      </x:c>
      <x:c r="E115" s="21" t="str">
        <x:f>IF(A115&lt;'Inputs'!$B$28,ROUNDUP(ROUND('Inputs'!$B$25*'Inputs'!$B$26^A115,6),0),"")</x:f>
      </x:c>
      <x:c r="F115" s="21" t="str">
        <x:f>IF(A115&lt;='Inputs'!$B$28,F114+E114,"")</x:f>
      </x:c>
      <x:c r="G115" s="29" t="str">
        <x:f>IF(A115&lt;='Inputs'!$B$28,'Inputs'!$B$27^A115,"")</x:f>
      </x:c>
      <x:c r="H115" s="21" t="str">
        <x:f>IF(A115&lt;'Inputs'!$B$32,ROUNDUP(ROUND('Inputs'!$B$29*'Inputs'!$B$30^A115,6),0),"")</x:f>
      </x:c>
      <x:c r="I115" s="21" t="str">
        <x:f>IF(A115&lt;='Inputs'!$B$32,I114+H114,"")</x:f>
      </x:c>
      <x:c r="J115" s="29" t="str">
        <x:f>IF(A115&lt;='Inputs'!$B$32,1+'Inputs'!$B$31*A115,"")</x:f>
      </x:c>
    </x:row>
    <x:row r="116" ht="25" customHeight="1">
      <x:c r="A116" s="19" t="n">
        <x:v>114</x:v>
      </x:c>
      <x:c r="B116" s="21" t="n">
        <x:f>IF(A116&lt;'Inputs'!$B$24,ROUNDUP(ROUND('Inputs'!$B$21*'Inputs'!$B$22^A116,6),0),"")</x:f>
        <x:v>111872</x:v>
      </x:c>
      <x:c r="C116" s="21" t="n">
        <x:f>IF(A116&lt;='Inputs'!$B$24,C115+B115,"")</x:f>
        <x:v>1597511</x:v>
      </x:c>
      <x:c r="D116" s="29" t="n">
        <x:f>IF(A116&lt;='Inputs'!$B$24,'Inputs'!$B$23^A116,"")</x:f>
        <x:v>16.692471932460442</x:v>
      </x:c>
      <x:c r="E116" s="21" t="str">
        <x:f>IF(A116&lt;'Inputs'!$B$28,ROUNDUP(ROUND('Inputs'!$B$25*'Inputs'!$B$26^A116,6),0),"")</x:f>
      </x:c>
      <x:c r="F116" s="21" t="str">
        <x:f>IF(A116&lt;='Inputs'!$B$28,F115+E115,"")</x:f>
      </x:c>
      <x:c r="G116" s="29" t="str">
        <x:f>IF(A116&lt;='Inputs'!$B$28,'Inputs'!$B$27^A116,"")</x:f>
      </x:c>
      <x:c r="H116" s="21" t="str">
        <x:f>IF(A116&lt;'Inputs'!$B$32,ROUNDUP(ROUND('Inputs'!$B$29*'Inputs'!$B$30^A116,6),0),"")</x:f>
      </x:c>
      <x:c r="I116" s="21" t="str">
        <x:f>IF(A116&lt;='Inputs'!$B$32,I115+H115,"")</x:f>
      </x:c>
      <x:c r="J116" s="29" t="str">
        <x:f>IF(A116&lt;='Inputs'!$B$32,1+'Inputs'!$B$31*A116,"")</x:f>
      </x:c>
    </x:row>
    <x:row r="117" ht="25" customHeight="1">
      <x:c r="A117" s="19" t="n">
        <x:v>115</x:v>
      </x:c>
      <x:c r="B117" s="21" t="n">
        <x:f>IF(A117&lt;'Inputs'!$B$24,ROUNDUP(ROUND('Inputs'!$B$21*'Inputs'!$B$22^A117,6),0),"")</x:f>
        <x:v>119703</x:v>
      </x:c>
      <x:c r="C117" s="21" t="n">
        <x:f>IF(A117&lt;='Inputs'!$B$24,C116+B116,"")</x:f>
        <x:v>1709383</x:v>
      </x:c>
      <x:c r="D117" s="29" t="n">
        <x:f>IF(A117&lt;='Inputs'!$B$24,'Inputs'!$B$23^A117,"")</x:f>
        <x:v>17.10978373077195</x:v>
      </x:c>
      <x:c r="E117" s="21" t="str">
        <x:f>IF(A117&lt;'Inputs'!$B$28,ROUNDUP(ROUND('Inputs'!$B$25*'Inputs'!$B$26^A117,6),0),"")</x:f>
      </x:c>
      <x:c r="F117" s="21" t="str">
        <x:f>IF(A117&lt;='Inputs'!$B$28,F116+E116,"")</x:f>
      </x:c>
      <x:c r="G117" s="29" t="str">
        <x:f>IF(A117&lt;='Inputs'!$B$28,'Inputs'!$B$27^A117,"")</x:f>
      </x:c>
      <x:c r="H117" s="21" t="str">
        <x:f>IF(A117&lt;'Inputs'!$B$32,ROUNDUP(ROUND('Inputs'!$B$29*'Inputs'!$B$30^A117,6),0),"")</x:f>
      </x:c>
      <x:c r="I117" s="21" t="str">
        <x:f>IF(A117&lt;='Inputs'!$B$32,I116+H116,"")</x:f>
      </x:c>
      <x:c r="J117" s="29" t="str">
        <x:f>IF(A117&lt;='Inputs'!$B$32,1+'Inputs'!$B$31*A117,"")</x:f>
      </x:c>
    </x:row>
    <x:row r="118" ht="25" customHeight="1">
      <x:c r="A118" s="19" t="n">
        <x:v>116</x:v>
      </x:c>
      <x:c r="B118" s="21" t="n">
        <x:f>IF(A118&lt;'Inputs'!$B$24,ROUNDUP(ROUND('Inputs'!$B$21*'Inputs'!$B$22^A118,6),0),"")</x:f>
        <x:v>128083</x:v>
      </x:c>
      <x:c r="C118" s="21" t="n">
        <x:f>IF(A118&lt;='Inputs'!$B$24,C117+B117,"")</x:f>
        <x:v>1829086</x:v>
      </x:c>
      <x:c r="D118" s="29" t="n">
        <x:f>IF(A118&lt;='Inputs'!$B$24,'Inputs'!$B$23^A118,"")</x:f>
        <x:v>17.53752832404125</x:v>
      </x:c>
      <x:c r="E118" s="21" t="str">
        <x:f>IF(A118&lt;'Inputs'!$B$28,ROUNDUP(ROUND('Inputs'!$B$25*'Inputs'!$B$26^A118,6),0),"")</x:f>
      </x:c>
      <x:c r="F118" s="21" t="str">
        <x:f>IF(A118&lt;='Inputs'!$B$28,F117+E117,"")</x:f>
      </x:c>
      <x:c r="G118" s="29" t="str">
        <x:f>IF(A118&lt;='Inputs'!$B$28,'Inputs'!$B$27^A118,"")</x:f>
      </x:c>
      <x:c r="H118" s="21" t="str">
        <x:f>IF(A118&lt;'Inputs'!$B$32,ROUNDUP(ROUND('Inputs'!$B$29*'Inputs'!$B$30^A118,6),0),"")</x:f>
      </x:c>
      <x:c r="I118" s="21" t="str">
        <x:f>IF(A118&lt;='Inputs'!$B$32,I117+H117,"")</x:f>
      </x:c>
      <x:c r="J118" s="29" t="str">
        <x:f>IF(A118&lt;='Inputs'!$B$32,1+'Inputs'!$B$31*A118,"")</x:f>
      </x:c>
    </x:row>
    <x:row r="119" ht="25" customHeight="1">
      <x:c r="A119" s="19" t="n">
        <x:v>117</x:v>
      </x:c>
      <x:c r="B119" s="21" t="n">
        <x:f>IF(A119&lt;'Inputs'!$B$24,ROUNDUP(ROUND('Inputs'!$B$21*'Inputs'!$B$22^A119,6),0),"")</x:f>
        <x:v>137048</x:v>
      </x:c>
      <x:c r="C119" s="21" t="n">
        <x:f>IF(A119&lt;='Inputs'!$B$24,C118+B118,"")</x:f>
        <x:v>1957169</x:v>
      </x:c>
      <x:c r="D119" s="29" t="n">
        <x:f>IF(A119&lt;='Inputs'!$B$24,'Inputs'!$B$23^A119,"")</x:f>
        <x:v>17.97596653214228</x:v>
      </x:c>
      <x:c r="E119" s="21" t="str">
        <x:f>IF(A119&lt;'Inputs'!$B$28,ROUNDUP(ROUND('Inputs'!$B$25*'Inputs'!$B$26^A119,6),0),"")</x:f>
      </x:c>
      <x:c r="F119" s="21" t="str">
        <x:f>IF(A119&lt;='Inputs'!$B$28,F118+E118,"")</x:f>
      </x:c>
      <x:c r="G119" s="29" t="str">
        <x:f>IF(A119&lt;='Inputs'!$B$28,'Inputs'!$B$27^A119,"")</x:f>
      </x:c>
      <x:c r="H119" s="21" t="str">
        <x:f>IF(A119&lt;'Inputs'!$B$32,ROUNDUP(ROUND('Inputs'!$B$29*'Inputs'!$B$30^A119,6),0),"")</x:f>
      </x:c>
      <x:c r="I119" s="21" t="str">
        <x:f>IF(A119&lt;='Inputs'!$B$32,I118+H118,"")</x:f>
      </x:c>
      <x:c r="J119" s="29" t="str">
        <x:f>IF(A119&lt;='Inputs'!$B$32,1+'Inputs'!$B$31*A119,"")</x:f>
      </x:c>
    </x:row>
    <x:row r="120" ht="25" customHeight="1">
      <x:c r="A120" s="19" t="n">
        <x:v>118</x:v>
      </x:c>
      <x:c r="B120" s="21" t="n">
        <x:f>IF(A120&lt;'Inputs'!$B$24,ROUNDUP(ROUND('Inputs'!$B$21*'Inputs'!$B$22^A120,6),0),"")</x:f>
        <x:v>146642</x:v>
      </x:c>
      <x:c r="C120" s="21" t="n">
        <x:f>IF(A120&lt;='Inputs'!$B$24,C119+B119,"")</x:f>
        <x:v>2094217</x:v>
      </x:c>
      <x:c r="D120" s="29" t="n">
        <x:f>IF(A120&lt;='Inputs'!$B$24,'Inputs'!$B$23^A120,"")</x:f>
        <x:v>18.425365695445834</x:v>
      </x:c>
      <x:c r="E120" s="21" t="str">
        <x:f>IF(A120&lt;'Inputs'!$B$28,ROUNDUP(ROUND('Inputs'!$B$25*'Inputs'!$B$26^A120,6),0),"")</x:f>
      </x:c>
      <x:c r="F120" s="21" t="str">
        <x:f>IF(A120&lt;='Inputs'!$B$28,F119+E119,"")</x:f>
      </x:c>
      <x:c r="G120" s="29" t="str">
        <x:f>IF(A120&lt;='Inputs'!$B$28,'Inputs'!$B$27^A120,"")</x:f>
      </x:c>
      <x:c r="H120" s="21" t="str">
        <x:f>IF(A120&lt;'Inputs'!$B$32,ROUNDUP(ROUND('Inputs'!$B$29*'Inputs'!$B$30^A120,6),0),"")</x:f>
      </x:c>
      <x:c r="I120" s="21" t="str">
        <x:f>IF(A120&lt;='Inputs'!$B$32,I119+H119,"")</x:f>
      </x:c>
      <x:c r="J120" s="29" t="str">
        <x:f>IF(A120&lt;='Inputs'!$B$32,1+'Inputs'!$B$31*A120,"")</x:f>
      </x:c>
    </x:row>
    <x:row r="121" ht="25" customHeight="1">
      <x:c r="A121" s="19" t="n">
        <x:v>119</x:v>
      </x:c>
      <x:c r="B121" s="21" t="n">
        <x:f>IF(A121&lt;'Inputs'!$B$24,ROUNDUP(ROUND('Inputs'!$B$21*'Inputs'!$B$22^A121,6),0),"")</x:f>
        <x:v>156906</x:v>
      </x:c>
      <x:c r="C121" s="21" t="n">
        <x:f>IF(A121&lt;='Inputs'!$B$24,C120+B120,"")</x:f>
        <x:v>2240859</x:v>
      </x:c>
      <x:c r="D121" s="29" t="n">
        <x:f>IF(A121&lt;='Inputs'!$B$24,'Inputs'!$B$23^A121,"")</x:f>
        <x:v>18.885999837831978</x:v>
      </x:c>
      <x:c r="E121" s="21" t="str">
        <x:f>IF(A121&lt;'Inputs'!$B$28,ROUNDUP(ROUND('Inputs'!$B$25*'Inputs'!$B$26^A121,6),0),"")</x:f>
      </x:c>
      <x:c r="F121" s="21" t="str">
        <x:f>IF(A121&lt;='Inputs'!$B$28,F120+E120,"")</x:f>
      </x:c>
      <x:c r="G121" s="29" t="str">
        <x:f>IF(A121&lt;='Inputs'!$B$28,'Inputs'!$B$27^A121,"")</x:f>
      </x:c>
      <x:c r="H121" s="21" t="str">
        <x:f>IF(A121&lt;'Inputs'!$B$32,ROUNDUP(ROUND('Inputs'!$B$29*'Inputs'!$B$30^A121,6),0),"")</x:f>
      </x:c>
      <x:c r="I121" s="21" t="str">
        <x:f>IF(A121&lt;='Inputs'!$B$32,I120+H120,"")</x:f>
      </x:c>
      <x:c r="J121" s="29" t="str">
        <x:f>IF(A121&lt;='Inputs'!$B$32,1+'Inputs'!$B$31*A121,"")</x:f>
      </x:c>
    </x:row>
    <x:row r="122" ht="25" customHeight="1">
      <x:c r="A122" s="19" t="n">
        <x:v>120</x:v>
      </x:c>
      <x:c r="B122" s="21" t="n">
        <x:f>IF(A122&lt;'Inputs'!$B$24,ROUNDUP(ROUND('Inputs'!$B$21*'Inputs'!$B$22^A122,6),0),"")</x:f>
        <x:v>167890</x:v>
      </x:c>
      <x:c r="C122" s="21" t="n">
        <x:f>IF(A122&lt;='Inputs'!$B$24,C121+B121,"")</x:f>
        <x:v>2397765</x:v>
      </x:c>
      <x:c r="D122" s="29" t="n">
        <x:f>IF(A122&lt;='Inputs'!$B$24,'Inputs'!$B$23^A122,"")</x:f>
        <x:v>19.358149833777777</x:v>
      </x:c>
      <x:c r="E122" s="21" t="str">
        <x:f>IF(A122&lt;'Inputs'!$B$28,ROUNDUP(ROUND('Inputs'!$B$25*'Inputs'!$B$26^A122,6),0),"")</x:f>
      </x:c>
      <x:c r="F122" s="21" t="str">
        <x:f>IF(A122&lt;='Inputs'!$B$28,F121+E121,"")</x:f>
      </x:c>
      <x:c r="G122" s="29" t="str">
        <x:f>IF(A122&lt;='Inputs'!$B$28,'Inputs'!$B$27^A122,"")</x:f>
      </x:c>
      <x:c r="H122" s="21" t="str">
        <x:f>IF(A122&lt;'Inputs'!$B$32,ROUNDUP(ROUND('Inputs'!$B$29*'Inputs'!$B$30^A122,6),0),"")</x:f>
      </x:c>
      <x:c r="I122" s="21" t="str">
        <x:f>IF(A122&lt;='Inputs'!$B$32,I121+H121,"")</x:f>
      </x:c>
      <x:c r="J122" s="29" t="str">
        <x:f>IF(A122&lt;='Inputs'!$B$32,1+'Inputs'!$B$31*A122,"")</x:f>
      </x:c>
    </x:row>
    <x:row r="123" ht="25" customHeight="1">
      <x:c r="A123" s="19" t="n">
        <x:v>121</x:v>
      </x:c>
      <x:c r="B123" s="21" t="n">
        <x:f>IF(A123&lt;'Inputs'!$B$24,ROUNDUP(ROUND('Inputs'!$B$21*'Inputs'!$B$22^A123,6),0),"")</x:f>
        <x:v>179642</x:v>
      </x:c>
      <x:c r="C123" s="21" t="n">
        <x:f>IF(A123&lt;='Inputs'!$B$24,C122+B122,"")</x:f>
        <x:v>2565655</x:v>
      </x:c>
      <x:c r="D123" s="29" t="n">
        <x:f>IF(A123&lt;='Inputs'!$B$24,'Inputs'!$B$23^A123,"")</x:f>
        <x:v>19.84210357962222</x:v>
      </x:c>
      <x:c r="E123" s="21" t="str">
        <x:f>IF(A123&lt;'Inputs'!$B$28,ROUNDUP(ROUND('Inputs'!$B$25*'Inputs'!$B$26^A123,6),0),"")</x:f>
      </x:c>
      <x:c r="F123" s="21" t="str">
        <x:f>IF(A123&lt;='Inputs'!$B$28,F122+E122,"")</x:f>
      </x:c>
      <x:c r="G123" s="29" t="str">
        <x:f>IF(A123&lt;='Inputs'!$B$28,'Inputs'!$B$27^A123,"")</x:f>
      </x:c>
      <x:c r="H123" s="21" t="str">
        <x:f>IF(A123&lt;'Inputs'!$B$32,ROUNDUP(ROUND('Inputs'!$B$29*'Inputs'!$B$30^A123,6),0),"")</x:f>
      </x:c>
      <x:c r="I123" s="21" t="str">
        <x:f>IF(A123&lt;='Inputs'!$B$32,I122+H122,"")</x:f>
      </x:c>
      <x:c r="J123" s="29" t="str">
        <x:f>IF(A123&lt;='Inputs'!$B$32,1+'Inputs'!$B$31*A123,"")</x:f>
      </x:c>
    </x:row>
    <x:row r="124" ht="25" customHeight="1">
      <x:c r="A124" s="19" t="n">
        <x:v>122</x:v>
      </x:c>
      <x:c r="B124" s="21" t="n">
        <x:f>IF(A124&lt;'Inputs'!$B$24,ROUNDUP(ROUND('Inputs'!$B$21*'Inputs'!$B$22^A124,6),0),"")</x:f>
        <x:v>192217</x:v>
      </x:c>
      <x:c r="C124" s="21" t="n">
        <x:f>IF(A124&lt;='Inputs'!$B$24,C123+B123,"")</x:f>
        <x:v>2745297</x:v>
      </x:c>
      <x:c r="D124" s="29" t="n">
        <x:f>IF(A124&lt;='Inputs'!$B$24,'Inputs'!$B$23^A124,"")</x:f>
        <x:v>20.33815616911277</x:v>
      </x:c>
      <x:c r="E124" s="21" t="str">
        <x:f>IF(A124&lt;'Inputs'!$B$28,ROUNDUP(ROUND('Inputs'!$B$25*'Inputs'!$B$26^A124,6),0),"")</x:f>
      </x:c>
      <x:c r="F124" s="21" t="str">
        <x:f>IF(A124&lt;='Inputs'!$B$28,F123+E123,"")</x:f>
      </x:c>
      <x:c r="G124" s="29" t="str">
        <x:f>IF(A124&lt;='Inputs'!$B$28,'Inputs'!$B$27^A124,"")</x:f>
      </x:c>
      <x:c r="H124" s="21" t="str">
        <x:f>IF(A124&lt;'Inputs'!$B$32,ROUNDUP(ROUND('Inputs'!$B$29*'Inputs'!$B$30^A124,6),0),"")</x:f>
      </x:c>
      <x:c r="I124" s="21" t="str">
        <x:f>IF(A124&lt;='Inputs'!$B$32,I123+H123,"")</x:f>
      </x:c>
      <x:c r="J124" s="29" t="str">
        <x:f>IF(A124&lt;='Inputs'!$B$32,1+'Inputs'!$B$31*A124,"")</x:f>
      </x:c>
    </x:row>
    <x:row r="125" ht="25" customHeight="1">
      <x:c r="A125" s="19" t="n">
        <x:v>123</x:v>
      </x:c>
      <x:c r="B125" s="21" t="n">
        <x:f>IF(A125&lt;'Inputs'!$B$24,ROUNDUP(ROUND('Inputs'!$B$21*'Inputs'!$B$22^A125,6),0),"")</x:f>
        <x:v>205672</x:v>
      </x:c>
      <x:c r="C125" s="21" t="n">
        <x:f>IF(A125&lt;='Inputs'!$B$24,C124+B124,"")</x:f>
        <x:v>2937514</x:v>
      </x:c>
      <x:c r="D125" s="29" t="n">
        <x:f>IF(A125&lt;='Inputs'!$B$24,'Inputs'!$B$23^A125,"")</x:f>
        <x:v>20.84661007334059</x:v>
      </x:c>
      <x:c r="E125" s="21" t="str">
        <x:f>IF(A125&lt;'Inputs'!$B$28,ROUNDUP(ROUND('Inputs'!$B$25*'Inputs'!$B$26^A125,6),0),"")</x:f>
      </x:c>
      <x:c r="F125" s="21" t="str">
        <x:f>IF(A125&lt;='Inputs'!$B$28,F124+E124,"")</x:f>
      </x:c>
      <x:c r="G125" s="29" t="str">
        <x:f>IF(A125&lt;='Inputs'!$B$28,'Inputs'!$B$27^A125,"")</x:f>
      </x:c>
      <x:c r="H125" s="21" t="str">
        <x:f>IF(A125&lt;'Inputs'!$B$32,ROUNDUP(ROUND('Inputs'!$B$29*'Inputs'!$B$30^A125,6),0),"")</x:f>
      </x:c>
      <x:c r="I125" s="21" t="str">
        <x:f>IF(A125&lt;='Inputs'!$B$32,I124+H124,"")</x:f>
      </x:c>
      <x:c r="J125" s="29" t="str">
        <x:f>IF(A125&lt;='Inputs'!$B$32,1+'Inputs'!$B$31*A125,"")</x:f>
      </x:c>
    </x:row>
    <x:row r="126" ht="25" customHeight="1">
      <x:c r="A126" s="19" t="n">
        <x:v>124</x:v>
      </x:c>
      <x:c r="B126" s="21" t="n">
        <x:f>IF(A126&lt;'Inputs'!$B$24,ROUNDUP(ROUND('Inputs'!$B$21*'Inputs'!$B$22^A126,6),0),"")</x:f>
        <x:v>220069</x:v>
      </x:c>
      <x:c r="C126" s="21" t="n">
        <x:f>IF(A126&lt;='Inputs'!$B$24,C125+B125,"")</x:f>
        <x:v>3143186</x:v>
      </x:c>
      <x:c r="D126" s="29" t="n">
        <x:f>IF(A126&lt;='Inputs'!$B$24,'Inputs'!$B$23^A126,"")</x:f>
        <x:v>21.367775325174104</x:v>
      </x:c>
      <x:c r="E126" s="21" t="str">
        <x:f>IF(A126&lt;'Inputs'!$B$28,ROUNDUP(ROUND('Inputs'!$B$25*'Inputs'!$B$26^A126,6),0),"")</x:f>
      </x:c>
      <x:c r="F126" s="21" t="str">
        <x:f>IF(A126&lt;='Inputs'!$B$28,F125+E125,"")</x:f>
      </x:c>
      <x:c r="G126" s="29" t="str">
        <x:f>IF(A126&lt;='Inputs'!$B$28,'Inputs'!$B$27^A126,"")</x:f>
      </x:c>
      <x:c r="H126" s="21" t="str">
        <x:f>IF(A126&lt;'Inputs'!$B$32,ROUNDUP(ROUND('Inputs'!$B$29*'Inputs'!$B$30^A126,6),0),"")</x:f>
      </x:c>
      <x:c r="I126" s="21" t="str">
        <x:f>IF(A126&lt;='Inputs'!$B$32,I125+H125,"")</x:f>
      </x:c>
      <x:c r="J126" s="29" t="str">
        <x:f>IF(A126&lt;='Inputs'!$B$32,1+'Inputs'!$B$31*A126,"")</x:f>
      </x:c>
    </x:row>
    <x:row r="127" ht="25" customHeight="1">
      <x:c r="A127" s="19" t="n">
        <x:v>125</x:v>
      </x:c>
      <x:c r="B127" s="21" t="n">
        <x:f>IF(A127&lt;'Inputs'!$B$24,ROUNDUP(ROUND('Inputs'!$B$21*'Inputs'!$B$22^A127,6),0),"")</x:f>
        <x:v>235474</x:v>
      </x:c>
      <x:c r="C127" s="21" t="n">
        <x:f>IF(A127&lt;='Inputs'!$B$24,C126+B126,"")</x:f>
        <x:v>3363255</x:v>
      </x:c>
      <x:c r="D127" s="29" t="n">
        <x:f>IF(A127&lt;='Inputs'!$B$24,'Inputs'!$B$23^A127,"")</x:f>
        <x:v>21.901969708303454</x:v>
      </x:c>
      <x:c r="E127" s="21" t="str">
        <x:f>IF(A127&lt;'Inputs'!$B$28,ROUNDUP(ROUND('Inputs'!$B$25*'Inputs'!$B$26^A127,6),0),"")</x:f>
      </x:c>
      <x:c r="F127" s="21" t="str">
        <x:f>IF(A127&lt;='Inputs'!$B$28,F126+E126,"")</x:f>
      </x:c>
      <x:c r="G127" s="29" t="str">
        <x:f>IF(A127&lt;='Inputs'!$B$28,'Inputs'!$B$27^A127,"")</x:f>
      </x:c>
      <x:c r="H127" s="21" t="str">
        <x:f>IF(A127&lt;'Inputs'!$B$32,ROUNDUP(ROUND('Inputs'!$B$29*'Inputs'!$B$30^A127,6),0),"")</x:f>
      </x:c>
      <x:c r="I127" s="21" t="str">
        <x:f>IF(A127&lt;='Inputs'!$B$32,I126+H126,"")</x:f>
      </x:c>
      <x:c r="J127" s="29" t="str">
        <x:f>IF(A127&lt;='Inputs'!$B$32,1+'Inputs'!$B$31*A127,"")</x:f>
      </x:c>
    </x:row>
    <x:row r="128" ht="25" customHeight="1">
      <x:c r="A128" s="19" t="n">
        <x:v>126</x:v>
      </x:c>
      <x:c r="B128" s="21" t="n">
        <x:f>IF(A128&lt;'Inputs'!$B$24,ROUNDUP(ROUND('Inputs'!$B$21*'Inputs'!$B$22^A128,6),0),"")</x:f>
        <x:v>251957</x:v>
      </x:c>
      <x:c r="C128" s="21" t="n">
        <x:f>IF(A128&lt;='Inputs'!$B$24,C127+B127,"")</x:f>
        <x:v>3598729</x:v>
      </x:c>
      <x:c r="D128" s="29" t="n">
        <x:f>IF(A128&lt;='Inputs'!$B$24,'Inputs'!$B$23^A128,"")</x:f>
        <x:v>22.44951895101104</x:v>
      </x:c>
      <x:c r="E128" s="21" t="str">
        <x:f>IF(A128&lt;'Inputs'!$B$28,ROUNDUP(ROUND('Inputs'!$B$25*'Inputs'!$B$26^A128,6),0),"")</x:f>
      </x:c>
      <x:c r="F128" s="21" t="str">
        <x:f>IF(A128&lt;='Inputs'!$B$28,F127+E127,"")</x:f>
      </x:c>
      <x:c r="G128" s="29" t="str">
        <x:f>IF(A128&lt;='Inputs'!$B$28,'Inputs'!$B$27^A128,"")</x:f>
      </x:c>
      <x:c r="H128" s="21" t="str">
        <x:f>IF(A128&lt;'Inputs'!$B$32,ROUNDUP(ROUND('Inputs'!$B$29*'Inputs'!$B$30^A128,6),0),"")</x:f>
      </x:c>
      <x:c r="I128" s="21" t="str">
        <x:f>IF(A128&lt;='Inputs'!$B$32,I127+H127,"")</x:f>
      </x:c>
      <x:c r="J128" s="29" t="str">
        <x:f>IF(A128&lt;='Inputs'!$B$32,1+'Inputs'!$B$31*A128,"")</x:f>
      </x:c>
    </x:row>
    <x:row r="129" ht="25" customHeight="1">
      <x:c r="A129" s="19" t="n">
        <x:v>127</x:v>
      </x:c>
      <x:c r="B129" s="21" t="n">
        <x:f>IF(A129&lt;'Inputs'!$B$24,ROUNDUP(ROUND('Inputs'!$B$21*'Inputs'!$B$22^A129,6),0),"")</x:f>
        <x:v>269594</x:v>
      </x:c>
      <x:c r="C129" s="21" t="n">
        <x:f>IF(A129&lt;='Inputs'!$B$24,C128+B128,"")</x:f>
        <x:v>3850686</x:v>
      </x:c>
      <x:c r="D129" s="29" t="n">
        <x:f>IF(A129&lt;='Inputs'!$B$24,'Inputs'!$B$23^A129,"")</x:f>
        <x:v>23.010756924786314</x:v>
      </x:c>
      <x:c r="E129" s="21" t="str">
        <x:f>IF(A129&lt;'Inputs'!$B$28,ROUNDUP(ROUND('Inputs'!$B$25*'Inputs'!$B$26^A129,6),0),"")</x:f>
      </x:c>
      <x:c r="F129" s="21" t="str">
        <x:f>IF(A129&lt;='Inputs'!$B$28,F128+E128,"")</x:f>
      </x:c>
      <x:c r="G129" s="29" t="str">
        <x:f>IF(A129&lt;='Inputs'!$B$28,'Inputs'!$B$27^A129,"")</x:f>
      </x:c>
      <x:c r="H129" s="21" t="str">
        <x:f>IF(A129&lt;'Inputs'!$B$32,ROUNDUP(ROUND('Inputs'!$B$29*'Inputs'!$B$30^A129,6),0),"")</x:f>
      </x:c>
      <x:c r="I129" s="21" t="str">
        <x:f>IF(A129&lt;='Inputs'!$B$32,I128+H128,"")</x:f>
      </x:c>
      <x:c r="J129" s="29" t="str">
        <x:f>IF(A129&lt;='Inputs'!$B$32,1+'Inputs'!$B$31*A129,"")</x:f>
      </x:c>
    </x:row>
    <x:row r="130" ht="25" customHeight="1">
      <x:c r="A130" s="19" t="n">
        <x:v>128</x:v>
      </x:c>
      <x:c r="B130" s="21" t="n">
        <x:f>IF(A130&lt;'Inputs'!$B$24,ROUNDUP(ROUND('Inputs'!$B$21*'Inputs'!$B$22^A130,6),0),"")</x:f>
        <x:v>288466</x:v>
      </x:c>
      <x:c r="C130" s="21" t="n">
        <x:f>IF(A130&lt;='Inputs'!$B$24,C129+B129,"")</x:f>
        <x:v>4120280</x:v>
      </x:c>
      <x:c r="D130" s="29" t="n">
        <x:f>IF(A130&lt;='Inputs'!$B$24,'Inputs'!$B$23^A130,"")</x:f>
        <x:v>23.58602584790597</x:v>
      </x:c>
      <x:c r="E130" s="21" t="str">
        <x:f>IF(A130&lt;'Inputs'!$B$28,ROUNDUP(ROUND('Inputs'!$B$25*'Inputs'!$B$26^A130,6),0),"")</x:f>
      </x:c>
      <x:c r="F130" s="21" t="str">
        <x:f>IF(A130&lt;='Inputs'!$B$28,F129+E129,"")</x:f>
      </x:c>
      <x:c r="G130" s="29" t="str">
        <x:f>IF(A130&lt;='Inputs'!$B$28,'Inputs'!$B$27^A130,"")</x:f>
      </x:c>
      <x:c r="H130" s="21" t="str">
        <x:f>IF(A130&lt;'Inputs'!$B$32,ROUNDUP(ROUND('Inputs'!$B$29*'Inputs'!$B$30^A130,6),0),"")</x:f>
      </x:c>
      <x:c r="I130" s="21" t="str">
        <x:f>IF(A130&lt;='Inputs'!$B$32,I129+H129,"")</x:f>
      </x:c>
      <x:c r="J130" s="29" t="str">
        <x:f>IF(A130&lt;='Inputs'!$B$32,1+'Inputs'!$B$31*A130,"")</x:f>
      </x:c>
    </x:row>
    <x:row r="131" ht="25" customHeight="1">
      <x:c r="A131" s="19" t="n">
        <x:v>129</x:v>
      </x:c>
      <x:c r="B131" s="21" t="n">
        <x:f>IF(A131&lt;'Inputs'!$B$24,ROUNDUP(ROUND('Inputs'!$B$21*'Inputs'!$B$22^A131,6),0),"")</x:f>
        <x:v>308658</x:v>
      </x:c>
      <x:c r="C131" s="21" t="n">
        <x:f>IF(A131&lt;='Inputs'!$B$24,C130+B130,"")</x:f>
        <x:v>4408746</x:v>
      </x:c>
      <x:c r="D131" s="29" t="n">
        <x:f>IF(A131&lt;='Inputs'!$B$24,'Inputs'!$B$23^A131,"")</x:f>
        <x:v>24.175676494103616</x:v>
      </x:c>
      <x:c r="E131" s="21" t="str">
        <x:f>IF(A131&lt;'Inputs'!$B$28,ROUNDUP(ROUND('Inputs'!$B$25*'Inputs'!$B$26^A131,6),0),"")</x:f>
      </x:c>
      <x:c r="F131" s="21" t="str">
        <x:f>IF(A131&lt;='Inputs'!$B$28,F130+E130,"")</x:f>
      </x:c>
      <x:c r="G131" s="29" t="str">
        <x:f>IF(A131&lt;='Inputs'!$B$28,'Inputs'!$B$27^A131,"")</x:f>
      </x:c>
      <x:c r="H131" s="21" t="str">
        <x:f>IF(A131&lt;'Inputs'!$B$32,ROUNDUP(ROUND('Inputs'!$B$29*'Inputs'!$B$30^A131,6),0),"")</x:f>
      </x:c>
      <x:c r="I131" s="21" t="str">
        <x:f>IF(A131&lt;='Inputs'!$B$32,I130+H130,"")</x:f>
      </x:c>
      <x:c r="J131" s="29" t="str">
        <x:f>IF(A131&lt;='Inputs'!$B$32,1+'Inputs'!$B$31*A131,"")</x:f>
      </x:c>
    </x:row>
    <x:row r="132" ht="25" customHeight="1">
      <x:c r="A132" s="19" t="n">
        <x:v>130</x:v>
      </x:c>
      <x:c r="B132" s="21" t="n">
        <x:f>IF(A132&lt;'Inputs'!$B$24,ROUNDUP(ROUND('Inputs'!$B$21*'Inputs'!$B$22^A132,6),0),"")</x:f>
        <x:v>330264</x:v>
      </x:c>
      <x:c r="C132" s="21" t="n">
        <x:f>IF(A132&lt;='Inputs'!$B$24,C131+B131,"")</x:f>
        <x:v>4717404</x:v>
      </x:c>
      <x:c r="D132" s="29" t="n">
        <x:f>IF(A132&lt;='Inputs'!$B$24,'Inputs'!$B$23^A132,"")</x:f>
        <x:v>24.780068406456202</x:v>
      </x:c>
      <x:c r="E132" s="21" t="str">
        <x:f>IF(A132&lt;'Inputs'!$B$28,ROUNDUP(ROUND('Inputs'!$B$25*'Inputs'!$B$26^A132,6),0),"")</x:f>
      </x:c>
      <x:c r="F132" s="21" t="str">
        <x:f>IF(A132&lt;='Inputs'!$B$28,F131+E131,"")</x:f>
      </x:c>
      <x:c r="G132" s="29" t="str">
        <x:f>IF(A132&lt;='Inputs'!$B$28,'Inputs'!$B$27^A132,"")</x:f>
      </x:c>
      <x:c r="H132" s="21" t="str">
        <x:f>IF(A132&lt;'Inputs'!$B$32,ROUNDUP(ROUND('Inputs'!$B$29*'Inputs'!$B$30^A132,6),0),"")</x:f>
      </x:c>
      <x:c r="I132" s="21" t="str">
        <x:f>IF(A132&lt;='Inputs'!$B$32,I131+H131,"")</x:f>
      </x:c>
      <x:c r="J132" s="29" t="str">
        <x:f>IF(A132&lt;='Inputs'!$B$32,1+'Inputs'!$B$31*A132,"")</x:f>
      </x:c>
    </x:row>
    <x:row r="133" ht="25" customHeight="1">
      <x:c r="A133" s="19" t="n">
        <x:v>131</x:v>
      </x:c>
      <x:c r="B133" s="21" t="n">
        <x:f>IF(A133&lt;'Inputs'!$B$24,ROUNDUP(ROUND('Inputs'!$B$21*'Inputs'!$B$22^A133,6),0),"")</x:f>
        <x:v>353383</x:v>
      </x:c>
      <x:c r="C133" s="21" t="n">
        <x:f>IF(A133&lt;='Inputs'!$B$24,C132+B132,"")</x:f>
        <x:v>5047668</x:v>
      </x:c>
      <x:c r="D133" s="29" t="n">
        <x:f>IF(A133&lt;='Inputs'!$B$24,'Inputs'!$B$23^A133,"")</x:f>
        <x:v>25.399570116617607</x:v>
      </x:c>
      <x:c r="E133" s="21" t="str">
        <x:f>IF(A133&lt;'Inputs'!$B$28,ROUNDUP(ROUND('Inputs'!$B$25*'Inputs'!$B$26^A133,6),0),"")</x:f>
      </x:c>
      <x:c r="F133" s="21" t="str">
        <x:f>IF(A133&lt;='Inputs'!$B$28,F132+E132,"")</x:f>
      </x:c>
      <x:c r="G133" s="29" t="str">
        <x:f>IF(A133&lt;='Inputs'!$B$28,'Inputs'!$B$27^A133,"")</x:f>
      </x:c>
      <x:c r="H133" s="21" t="str">
        <x:f>IF(A133&lt;'Inputs'!$B$32,ROUNDUP(ROUND('Inputs'!$B$29*'Inputs'!$B$30^A133,6),0),"")</x:f>
      </x:c>
      <x:c r="I133" s="21" t="str">
        <x:f>IF(A133&lt;='Inputs'!$B$32,I132+H132,"")</x:f>
      </x:c>
      <x:c r="J133" s="29" t="str">
        <x:f>IF(A133&lt;='Inputs'!$B$32,1+'Inputs'!$B$31*A133,"")</x:f>
      </x:c>
    </x:row>
    <x:row r="134" ht="25" customHeight="1">
      <x:c r="A134" s="19" t="n">
        <x:v>132</x:v>
      </x:c>
      <x:c r="B134" s="21" t="n">
        <x:f>IF(A134&lt;'Inputs'!$B$24,ROUNDUP(ROUND('Inputs'!$B$21*'Inputs'!$B$22^A134,6),0),"")</x:f>
        <x:v>378120</x:v>
      </x:c>
      <x:c r="C134" s="21" t="n">
        <x:f>IF(A134&lt;='Inputs'!$B$24,C133+B133,"")</x:f>
        <x:v>5401051</x:v>
      </x:c>
      <x:c r="D134" s="29" t="n">
        <x:f>IF(A134&lt;='Inputs'!$B$24,'Inputs'!$B$23^A134,"")</x:f>
        <x:v>26.034559369533046</x:v>
      </x:c>
      <x:c r="E134" s="21" t="str">
        <x:f>IF(A134&lt;'Inputs'!$B$28,ROUNDUP(ROUND('Inputs'!$B$25*'Inputs'!$B$26^A134,6),0),"")</x:f>
      </x:c>
      <x:c r="F134" s="21" t="str">
        <x:f>IF(A134&lt;='Inputs'!$B$28,F133+E133,"")</x:f>
      </x:c>
      <x:c r="G134" s="29" t="str">
        <x:f>IF(A134&lt;='Inputs'!$B$28,'Inputs'!$B$27^A134,"")</x:f>
      </x:c>
      <x:c r="H134" s="21" t="str">
        <x:f>IF(A134&lt;'Inputs'!$B$32,ROUNDUP(ROUND('Inputs'!$B$29*'Inputs'!$B$30^A134,6),0),"")</x:f>
      </x:c>
      <x:c r="I134" s="21" t="str">
        <x:f>IF(A134&lt;='Inputs'!$B$32,I133+H133,"")</x:f>
      </x:c>
      <x:c r="J134" s="29" t="str">
        <x:f>IF(A134&lt;='Inputs'!$B$32,1+'Inputs'!$B$31*A134,"")</x:f>
      </x:c>
    </x:row>
    <x:row r="135" ht="25" customHeight="1">
      <x:c r="A135" s="19" t="n">
        <x:v>133</x:v>
      </x:c>
      <x:c r="B135" s="21" t="n">
        <x:f>IF(A135&lt;'Inputs'!$B$24,ROUNDUP(ROUND('Inputs'!$B$21*'Inputs'!$B$22^A135,6),0),"")</x:f>
        <x:v>404588</x:v>
      </x:c>
      <x:c r="C135" s="21" t="n">
        <x:f>IF(A135&lt;='Inputs'!$B$24,C134+B134,"")</x:f>
        <x:v>5779171</x:v>
      </x:c>
      <x:c r="D135" s="29" t="n">
        <x:f>IF(A135&lt;='Inputs'!$B$24,'Inputs'!$B$23^A135,"")</x:f>
        <x:v>26.68542335377137</x:v>
      </x:c>
      <x:c r="E135" s="21" t="str">
        <x:f>IF(A135&lt;'Inputs'!$B$28,ROUNDUP(ROUND('Inputs'!$B$25*'Inputs'!$B$26^A135,6),0),"")</x:f>
      </x:c>
      <x:c r="F135" s="21" t="str">
        <x:f>IF(A135&lt;='Inputs'!$B$28,F134+E134,"")</x:f>
      </x:c>
      <x:c r="G135" s="29" t="str">
        <x:f>IF(A135&lt;='Inputs'!$B$28,'Inputs'!$B$27^A135,"")</x:f>
      </x:c>
      <x:c r="H135" s="21" t="str">
        <x:f>IF(A135&lt;'Inputs'!$B$32,ROUNDUP(ROUND('Inputs'!$B$29*'Inputs'!$B$30^A135,6),0),"")</x:f>
      </x:c>
      <x:c r="I135" s="21" t="str">
        <x:f>IF(A135&lt;='Inputs'!$B$32,I134+H134,"")</x:f>
      </x:c>
      <x:c r="J135" s="29" t="str">
        <x:f>IF(A135&lt;='Inputs'!$B$32,1+'Inputs'!$B$31*A135,"")</x:f>
      </x:c>
    </x:row>
    <x:row r="136" ht="25" customHeight="1">
      <x:c r="A136" s="19" t="n">
        <x:v>134</x:v>
      </x:c>
      <x:c r="B136" s="21" t="n">
        <x:f>IF(A136&lt;'Inputs'!$B$24,ROUNDUP(ROUND('Inputs'!$B$21*'Inputs'!$B$22^A136,6),0),"")</x:f>
        <x:v>432909</x:v>
      </x:c>
      <x:c r="C136" s="21" t="n">
        <x:f>IF(A136&lt;='Inputs'!$B$24,C135+B135,"")</x:f>
        <x:v>6183759</x:v>
      </x:c>
      <x:c r="D136" s="29" t="n">
        <x:f>IF(A136&lt;='Inputs'!$B$24,'Inputs'!$B$23^A136,"")</x:f>
        <x:v>27.35255893761565</x:v>
      </x:c>
      <x:c r="E136" s="21" t="str">
        <x:f>IF(A136&lt;'Inputs'!$B$28,ROUNDUP(ROUND('Inputs'!$B$25*'Inputs'!$B$26^A136,6),0),"")</x:f>
      </x:c>
      <x:c r="F136" s="21" t="str">
        <x:f>IF(A136&lt;='Inputs'!$B$28,F135+E135,"")</x:f>
      </x:c>
      <x:c r="G136" s="29" t="str">
        <x:f>IF(A136&lt;='Inputs'!$B$28,'Inputs'!$B$27^A136,"")</x:f>
      </x:c>
      <x:c r="H136" s="21" t="str">
        <x:f>IF(A136&lt;'Inputs'!$B$32,ROUNDUP(ROUND('Inputs'!$B$29*'Inputs'!$B$30^A136,6),0),"")</x:f>
      </x:c>
      <x:c r="I136" s="21" t="str">
        <x:f>IF(A136&lt;='Inputs'!$B$32,I135+H135,"")</x:f>
      </x:c>
      <x:c r="J136" s="29" t="str">
        <x:f>IF(A136&lt;='Inputs'!$B$32,1+'Inputs'!$B$31*A136,"")</x:f>
      </x:c>
    </x:row>
    <x:row r="137" ht="25" customHeight="1">
      <x:c r="A137" s="19" t="n">
        <x:v>135</x:v>
      </x:c>
      <x:c r="B137" s="21" t="n">
        <x:f>IF(A137&lt;'Inputs'!$B$24,ROUNDUP(ROUND('Inputs'!$B$21*'Inputs'!$B$22^A137,6),0),"")</x:f>
        <x:v>463213</x:v>
      </x:c>
      <x:c r="C137" s="21" t="n">
        <x:f>IF(A137&lt;='Inputs'!$B$24,C136+B136,"")</x:f>
        <x:v>6616668</x:v>
      </x:c>
      <x:c r="D137" s="29" t="n">
        <x:f>IF(A137&lt;='Inputs'!$B$24,'Inputs'!$B$23^A137,"")</x:f>
        <x:v>28.036372911056038</x:v>
      </x:c>
      <x:c r="E137" s="21" t="str">
        <x:f>IF(A137&lt;'Inputs'!$B$28,ROUNDUP(ROUND('Inputs'!$B$25*'Inputs'!$B$26^A137,6),0),"")</x:f>
      </x:c>
      <x:c r="F137" s="21" t="str">
        <x:f>IF(A137&lt;='Inputs'!$B$28,F136+E136,"")</x:f>
      </x:c>
      <x:c r="G137" s="29" t="str">
        <x:f>IF(A137&lt;='Inputs'!$B$28,'Inputs'!$B$27^A137,"")</x:f>
      </x:c>
      <x:c r="H137" s="21" t="str">
        <x:f>IF(A137&lt;'Inputs'!$B$32,ROUNDUP(ROUND('Inputs'!$B$29*'Inputs'!$B$30^A137,6),0),"")</x:f>
      </x:c>
      <x:c r="I137" s="21" t="str">
        <x:f>IF(A137&lt;='Inputs'!$B$32,I136+H136,"")</x:f>
      </x:c>
      <x:c r="J137" s="29" t="str">
        <x:f>IF(A137&lt;='Inputs'!$B$32,1+'Inputs'!$B$31*A137,"")</x:f>
      </x:c>
    </x:row>
    <x:row r="138" ht="25" customHeight="1">
      <x:c r="A138" s="19" t="n">
        <x:v>136</x:v>
      </x:c>
      <x:c r="B138" s="21" t="n">
        <x:f>IF(A138&lt;'Inputs'!$B$24,ROUNDUP(ROUND('Inputs'!$B$21*'Inputs'!$B$22^A138,6),0),"")</x:f>
        <x:v>495638</x:v>
      </x:c>
      <x:c r="C138" s="21" t="n">
        <x:f>IF(A138&lt;='Inputs'!$B$24,C137+B137,"")</x:f>
        <x:v>7079881</x:v>
      </x:c>
      <x:c r="D138" s="29" t="n">
        <x:f>IF(A138&lt;='Inputs'!$B$24,'Inputs'!$B$23^A138,"")</x:f>
        <x:v>28.73728223383244</x:v>
      </x:c>
      <x:c r="E138" s="21" t="str">
        <x:f>IF(A138&lt;'Inputs'!$B$28,ROUNDUP(ROUND('Inputs'!$B$25*'Inputs'!$B$26^A138,6),0),"")</x:f>
      </x:c>
      <x:c r="F138" s="21" t="str">
        <x:f>IF(A138&lt;='Inputs'!$B$28,F137+E137,"")</x:f>
      </x:c>
      <x:c r="G138" s="29" t="str">
        <x:f>IF(A138&lt;='Inputs'!$B$28,'Inputs'!$B$27^A138,"")</x:f>
      </x:c>
      <x:c r="H138" s="21" t="str">
        <x:f>IF(A138&lt;'Inputs'!$B$32,ROUNDUP(ROUND('Inputs'!$B$29*'Inputs'!$B$30^A138,6),0),"")</x:f>
      </x:c>
      <x:c r="I138" s="21" t="str">
        <x:f>IF(A138&lt;='Inputs'!$B$32,I137+H137,"")</x:f>
      </x:c>
      <x:c r="J138" s="29" t="str">
        <x:f>IF(A138&lt;='Inputs'!$B$32,1+'Inputs'!$B$31*A138,"")</x:f>
      </x:c>
    </x:row>
    <x:row r="139" ht="25" customHeight="1">
      <x:c r="A139" s="19" t="n">
        <x:v>137</x:v>
      </x:c>
      <x:c r="B139" s="21" t="n">
        <x:f>IF(A139&lt;'Inputs'!$B$24,ROUNDUP(ROUND('Inputs'!$B$21*'Inputs'!$B$22^A139,6),0),"")</x:f>
        <x:v>530332</x:v>
      </x:c>
      <x:c r="C139" s="21" t="n">
        <x:f>IF(A139&lt;='Inputs'!$B$24,C138+B138,"")</x:f>
        <x:v>7575519</x:v>
      </x:c>
      <x:c r="D139" s="29" t="n">
        <x:f>IF(A139&lt;='Inputs'!$B$24,'Inputs'!$B$23^A139,"")</x:f>
        <x:v>29.455714289678244</x:v>
      </x:c>
      <x:c r="E139" s="21" t="str">
        <x:f>IF(A139&lt;'Inputs'!$B$28,ROUNDUP(ROUND('Inputs'!$B$25*'Inputs'!$B$26^A139,6),0),"")</x:f>
      </x:c>
      <x:c r="F139" s="21" t="str">
        <x:f>IF(A139&lt;='Inputs'!$B$28,F138+E138,"")</x:f>
      </x:c>
      <x:c r="G139" s="29" t="str">
        <x:f>IF(A139&lt;='Inputs'!$B$28,'Inputs'!$B$27^A139,"")</x:f>
      </x:c>
      <x:c r="H139" s="21" t="str">
        <x:f>IF(A139&lt;'Inputs'!$B$32,ROUNDUP(ROUND('Inputs'!$B$29*'Inputs'!$B$30^A139,6),0),"")</x:f>
      </x:c>
      <x:c r="I139" s="21" t="str">
        <x:f>IF(A139&lt;='Inputs'!$B$32,I138+H138,"")</x:f>
      </x:c>
      <x:c r="J139" s="29" t="str">
        <x:f>IF(A139&lt;='Inputs'!$B$32,1+'Inputs'!$B$31*A139,"")</x:f>
      </x:c>
    </x:row>
    <x:row r="140" ht="25" customHeight="1">
      <x:c r="A140" s="19" t="n">
        <x:v>138</x:v>
      </x:c>
      <x:c r="B140" s="21" t="n">
        <x:f>IF(A140&lt;'Inputs'!$B$24,ROUNDUP(ROUND('Inputs'!$B$21*'Inputs'!$B$22^A140,6),0),"")</x:f>
        <x:v>567455</x:v>
      </x:c>
      <x:c r="C140" s="21" t="n">
        <x:f>IF(A140&lt;='Inputs'!$B$24,C139+B139,"")</x:f>
        <x:v>8105851</x:v>
      </x:c>
      <x:c r="D140" s="29" t="n">
        <x:f>IF(A140&lt;='Inputs'!$B$24,'Inputs'!$B$23^A140,"")</x:f>
        <x:v>30.1921071469202</x:v>
      </x:c>
      <x:c r="E140" s="21" t="str">
        <x:f>IF(A140&lt;'Inputs'!$B$28,ROUNDUP(ROUND('Inputs'!$B$25*'Inputs'!$B$26^A140,6),0),"")</x:f>
      </x:c>
      <x:c r="F140" s="21" t="str">
        <x:f>IF(A140&lt;='Inputs'!$B$28,F139+E139,"")</x:f>
      </x:c>
      <x:c r="G140" s="29" t="str">
        <x:f>IF(A140&lt;='Inputs'!$B$28,'Inputs'!$B$27^A140,"")</x:f>
      </x:c>
      <x:c r="H140" s="21" t="str">
        <x:f>IF(A140&lt;'Inputs'!$B$32,ROUNDUP(ROUND('Inputs'!$B$29*'Inputs'!$B$30^A140,6),0),"")</x:f>
      </x:c>
      <x:c r="I140" s="21" t="str">
        <x:f>IF(A140&lt;='Inputs'!$B$32,I139+H139,"")</x:f>
      </x:c>
      <x:c r="J140" s="29" t="str">
        <x:f>IF(A140&lt;='Inputs'!$B$32,1+'Inputs'!$B$31*A140,"")</x:f>
      </x:c>
    </x:row>
    <x:row r="141" ht="25" customHeight="1">
      <x:c r="A141" s="19" t="n">
        <x:v>139</x:v>
      </x:c>
      <x:c r="B141" s="21" t="n">
        <x:f>IF(A141&lt;'Inputs'!$B$24,ROUNDUP(ROUND('Inputs'!$B$21*'Inputs'!$B$22^A141,6),0),"")</x:f>
        <x:v>607177</x:v>
      </x:c>
      <x:c r="C141" s="21" t="n">
        <x:f>IF(A141&lt;='Inputs'!$B$24,C140+B140,"")</x:f>
        <x:v>8673306</x:v>
      </x:c>
      <x:c r="D141" s="29" t="n">
        <x:f>IF(A141&lt;='Inputs'!$B$24,'Inputs'!$B$23^A141,"")</x:f>
        <x:v>30.946909825593202</x:v>
      </x:c>
      <x:c r="E141" s="21" t="str">
        <x:f>IF(A141&lt;'Inputs'!$B$28,ROUNDUP(ROUND('Inputs'!$B$25*'Inputs'!$B$26^A141,6),0),"")</x:f>
      </x:c>
      <x:c r="F141" s="21" t="str">
        <x:f>IF(A141&lt;='Inputs'!$B$28,F140+E140,"")</x:f>
      </x:c>
      <x:c r="G141" s="29" t="str">
        <x:f>IF(A141&lt;='Inputs'!$B$28,'Inputs'!$B$27^A141,"")</x:f>
      </x:c>
      <x:c r="H141" s="21" t="str">
        <x:f>IF(A141&lt;'Inputs'!$B$32,ROUNDUP(ROUND('Inputs'!$B$29*'Inputs'!$B$30^A141,6),0),"")</x:f>
      </x:c>
      <x:c r="I141" s="21" t="str">
        <x:f>IF(A141&lt;='Inputs'!$B$32,I140+H140,"")</x:f>
      </x:c>
      <x:c r="J141" s="29" t="str">
        <x:f>IF(A141&lt;='Inputs'!$B$32,1+'Inputs'!$B$31*A141,"")</x:f>
      </x:c>
    </x:row>
    <x:row r="142" ht="25" customHeight="1">
      <x:c r="A142" s="19" t="n">
        <x:v>140</x:v>
      </x:c>
      <x:c r="B142" s="21" t="n">
        <x:f>IF(A142&lt;'Inputs'!$B$24,ROUNDUP(ROUND('Inputs'!$B$21*'Inputs'!$B$22^A142,6),0),"")</x:f>
        <x:v>649680</x:v>
      </x:c>
      <x:c r="C142" s="21" t="n">
        <x:f>IF(A142&lt;='Inputs'!$B$24,C141+B141,"")</x:f>
        <x:v>9280483</x:v>
      </x:c>
      <x:c r="D142" s="29" t="n">
        <x:f>IF(A142&lt;='Inputs'!$B$24,'Inputs'!$B$23^A142,"")</x:f>
        <x:v>31.720582571233027</x:v>
      </x:c>
      <x:c r="E142" s="21" t="str">
        <x:f>IF(A142&lt;'Inputs'!$B$28,ROUNDUP(ROUND('Inputs'!$B$25*'Inputs'!$B$26^A142,6),0),"")</x:f>
      </x:c>
      <x:c r="F142" s="21" t="str">
        <x:f>IF(A142&lt;='Inputs'!$B$28,F141+E141,"")</x:f>
      </x:c>
      <x:c r="G142" s="29" t="str">
        <x:f>IF(A142&lt;='Inputs'!$B$28,'Inputs'!$B$27^A142,"")</x:f>
      </x:c>
      <x:c r="H142" s="21" t="str">
        <x:f>IF(A142&lt;'Inputs'!$B$32,ROUNDUP(ROUND('Inputs'!$B$29*'Inputs'!$B$30^A142,6),0),"")</x:f>
      </x:c>
      <x:c r="I142" s="21" t="str">
        <x:f>IF(A142&lt;='Inputs'!$B$32,I141+H141,"")</x:f>
      </x:c>
      <x:c r="J142" s="29" t="str">
        <x:f>IF(A142&lt;='Inputs'!$B$32,1+'Inputs'!$B$31*A142,"")</x:f>
      </x:c>
    </x:row>
    <x:row r="143" ht="25" customHeight="1">
      <x:c r="A143" s="19" t="n">
        <x:v>141</x:v>
      </x:c>
      <x:c r="B143" s="21" t="n">
        <x:f>IF(A143&lt;'Inputs'!$B$24,ROUNDUP(ROUND('Inputs'!$B$21*'Inputs'!$B$22^A143,6),0),"")</x:f>
        <x:v>695157</x:v>
      </x:c>
      <x:c r="C143" s="21" t="n">
        <x:f>IF(A143&lt;='Inputs'!$B$24,C142+B142,"")</x:f>
        <x:v>9930163</x:v>
      </x:c>
      <x:c r="D143" s="29" t="n">
        <x:f>IF(A143&lt;='Inputs'!$B$24,'Inputs'!$B$23^A143,"")</x:f>
        <x:v>32.51359713551385</x:v>
      </x:c>
      <x:c r="E143" s="21" t="str">
        <x:f>IF(A143&lt;'Inputs'!$B$28,ROUNDUP(ROUND('Inputs'!$B$25*'Inputs'!$B$26^A143,6),0),"")</x:f>
      </x:c>
      <x:c r="F143" s="21" t="str">
        <x:f>IF(A143&lt;='Inputs'!$B$28,F142+E142,"")</x:f>
      </x:c>
      <x:c r="G143" s="29" t="str">
        <x:f>IF(A143&lt;='Inputs'!$B$28,'Inputs'!$B$27^A143,"")</x:f>
      </x:c>
      <x:c r="H143" s="21" t="str">
        <x:f>IF(A143&lt;'Inputs'!$B$32,ROUNDUP(ROUND('Inputs'!$B$29*'Inputs'!$B$30^A143,6),0),"")</x:f>
      </x:c>
      <x:c r="I143" s="21" t="str">
        <x:f>IF(A143&lt;='Inputs'!$B$32,I142+H142,"")</x:f>
      </x:c>
      <x:c r="J143" s="29" t="str">
        <x:f>IF(A143&lt;='Inputs'!$B$32,1+'Inputs'!$B$31*A143,"")</x:f>
      </x:c>
    </x:row>
    <x:row r="144" ht="25" customHeight="1">
      <x:c r="A144" s="19" t="n">
        <x:v>142</x:v>
      </x:c>
      <x:c r="B144" s="21" t="n">
        <x:f>IF(A144&lt;'Inputs'!$B$24,ROUNDUP(ROUND('Inputs'!$B$21*'Inputs'!$B$22^A144,6),0),"")</x:f>
        <x:v>743818</x:v>
      </x:c>
      <x:c r="C144" s="21" t="n">
        <x:f>IF(A144&lt;='Inputs'!$B$24,C143+B143,"")</x:f>
        <x:v>10625320</x:v>
      </x:c>
      <x:c r="D144" s="29" t="n">
        <x:f>IF(A144&lt;='Inputs'!$B$24,'Inputs'!$B$23^A144,"")</x:f>
        <x:v>33.32643706390169</x:v>
      </x:c>
      <x:c r="E144" s="21" t="str">
        <x:f>IF(A144&lt;'Inputs'!$B$28,ROUNDUP(ROUND('Inputs'!$B$25*'Inputs'!$B$26^A144,6),0),"")</x:f>
      </x:c>
      <x:c r="F144" s="21" t="str">
        <x:f>IF(A144&lt;='Inputs'!$B$28,F143+E143,"")</x:f>
      </x:c>
      <x:c r="G144" s="29" t="str">
        <x:f>IF(A144&lt;='Inputs'!$B$28,'Inputs'!$B$27^A144,"")</x:f>
      </x:c>
      <x:c r="H144" s="21" t="str">
        <x:f>IF(A144&lt;'Inputs'!$B$32,ROUNDUP(ROUND('Inputs'!$B$29*'Inputs'!$B$30^A144,6),0),"")</x:f>
      </x:c>
      <x:c r="I144" s="21" t="str">
        <x:f>IF(A144&lt;='Inputs'!$B$32,I143+H143,"")</x:f>
      </x:c>
      <x:c r="J144" s="29" t="str">
        <x:f>IF(A144&lt;='Inputs'!$B$32,1+'Inputs'!$B$31*A144,"")</x:f>
      </x:c>
    </x:row>
    <x:row r="145" ht="25" customHeight="1">
      <x:c r="A145" s="19" t="n">
        <x:v>143</x:v>
      </x:c>
      <x:c r="B145" s="21" t="n">
        <x:f>IF(A145&lt;'Inputs'!$B$24,ROUNDUP(ROUND('Inputs'!$B$21*'Inputs'!$B$22^A145,6),0),"")</x:f>
        <x:v>795885</x:v>
      </x:c>
      <x:c r="C145" s="21" t="n">
        <x:f>IF(A145&lt;='Inputs'!$B$24,C144+B144,"")</x:f>
        <x:v>11369138</x:v>
      </x:c>
      <x:c r="D145" s="29" t="n">
        <x:f>IF(A145&lt;='Inputs'!$B$24,'Inputs'!$B$23^A145,"")</x:f>
        <x:v>34.159597990499236</x:v>
      </x:c>
      <x:c r="E145" s="21" t="str">
        <x:f>IF(A145&lt;'Inputs'!$B$28,ROUNDUP(ROUND('Inputs'!$B$25*'Inputs'!$B$26^A145,6),0),"")</x:f>
      </x:c>
      <x:c r="F145" s="21" t="str">
        <x:f>IF(A145&lt;='Inputs'!$B$28,F144+E144,"")</x:f>
      </x:c>
      <x:c r="G145" s="29" t="str">
        <x:f>IF(A145&lt;='Inputs'!$B$28,'Inputs'!$B$27^A145,"")</x:f>
      </x:c>
      <x:c r="H145" s="21" t="str">
        <x:f>IF(A145&lt;'Inputs'!$B$32,ROUNDUP(ROUND('Inputs'!$B$29*'Inputs'!$B$30^A145,6),0),"")</x:f>
      </x:c>
      <x:c r="I145" s="21" t="str">
        <x:f>IF(A145&lt;='Inputs'!$B$32,I144+H144,"")</x:f>
      </x:c>
      <x:c r="J145" s="29" t="str">
        <x:f>IF(A145&lt;='Inputs'!$B$32,1+'Inputs'!$B$31*A145,"")</x:f>
      </x:c>
    </x:row>
    <x:row r="146" ht="25" customHeight="1">
      <x:c r="A146" s="19" t="n">
        <x:v>144</x:v>
      </x:c>
      <x:c r="B146" s="21" t="n">
        <x:f>IF(A146&lt;'Inputs'!$B$24,ROUNDUP(ROUND('Inputs'!$B$21*'Inputs'!$B$22^A146,6),0),"")</x:f>
        <x:v>851597</x:v>
      </x:c>
      <x:c r="C146" s="21" t="n">
        <x:f>IF(A146&lt;='Inputs'!$B$24,C145+B145,"")</x:f>
        <x:v>12165023</x:v>
      </x:c>
      <x:c r="D146" s="29" t="n">
        <x:f>IF(A146&lt;='Inputs'!$B$24,'Inputs'!$B$23^A146,"")</x:f>
        <x:v>35.013587940261715</x:v>
      </x:c>
      <x:c r="E146" s="21" t="str">
        <x:f>IF(A146&lt;'Inputs'!$B$28,ROUNDUP(ROUND('Inputs'!$B$25*'Inputs'!$B$26^A146,6),0),"")</x:f>
      </x:c>
      <x:c r="F146" s="21" t="str">
        <x:f>IF(A146&lt;='Inputs'!$B$28,F145+E145,"")</x:f>
      </x:c>
      <x:c r="G146" s="29" t="str">
        <x:f>IF(A146&lt;='Inputs'!$B$28,'Inputs'!$B$27^A146,"")</x:f>
      </x:c>
      <x:c r="H146" s="21" t="str">
        <x:f>IF(A146&lt;'Inputs'!$B$32,ROUNDUP(ROUND('Inputs'!$B$29*'Inputs'!$B$30^A146,6),0),"")</x:f>
      </x:c>
      <x:c r="I146" s="21" t="str">
        <x:f>IF(A146&lt;='Inputs'!$B$32,I145+H145,"")</x:f>
      </x:c>
      <x:c r="J146" s="29" t="str">
        <x:f>IF(A146&lt;='Inputs'!$B$32,1+'Inputs'!$B$31*A146,"")</x:f>
      </x:c>
    </x:row>
    <x:row r="147" ht="25" customHeight="1">
      <x:c r="A147" s="19" t="n">
        <x:v>145</x:v>
      </x:c>
      <x:c r="B147" s="21" t="n">
        <x:f>IF(A147&lt;'Inputs'!$B$24,ROUNDUP(ROUND('Inputs'!$B$21*'Inputs'!$B$22^A147,6),0),"")</x:f>
        <x:v>911209</x:v>
      </x:c>
      <x:c r="C147" s="21" t="n">
        <x:f>IF(A147&lt;='Inputs'!$B$24,C146+B146,"")</x:f>
        <x:v>13016620</x:v>
      </x:c>
      <x:c r="D147" s="29" t="n">
        <x:f>IF(A147&lt;='Inputs'!$B$24,'Inputs'!$B$23^A147,"")</x:f>
        <x:v>35.88892763876825</x:v>
      </x:c>
      <x:c r="E147" s="21" t="str">
        <x:f>IF(A147&lt;'Inputs'!$B$28,ROUNDUP(ROUND('Inputs'!$B$25*'Inputs'!$B$26^A147,6),0),"")</x:f>
      </x:c>
      <x:c r="F147" s="21" t="str">
        <x:f>IF(A147&lt;='Inputs'!$B$28,F146+E146,"")</x:f>
      </x:c>
      <x:c r="G147" s="29" t="str">
        <x:f>IF(A147&lt;='Inputs'!$B$28,'Inputs'!$B$27^A147,"")</x:f>
      </x:c>
      <x:c r="H147" s="21" t="str">
        <x:f>IF(A147&lt;'Inputs'!$B$32,ROUNDUP(ROUND('Inputs'!$B$29*'Inputs'!$B$30^A147,6),0),"")</x:f>
      </x:c>
      <x:c r="I147" s="21" t="str">
        <x:f>IF(A147&lt;='Inputs'!$B$32,I146+H146,"")</x:f>
      </x:c>
      <x:c r="J147" s="29" t="str">
        <x:f>IF(A147&lt;='Inputs'!$B$32,1+'Inputs'!$B$31*A147,"")</x:f>
      </x:c>
    </x:row>
    <x:row r="148" ht="25" customHeight="1">
      <x:c r="A148" s="19" t="n">
        <x:v>146</x:v>
      </x:c>
      <x:c r="B148" s="21" t="n">
        <x:f>IF(A148&lt;'Inputs'!$B$24,ROUNDUP(ROUND('Inputs'!$B$21*'Inputs'!$B$22^A148,6),0),"")</x:f>
        <x:v>974994</x:v>
      </x:c>
      <x:c r="C148" s="21" t="n">
        <x:f>IF(A148&lt;='Inputs'!$B$24,C147+B147,"")</x:f>
        <x:v>13927829</x:v>
      </x:c>
      <x:c r="D148" s="29" t="n">
        <x:f>IF(A148&lt;='Inputs'!$B$24,'Inputs'!$B$23^A148,"")</x:f>
        <x:v>36.78615082973745</x:v>
      </x:c>
      <x:c r="E148" s="21" t="str">
        <x:f>IF(A148&lt;'Inputs'!$B$28,ROUNDUP(ROUND('Inputs'!$B$25*'Inputs'!$B$26^A148,6),0),"")</x:f>
      </x:c>
      <x:c r="F148" s="21" t="str">
        <x:f>IF(A148&lt;='Inputs'!$B$28,F147+E147,"")</x:f>
      </x:c>
      <x:c r="G148" s="29" t="str">
        <x:f>IF(A148&lt;='Inputs'!$B$28,'Inputs'!$B$27^A148,"")</x:f>
      </x:c>
      <x:c r="H148" s="21" t="str">
        <x:f>IF(A148&lt;'Inputs'!$B$32,ROUNDUP(ROUND('Inputs'!$B$29*'Inputs'!$B$30^A148,6),0),"")</x:f>
      </x:c>
      <x:c r="I148" s="21" t="str">
        <x:f>IF(A148&lt;='Inputs'!$B$32,I147+H147,"")</x:f>
      </x:c>
      <x:c r="J148" s="29" t="str">
        <x:f>IF(A148&lt;='Inputs'!$B$32,1+'Inputs'!$B$31*A148,"")</x:f>
      </x:c>
    </x:row>
    <x:row r="149" ht="25" customHeight="1">
      <x:c r="A149" s="19" t="n">
        <x:v>147</x:v>
      </x:c>
      <x:c r="B149" s="21" t="n">
        <x:f>IF(A149&lt;'Inputs'!$B$24,ROUNDUP(ROUND('Inputs'!$B$21*'Inputs'!$B$22^A149,6),0),"")</x:f>
        <x:v>1043243</x:v>
      </x:c>
      <x:c r="C149" s="21" t="n">
        <x:f>IF(A149&lt;='Inputs'!$B$24,C148+B148,"")</x:f>
        <x:v>14902823</x:v>
      </x:c>
      <x:c r="D149" s="29" t="n">
        <x:f>IF(A149&lt;='Inputs'!$B$24,'Inputs'!$B$23^A149,"")</x:f>
        <x:v>37.70580460048089</x:v>
      </x:c>
      <x:c r="E149" s="21" t="str">
        <x:f>IF(A149&lt;'Inputs'!$B$28,ROUNDUP(ROUND('Inputs'!$B$25*'Inputs'!$B$26^A149,6),0),"")</x:f>
      </x:c>
      <x:c r="F149" s="21" t="str">
        <x:f>IF(A149&lt;='Inputs'!$B$28,F148+E148,"")</x:f>
      </x:c>
      <x:c r="G149" s="29" t="str">
        <x:f>IF(A149&lt;='Inputs'!$B$28,'Inputs'!$B$27^A149,"")</x:f>
      </x:c>
      <x:c r="H149" s="21" t="str">
        <x:f>IF(A149&lt;'Inputs'!$B$32,ROUNDUP(ROUND('Inputs'!$B$29*'Inputs'!$B$30^A149,6),0),"")</x:f>
      </x:c>
      <x:c r="I149" s="21" t="str">
        <x:f>IF(A149&lt;='Inputs'!$B$32,I148+H148,"")</x:f>
      </x:c>
      <x:c r="J149" s="29" t="str">
        <x:f>IF(A149&lt;='Inputs'!$B$32,1+'Inputs'!$B$31*A149,"")</x:f>
      </x:c>
    </x:row>
    <x:row r="150" ht="25" customHeight="1">
      <x:c r="A150" s="19" t="n">
        <x:v>148</x:v>
      </x:c>
      <x:c r="B150" s="21" t="n">
        <x:f>IF(A150&lt;'Inputs'!$B$24,ROUNDUP(ROUND('Inputs'!$B$21*'Inputs'!$B$22^A150,6),0),"")</x:f>
        <x:v>1116270</x:v>
      </x:c>
      <x:c r="C150" s="21" t="n">
        <x:f>IF(A150&lt;='Inputs'!$B$24,C149+B149,"")</x:f>
        <x:v>15946066</x:v>
      </x:c>
      <x:c r="D150" s="29" t="n">
        <x:f>IF(A150&lt;='Inputs'!$B$24,'Inputs'!$B$23^A150,"")</x:f>
        <x:v>38.64844971549291</x:v>
      </x:c>
      <x:c r="E150" s="21" t="str">
        <x:f>IF(A150&lt;'Inputs'!$B$28,ROUNDUP(ROUND('Inputs'!$B$25*'Inputs'!$B$26^A150,6),0),"")</x:f>
      </x:c>
      <x:c r="F150" s="21" t="str">
        <x:f>IF(A150&lt;='Inputs'!$B$28,F149+E149,"")</x:f>
      </x:c>
      <x:c r="G150" s="29" t="str">
        <x:f>IF(A150&lt;='Inputs'!$B$28,'Inputs'!$B$27^A150,"")</x:f>
      </x:c>
      <x:c r="H150" s="21" t="str">
        <x:f>IF(A150&lt;'Inputs'!$B$32,ROUNDUP(ROUND('Inputs'!$B$29*'Inputs'!$B$30^A150,6),0),"")</x:f>
      </x:c>
      <x:c r="I150" s="21" t="str">
        <x:f>IF(A150&lt;='Inputs'!$B$32,I149+H149,"")</x:f>
      </x:c>
      <x:c r="J150" s="29" t="str">
        <x:f>IF(A150&lt;='Inputs'!$B$32,1+'Inputs'!$B$31*A150,"")</x:f>
      </x:c>
    </x:row>
    <x:row r="151" ht="25" customHeight="1">
      <x:c r="A151" s="19" t="n">
        <x:v>149</x:v>
      </x:c>
      <x:c r="B151" s="21" t="n">
        <x:f>IF(A151&lt;'Inputs'!$B$24,ROUNDUP(ROUND('Inputs'!$B$21*'Inputs'!$B$22^A151,6),0),"")</x:f>
        <x:v>1194409</x:v>
      </x:c>
      <x:c r="C151" s="21" t="n">
        <x:f>IF(A151&lt;='Inputs'!$B$24,C150+B150,"")</x:f>
        <x:v>17062336</x:v>
      </x:c>
      <x:c r="D151" s="29" t="n">
        <x:f>IF(A151&lt;='Inputs'!$B$24,'Inputs'!$B$23^A151,"")</x:f>
        <x:v>39.61466095838023</x:v>
      </x:c>
      <x:c r="E151" s="21" t="str">
        <x:f>IF(A151&lt;'Inputs'!$B$28,ROUNDUP(ROUND('Inputs'!$B$25*'Inputs'!$B$26^A151,6),0),"")</x:f>
      </x:c>
      <x:c r="F151" s="21" t="str">
        <x:f>IF(A151&lt;='Inputs'!$B$28,F150+E150,"")</x:f>
      </x:c>
      <x:c r="G151" s="29" t="str">
        <x:f>IF(A151&lt;='Inputs'!$B$28,'Inputs'!$B$27^A151,"")</x:f>
      </x:c>
      <x:c r="H151" s="21" t="str">
        <x:f>IF(A151&lt;'Inputs'!$B$32,ROUNDUP(ROUND('Inputs'!$B$29*'Inputs'!$B$30^A151,6),0),"")</x:f>
      </x:c>
      <x:c r="I151" s="21" t="str">
        <x:f>IF(A151&lt;='Inputs'!$B$32,I150+H150,"")</x:f>
      </x:c>
      <x:c r="J151" s="29" t="str">
        <x:f>IF(A151&lt;='Inputs'!$B$32,1+'Inputs'!$B$31*A151,"")</x:f>
      </x:c>
    </x:row>
    <x:row r="152" ht="25" customHeight="1">
      <x:c r="A152" s="19" t="n">
        <x:v>150</x:v>
      </x:c>
      <x:c r="B152" s="21" t="n">
        <x:f>IF(A152&lt;'Inputs'!$B$24,ROUNDUP(ROUND('Inputs'!$B$21*'Inputs'!$B$22^A152,6),0),"")</x:f>
        <x:v>1278018</x:v>
      </x:c>
      <x:c r="C152" s="21" t="n">
        <x:f>IF(A152&lt;='Inputs'!$B$24,C151+B151,"")</x:f>
        <x:v>18256745</x:v>
      </x:c>
      <x:c r="D152" s="29" t="n">
        <x:f>IF(A152&lt;='Inputs'!$B$24,'Inputs'!$B$23^A152,"")</x:f>
        <x:v>40.60502748233973</x:v>
      </x:c>
      <x:c r="E152" s="21" t="str">
        <x:f>IF(A152&lt;'Inputs'!$B$28,ROUNDUP(ROUND('Inputs'!$B$25*'Inputs'!$B$26^A152,6),0),"")</x:f>
      </x:c>
      <x:c r="F152" s="21" t="str">
        <x:f>IF(A152&lt;='Inputs'!$B$28,F151+E151,"")</x:f>
      </x:c>
      <x:c r="G152" s="29" t="str">
        <x:f>IF(A152&lt;='Inputs'!$B$28,'Inputs'!$B$27^A152,"")</x:f>
      </x:c>
      <x:c r="H152" s="21" t="str">
        <x:f>IF(A152&lt;'Inputs'!$B$32,ROUNDUP(ROUND('Inputs'!$B$29*'Inputs'!$B$30^A152,6),0),"")</x:f>
      </x:c>
      <x:c r="I152" s="21" t="str">
        <x:f>IF(A152&lt;='Inputs'!$B$32,I151+H151,"")</x:f>
      </x:c>
      <x:c r="J152" s="29" t="str">
        <x:f>IF(A152&lt;='Inputs'!$B$32,1+'Inputs'!$B$31*A152,"")</x:f>
      </x:c>
    </x:row>
    <x:row r="153" ht="25" customHeight="1">
      <x:c r="A153" s="19" t="n">
        <x:v>151</x:v>
      </x:c>
      <x:c r="B153" s="21" t="n">
        <x:f>IF(A153&lt;'Inputs'!$B$24,ROUNDUP(ROUND('Inputs'!$B$21*'Inputs'!$B$22^A153,6),0),"")</x:f>
        <x:v>1367479</x:v>
      </x:c>
      <x:c r="C153" s="21" t="n">
        <x:f>IF(A153&lt;='Inputs'!$B$24,C152+B152,"")</x:f>
        <x:v>19534763</x:v>
      </x:c>
      <x:c r="D153" s="29" t="n">
        <x:f>IF(A153&lt;='Inputs'!$B$24,'Inputs'!$B$23^A153,"")</x:f>
        <x:v>41.620153169398215</x:v>
      </x:c>
      <x:c r="E153" s="21" t="str">
        <x:f>IF(A153&lt;'Inputs'!$B$28,ROUNDUP(ROUND('Inputs'!$B$25*'Inputs'!$B$26^A153,6),0),"")</x:f>
      </x:c>
      <x:c r="F153" s="21" t="str">
        <x:f>IF(A153&lt;='Inputs'!$B$28,F152+E152,"")</x:f>
      </x:c>
      <x:c r="G153" s="29" t="str">
        <x:f>IF(A153&lt;='Inputs'!$B$28,'Inputs'!$B$27^A153,"")</x:f>
      </x:c>
      <x:c r="H153" s="21" t="str">
        <x:f>IF(A153&lt;'Inputs'!$B$32,ROUNDUP(ROUND('Inputs'!$B$29*'Inputs'!$B$30^A153,6),0),"")</x:f>
      </x:c>
      <x:c r="I153" s="21" t="str">
        <x:f>IF(A153&lt;='Inputs'!$B$32,I152+H152,"")</x:f>
      </x:c>
      <x:c r="J153" s="29" t="str">
        <x:f>IF(A153&lt;='Inputs'!$B$32,1+'Inputs'!$B$31*A153,"")</x:f>
      </x:c>
    </x:row>
    <x:row r="154" ht="25" customHeight="1">
      <x:c r="A154" s="19" t="n">
        <x:v>152</x:v>
      </x:c>
      <x:c r="B154" s="21" t="n">
        <x:f>IF(A154&lt;'Inputs'!$B$24,ROUNDUP(ROUND('Inputs'!$B$21*'Inputs'!$B$22^A154,6),0),"")</x:f>
        <x:v>1463202</x:v>
      </x:c>
      <x:c r="C154" s="21" t="n">
        <x:f>IF(A154&lt;='Inputs'!$B$24,C153+B153,"")</x:f>
        <x:v>20902242</x:v>
      </x:c>
      <x:c r="D154" s="29" t="n">
        <x:f>IF(A154&lt;='Inputs'!$B$24,'Inputs'!$B$23^A154,"")</x:f>
        <x:v>42.66065699863317</x:v>
      </x:c>
      <x:c r="E154" s="21" t="str">
        <x:f>IF(A154&lt;'Inputs'!$B$28,ROUNDUP(ROUND('Inputs'!$B$25*'Inputs'!$B$26^A154,6),0),"")</x:f>
      </x:c>
      <x:c r="F154" s="21" t="str">
        <x:f>IF(A154&lt;='Inputs'!$B$28,F153+E153,"")</x:f>
      </x:c>
      <x:c r="G154" s="29" t="str">
        <x:f>IF(A154&lt;='Inputs'!$B$28,'Inputs'!$B$27^A154,"")</x:f>
      </x:c>
      <x:c r="H154" s="21" t="str">
        <x:f>IF(A154&lt;'Inputs'!$B$32,ROUNDUP(ROUND('Inputs'!$B$29*'Inputs'!$B$30^A154,6),0),"")</x:f>
      </x:c>
      <x:c r="I154" s="21" t="str">
        <x:f>IF(A154&lt;='Inputs'!$B$32,I153+H153,"")</x:f>
      </x:c>
      <x:c r="J154" s="29" t="str">
        <x:f>IF(A154&lt;='Inputs'!$B$32,1+'Inputs'!$B$31*A154,"")</x:f>
      </x:c>
    </x:row>
    <x:row r="155" ht="25" customHeight="1">
      <x:c r="A155" s="19" t="n">
        <x:v>153</x:v>
      </x:c>
      <x:c r="B155" s="21" t="n">
        <x:f>IF(A155&lt;'Inputs'!$B$24,ROUNDUP(ROUND('Inputs'!$B$21*'Inputs'!$B$22^A155,6),0),"")</x:f>
        <x:v>1565626</x:v>
      </x:c>
      <x:c r="C155" s="21" t="n">
        <x:f>IF(A155&lt;='Inputs'!$B$24,C154+B154,"")</x:f>
        <x:v>22365444</x:v>
      </x:c>
      <x:c r="D155" s="29" t="n">
        <x:f>IF(A155&lt;='Inputs'!$B$24,'Inputs'!$B$23^A155,"")</x:f>
        <x:v>43.727173423599</x:v>
      </x:c>
      <x:c r="E155" s="21" t="str">
        <x:f>IF(A155&lt;'Inputs'!$B$28,ROUNDUP(ROUND('Inputs'!$B$25*'Inputs'!$B$26^A155,6),0),"")</x:f>
      </x:c>
      <x:c r="F155" s="21" t="str">
        <x:f>IF(A155&lt;='Inputs'!$B$28,F154+E154,"")</x:f>
      </x:c>
      <x:c r="G155" s="29" t="str">
        <x:f>IF(A155&lt;='Inputs'!$B$28,'Inputs'!$B$27^A155,"")</x:f>
      </x:c>
      <x:c r="H155" s="21" t="str">
        <x:f>IF(A155&lt;'Inputs'!$B$32,ROUNDUP(ROUND('Inputs'!$B$29*'Inputs'!$B$30^A155,6),0),"")</x:f>
      </x:c>
      <x:c r="I155" s="21" t="str">
        <x:f>IF(A155&lt;='Inputs'!$B$32,I154+H154,"")</x:f>
      </x:c>
      <x:c r="J155" s="29" t="str">
        <x:f>IF(A155&lt;='Inputs'!$B$32,1+'Inputs'!$B$31*A155,"")</x:f>
      </x:c>
    </x:row>
    <x:row r="156" ht="25" customHeight="1">
      <x:c r="A156" s="19" t="n">
        <x:v>154</x:v>
      </x:c>
      <x:c r="B156" s="21" t="n">
        <x:f>IF(A156&lt;'Inputs'!$B$24,ROUNDUP(ROUND('Inputs'!$B$21*'Inputs'!$B$22^A156,6),0),"")</x:f>
        <x:v>1675220</x:v>
      </x:c>
      <x:c r="C156" s="21" t="n">
        <x:f>IF(A156&lt;='Inputs'!$B$24,C155+B155,"")</x:f>
        <x:v>23931070</x:v>
      </x:c>
      <x:c r="D156" s="29" t="n">
        <x:f>IF(A156&lt;='Inputs'!$B$24,'Inputs'!$B$23^A156,"")</x:f>
        <x:v>44.820352759188964</x:v>
      </x:c>
      <x:c r="E156" s="21" t="str">
        <x:f>IF(A156&lt;'Inputs'!$B$28,ROUNDUP(ROUND('Inputs'!$B$25*'Inputs'!$B$26^A156,6),0),"")</x:f>
      </x:c>
      <x:c r="F156" s="21" t="str">
        <x:f>IF(A156&lt;='Inputs'!$B$28,F155+E155,"")</x:f>
      </x:c>
      <x:c r="G156" s="29" t="str">
        <x:f>IF(A156&lt;='Inputs'!$B$28,'Inputs'!$B$27^A156,"")</x:f>
      </x:c>
      <x:c r="H156" s="21" t="str">
        <x:f>IF(A156&lt;'Inputs'!$B$32,ROUNDUP(ROUND('Inputs'!$B$29*'Inputs'!$B$30^A156,6),0),"")</x:f>
      </x:c>
      <x:c r="I156" s="21" t="str">
        <x:f>IF(A156&lt;='Inputs'!$B$32,I155+H155,"")</x:f>
      </x:c>
      <x:c r="J156" s="29" t="str">
        <x:f>IF(A156&lt;='Inputs'!$B$32,1+'Inputs'!$B$31*A156,"")</x:f>
      </x:c>
    </x:row>
    <x:row r="157" ht="25" customHeight="1">
      <x:c r="A157" s="19" t="n">
        <x:v>155</x:v>
      </x:c>
      <x:c r="B157" s="21" t="n">
        <x:f>IF(A157&lt;'Inputs'!$B$24,ROUNDUP(ROUND('Inputs'!$B$21*'Inputs'!$B$22^A157,6),0),"")</x:f>
        <x:v>1792486</x:v>
      </x:c>
      <x:c r="C157" s="21" t="n">
        <x:f>IF(A157&lt;='Inputs'!$B$24,C156+B156,"")</x:f>
        <x:v>25606290</x:v>
      </x:c>
      <x:c r="D157" s="29" t="n">
        <x:f>IF(A157&lt;='Inputs'!$B$24,'Inputs'!$B$23^A157,"")</x:f>
        <x:v>45.940861578168686</x:v>
      </x:c>
      <x:c r="E157" s="21" t="str">
        <x:f>IF(A157&lt;'Inputs'!$B$28,ROUNDUP(ROUND('Inputs'!$B$25*'Inputs'!$B$26^A157,6),0),"")</x:f>
      </x:c>
      <x:c r="F157" s="21" t="str">
        <x:f>IF(A157&lt;='Inputs'!$B$28,F156+E156,"")</x:f>
      </x:c>
      <x:c r="G157" s="29" t="str">
        <x:f>IF(A157&lt;='Inputs'!$B$28,'Inputs'!$B$27^A157,"")</x:f>
      </x:c>
      <x:c r="H157" s="21" t="str">
        <x:f>IF(A157&lt;'Inputs'!$B$32,ROUNDUP(ROUND('Inputs'!$B$29*'Inputs'!$B$30^A157,6),0),"")</x:f>
      </x:c>
      <x:c r="I157" s="21" t="str">
        <x:f>IF(A157&lt;='Inputs'!$B$32,I156+H156,"")</x:f>
      </x:c>
      <x:c r="J157" s="29" t="str">
        <x:f>IF(A157&lt;='Inputs'!$B$32,1+'Inputs'!$B$31*A157,"")</x:f>
      </x:c>
    </x:row>
    <x:row r="158" ht="25" customHeight="1">
      <x:c r="A158" s="19" t="n">
        <x:v>156</x:v>
      </x:c>
      <x:c r="B158" s="21" t="n">
        <x:f>IF(A158&lt;'Inputs'!$B$24,ROUNDUP(ROUND('Inputs'!$B$21*'Inputs'!$B$22^A158,6),0),"")</x:f>
        <x:v>1917960</x:v>
      </x:c>
      <x:c r="C158" s="21" t="n">
        <x:f>IF(A158&lt;='Inputs'!$B$24,C157+B157,"")</x:f>
        <x:v>27398776</x:v>
      </x:c>
      <x:c r="D158" s="29" t="n">
        <x:f>IF(A158&lt;='Inputs'!$B$24,'Inputs'!$B$23^A158,"")</x:f>
        <x:v>47.0893831176229</x:v>
      </x:c>
      <x:c r="E158" s="21" t="str">
        <x:f>IF(A158&lt;'Inputs'!$B$28,ROUNDUP(ROUND('Inputs'!$B$25*'Inputs'!$B$26^A158,6),0),"")</x:f>
      </x:c>
      <x:c r="F158" s="21" t="str">
        <x:f>IF(A158&lt;='Inputs'!$B$28,F157+E157,"")</x:f>
      </x:c>
      <x:c r="G158" s="29" t="str">
        <x:f>IF(A158&lt;='Inputs'!$B$28,'Inputs'!$B$27^A158,"")</x:f>
      </x:c>
      <x:c r="H158" s="21" t="str">
        <x:f>IF(A158&lt;'Inputs'!$B$32,ROUNDUP(ROUND('Inputs'!$B$29*'Inputs'!$B$30^A158,6),0),"")</x:f>
      </x:c>
      <x:c r="I158" s="21" t="str">
        <x:f>IF(A158&lt;='Inputs'!$B$32,I157+H157,"")</x:f>
      </x:c>
      <x:c r="J158" s="29" t="str">
        <x:f>IF(A158&lt;='Inputs'!$B$32,1+'Inputs'!$B$31*A158,"")</x:f>
      </x:c>
    </x:row>
    <x:row r="159" ht="25" customHeight="1">
      <x:c r="A159" s="19" t="n">
        <x:v>157</x:v>
      </x:c>
      <x:c r="B159" s="21" t="n">
        <x:f>IF(A159&lt;'Inputs'!$B$24,ROUNDUP(ROUND('Inputs'!$B$21*'Inputs'!$B$22^A159,6),0),"")</x:f>
        <x:v>2052217</x:v>
      </x:c>
      <x:c r="C159" s="21" t="n">
        <x:f>IF(A159&lt;='Inputs'!$B$24,C158+B158,"")</x:f>
        <x:v>29316736</x:v>
      </x:c>
      <x:c r="D159" s="29" t="n">
        <x:f>IF(A159&lt;='Inputs'!$B$24,'Inputs'!$B$23^A159,"")</x:f>
        <x:v>48.26661769556347</x:v>
      </x:c>
      <x:c r="E159" s="21" t="str">
        <x:f>IF(A159&lt;'Inputs'!$B$28,ROUNDUP(ROUND('Inputs'!$B$25*'Inputs'!$B$26^A159,6),0),"")</x:f>
      </x:c>
      <x:c r="F159" s="21" t="str">
        <x:f>IF(A159&lt;='Inputs'!$B$28,F158+E158,"")</x:f>
      </x:c>
      <x:c r="G159" s="29" t="str">
        <x:f>IF(A159&lt;='Inputs'!$B$28,'Inputs'!$B$27^A159,"")</x:f>
      </x:c>
      <x:c r="H159" s="21" t="str">
        <x:f>IF(A159&lt;'Inputs'!$B$32,ROUNDUP(ROUND('Inputs'!$B$29*'Inputs'!$B$30^A159,6),0),"")</x:f>
      </x:c>
      <x:c r="I159" s="21" t="str">
        <x:f>IF(A159&lt;='Inputs'!$B$32,I158+H158,"")</x:f>
      </x:c>
      <x:c r="J159" s="29" t="str">
        <x:f>IF(A159&lt;='Inputs'!$B$32,1+'Inputs'!$B$31*A159,"")</x:f>
      </x:c>
    </x:row>
    <x:row r="160" ht="25" customHeight="1">
      <x:c r="A160" s="19" t="n">
        <x:v>158</x:v>
      </x:c>
      <x:c r="B160" s="21" t="n">
        <x:f>IF(A160&lt;'Inputs'!$B$24,ROUNDUP(ROUND('Inputs'!$B$21*'Inputs'!$B$22^A160,6),0),"")</x:f>
        <x:v>2195872</x:v>
      </x:c>
      <x:c r="C160" s="21" t="n">
        <x:f>IF(A160&lt;='Inputs'!$B$24,C159+B159,"")</x:f>
        <x:v>31368953</x:v>
      </x:c>
      <x:c r="D160" s="29" t="n">
        <x:f>IF(A160&lt;='Inputs'!$B$24,'Inputs'!$B$23^A160,"")</x:f>
        <x:v>49.47328313795255</x:v>
      </x:c>
      <x:c r="E160" s="21" t="str">
        <x:f>IF(A160&lt;'Inputs'!$B$28,ROUNDUP(ROUND('Inputs'!$B$25*'Inputs'!$B$26^A160,6),0),"")</x:f>
      </x:c>
      <x:c r="F160" s="21" t="str">
        <x:f>IF(A160&lt;='Inputs'!$B$28,F159+E159,"")</x:f>
      </x:c>
      <x:c r="G160" s="29" t="str">
        <x:f>IF(A160&lt;='Inputs'!$B$28,'Inputs'!$B$27^A160,"")</x:f>
      </x:c>
      <x:c r="H160" s="21" t="str">
        <x:f>IF(A160&lt;'Inputs'!$B$32,ROUNDUP(ROUND('Inputs'!$B$29*'Inputs'!$B$30^A160,6),0),"")</x:f>
      </x:c>
      <x:c r="I160" s="21" t="str">
        <x:f>IF(A160&lt;='Inputs'!$B$32,I159+H159,"")</x:f>
      </x:c>
      <x:c r="J160" s="29" t="str">
        <x:f>IF(A160&lt;='Inputs'!$B$32,1+'Inputs'!$B$31*A160,"")</x:f>
      </x:c>
    </x:row>
    <x:row r="161" ht="25" customHeight="1">
      <x:c r="A161" s="19" t="n">
        <x:v>159</x:v>
      </x:c>
      <x:c r="B161" s="21" t="n">
        <x:f>IF(A161&lt;'Inputs'!$B$24,ROUNDUP(ROUND('Inputs'!$B$21*'Inputs'!$B$22^A161,6),0),"")</x:f>
        <x:v>2349583</x:v>
      </x:c>
      <x:c r="C161" s="21" t="n">
        <x:f>IF(A161&lt;='Inputs'!$B$24,C160+B160,"")</x:f>
        <x:v>33564825</x:v>
      </x:c>
      <x:c r="D161" s="29" t="n">
        <x:f>IF(A161&lt;='Inputs'!$B$24,'Inputs'!$B$23^A161,"")</x:f>
        <x:v>50.71011521640136</x:v>
      </x:c>
      <x:c r="E161" s="21" t="str">
        <x:f>IF(A161&lt;'Inputs'!$B$28,ROUNDUP(ROUND('Inputs'!$B$25*'Inputs'!$B$26^A161,6),0),"")</x:f>
      </x:c>
      <x:c r="F161" s="21" t="str">
        <x:f>IF(A161&lt;='Inputs'!$B$28,F160+E160,"")</x:f>
      </x:c>
      <x:c r="G161" s="29" t="str">
        <x:f>IF(A161&lt;='Inputs'!$B$28,'Inputs'!$B$27^A161,"")</x:f>
      </x:c>
      <x:c r="H161" s="21" t="str">
        <x:f>IF(A161&lt;'Inputs'!$B$32,ROUNDUP(ROUND('Inputs'!$B$29*'Inputs'!$B$30^A161,6),0),"")</x:f>
      </x:c>
      <x:c r="I161" s="21" t="str">
        <x:f>IF(A161&lt;='Inputs'!$B$32,I160+H160,"")</x:f>
      </x:c>
      <x:c r="J161" s="29" t="str">
        <x:f>IF(A161&lt;='Inputs'!$B$32,1+'Inputs'!$B$31*A161,"")</x:f>
      </x:c>
    </x:row>
    <x:row r="162" ht="25" customHeight="1">
      <x:c r="A162" s="19" t="n">
        <x:v>160</x:v>
      </x:c>
      <x:c r="B162" s="21" t="n">
        <x:f>IF(A162&lt;'Inputs'!$B$24,ROUNDUP(ROUND('Inputs'!$B$21*'Inputs'!$B$22^A162,6),0),"")</x:f>
        <x:v>2514054</x:v>
      </x:c>
      <x:c r="C162" s="21" t="n">
        <x:f>IF(A162&lt;='Inputs'!$B$24,C161+B161,"")</x:f>
        <x:v>35914408</x:v>
      </x:c>
      <x:c r="D162" s="29" t="n">
        <x:f>IF(A162&lt;='Inputs'!$B$24,'Inputs'!$B$23^A162,"")</x:f>
        <x:v>51.97786809681139</x:v>
      </x:c>
      <x:c r="E162" s="21" t="str">
        <x:f>IF(A162&lt;'Inputs'!$B$28,ROUNDUP(ROUND('Inputs'!$B$25*'Inputs'!$B$26^A162,6),0),"")</x:f>
      </x:c>
      <x:c r="F162" s="21" t="str">
        <x:f>IF(A162&lt;='Inputs'!$B$28,F161+E161,"")</x:f>
      </x:c>
      <x:c r="G162" s="29" t="str">
        <x:f>IF(A162&lt;='Inputs'!$B$28,'Inputs'!$B$27^A162,"")</x:f>
      </x:c>
      <x:c r="H162" s="21" t="str">
        <x:f>IF(A162&lt;'Inputs'!$B$32,ROUNDUP(ROUND('Inputs'!$B$29*'Inputs'!$B$30^A162,6),0),"")</x:f>
      </x:c>
      <x:c r="I162" s="21" t="str">
        <x:f>IF(A162&lt;='Inputs'!$B$32,I161+H161,"")</x:f>
      </x:c>
      <x:c r="J162" s="29" t="str">
        <x:f>IF(A162&lt;='Inputs'!$B$32,1+'Inputs'!$B$31*A162,"")</x:f>
      </x:c>
    </x:row>
    <x:row r="163" ht="25" customHeight="1">
      <x:c r="A163" s="19" t="n">
        <x:v>161</x:v>
      </x:c>
      <x:c r="B163" s="21" t="n">
        <x:f>IF(A163&lt;'Inputs'!$B$24,ROUNDUP(ROUND('Inputs'!$B$21*'Inputs'!$B$22^A163,6),0),"")</x:f>
        <x:v>2690037</x:v>
      </x:c>
      <x:c r="C163" s="21" t="n">
        <x:f>IF(A163&lt;='Inputs'!$B$24,C162+B162,"")</x:f>
        <x:v>38428462</x:v>
      </x:c>
      <x:c r="D163" s="29" t="n">
        <x:f>IF(A163&lt;='Inputs'!$B$24,'Inputs'!$B$23^A163,"")</x:f>
        <x:v>53.27731479923167</x:v>
      </x:c>
      <x:c r="E163" s="21" t="str">
        <x:f>IF(A163&lt;'Inputs'!$B$28,ROUNDUP(ROUND('Inputs'!$B$25*'Inputs'!$B$26^A163,6),0),"")</x:f>
      </x:c>
      <x:c r="F163" s="21" t="str">
        <x:f>IF(A163&lt;='Inputs'!$B$28,F162+E162,"")</x:f>
      </x:c>
      <x:c r="G163" s="29" t="str">
        <x:f>IF(A163&lt;='Inputs'!$B$28,'Inputs'!$B$27^A163,"")</x:f>
      </x:c>
      <x:c r="H163" s="21" t="str">
        <x:f>IF(A163&lt;'Inputs'!$B$32,ROUNDUP(ROUND('Inputs'!$B$29*'Inputs'!$B$30^A163,6),0),"")</x:f>
      </x:c>
      <x:c r="I163" s="21" t="str">
        <x:f>IF(A163&lt;='Inputs'!$B$32,I162+H162,"")</x:f>
      </x:c>
      <x:c r="J163" s="29" t="str">
        <x:f>IF(A163&lt;='Inputs'!$B$32,1+'Inputs'!$B$31*A163,"")</x:f>
      </x:c>
    </x:row>
    <x:row r="164" ht="25" customHeight="1">
      <x:c r="A164" s="19" t="n">
        <x:v>162</x:v>
      </x:c>
      <x:c r="B164" s="21" t="n">
        <x:f>IF(A164&lt;'Inputs'!$B$24,ROUNDUP(ROUND('Inputs'!$B$21*'Inputs'!$B$22^A164,6),0),"")</x:f>
        <x:v>2878340</x:v>
      </x:c>
      <x:c r="C164" s="21" t="n">
        <x:f>IF(A164&lt;='Inputs'!$B$24,C163+B163,"")</x:f>
        <x:v>41118499</x:v>
      </x:c>
      <x:c r="D164" s="29" t="n">
        <x:f>IF(A164&lt;='Inputs'!$B$24,'Inputs'!$B$23^A164,"")</x:f>
        <x:v>54.60924766921246</x:v>
      </x:c>
      <x:c r="E164" s="21" t="str">
        <x:f>IF(A164&lt;'Inputs'!$B$28,ROUNDUP(ROUND('Inputs'!$B$25*'Inputs'!$B$26^A164,6),0),"")</x:f>
      </x:c>
      <x:c r="F164" s="21" t="str">
        <x:f>IF(A164&lt;='Inputs'!$B$28,F163+E163,"")</x:f>
      </x:c>
      <x:c r="G164" s="29" t="str">
        <x:f>IF(A164&lt;='Inputs'!$B$28,'Inputs'!$B$27^A164,"")</x:f>
      </x:c>
      <x:c r="H164" s="21" t="str">
        <x:f>IF(A164&lt;'Inputs'!$B$32,ROUNDUP(ROUND('Inputs'!$B$29*'Inputs'!$B$30^A164,6),0),"")</x:f>
      </x:c>
      <x:c r="I164" s="21" t="str">
        <x:f>IF(A164&lt;='Inputs'!$B$32,I163+H163,"")</x:f>
      </x:c>
      <x:c r="J164" s="29" t="str">
        <x:f>IF(A164&lt;='Inputs'!$B$32,1+'Inputs'!$B$31*A164,"")</x:f>
      </x:c>
    </x:row>
    <x:row r="165" ht="25" customHeight="1">
      <x:c r="A165" s="19" t="n">
        <x:v>163</x:v>
      </x:c>
      <x:c r="B165" s="21" t="n">
        <x:f>IF(A165&lt;'Inputs'!$B$24,ROUNDUP(ROUND('Inputs'!$B$21*'Inputs'!$B$22^A165,6),0),"")</x:f>
        <x:v>3079824</x:v>
      </x:c>
      <x:c r="C165" s="21" t="n">
        <x:f>IF(A165&lt;='Inputs'!$B$24,C164+B164,"")</x:f>
        <x:v>43996839</x:v>
      </x:c>
      <x:c r="D165" s="29" t="n">
        <x:f>IF(A165&lt;='Inputs'!$B$24,'Inputs'!$B$23^A165,"")</x:f>
        <x:v>55.97447886094276</x:v>
      </x:c>
      <x:c r="E165" s="21" t="str">
        <x:f>IF(A165&lt;'Inputs'!$B$28,ROUNDUP(ROUND('Inputs'!$B$25*'Inputs'!$B$26^A165,6),0),"")</x:f>
      </x:c>
      <x:c r="F165" s="21" t="str">
        <x:f>IF(A165&lt;='Inputs'!$B$28,F164+E164,"")</x:f>
      </x:c>
      <x:c r="G165" s="29" t="str">
        <x:f>IF(A165&lt;='Inputs'!$B$28,'Inputs'!$B$27^A165,"")</x:f>
      </x:c>
      <x:c r="H165" s="21" t="str">
        <x:f>IF(A165&lt;'Inputs'!$B$32,ROUNDUP(ROUND('Inputs'!$B$29*'Inputs'!$B$30^A165,6),0),"")</x:f>
      </x:c>
      <x:c r="I165" s="21" t="str">
        <x:f>IF(A165&lt;='Inputs'!$B$32,I164+H164,"")</x:f>
      </x:c>
      <x:c r="J165" s="29" t="str">
        <x:f>IF(A165&lt;='Inputs'!$B$32,1+'Inputs'!$B$31*A165,"")</x:f>
      </x:c>
    </x:row>
    <x:row r="166" ht="25" customHeight="1">
      <x:c r="A166" s="19" t="n">
        <x:v>164</x:v>
      </x:c>
      <x:c r="B166" s="21" t="n">
        <x:f>IF(A166&lt;'Inputs'!$B$24,ROUNDUP(ROUND('Inputs'!$B$21*'Inputs'!$B$22^A166,6),0),"")</x:f>
        <x:v>3295411</x:v>
      </x:c>
      <x:c r="C166" s="21" t="n">
        <x:f>IF(A166&lt;='Inputs'!$B$24,C165+B165,"")</x:f>
        <x:v>47076663</x:v>
      </x:c>
      <x:c r="D166" s="29" t="n">
        <x:f>IF(A166&lt;='Inputs'!$B$24,'Inputs'!$B$23^A166,"")</x:f>
        <x:v>57.37384083246633</x:v>
      </x:c>
      <x:c r="E166" s="21" t="str">
        <x:f>IF(A166&lt;'Inputs'!$B$28,ROUNDUP(ROUND('Inputs'!$B$25*'Inputs'!$B$26^A166,6),0),"")</x:f>
      </x:c>
      <x:c r="F166" s="21" t="str">
        <x:f>IF(A166&lt;='Inputs'!$B$28,F165+E165,"")</x:f>
      </x:c>
      <x:c r="G166" s="29" t="str">
        <x:f>IF(A166&lt;='Inputs'!$B$28,'Inputs'!$B$27^A166,"")</x:f>
      </x:c>
      <x:c r="H166" s="21" t="str">
        <x:f>IF(A166&lt;'Inputs'!$B$32,ROUNDUP(ROUND('Inputs'!$B$29*'Inputs'!$B$30^A166,6),0),"")</x:f>
      </x:c>
      <x:c r="I166" s="21" t="str">
        <x:f>IF(A166&lt;='Inputs'!$B$32,I165+H165,"")</x:f>
      </x:c>
      <x:c r="J166" s="29" t="str">
        <x:f>IF(A166&lt;='Inputs'!$B$32,1+'Inputs'!$B$31*A166,"")</x:f>
      </x:c>
    </x:row>
    <x:row r="167" ht="25" customHeight="1">
      <x:c r="A167" s="19" t="n">
        <x:v>165</x:v>
      </x:c>
      <x:c r="B167" s="21" t="n">
        <x:f>IF(A167&lt;'Inputs'!$B$24,ROUNDUP(ROUND('Inputs'!$B$21*'Inputs'!$B$22^A167,6),0),"")</x:f>
        <x:v>3526090</x:v>
      </x:c>
      <x:c r="C167" s="21" t="n">
        <x:f>IF(A167&lt;='Inputs'!$B$24,C166+B166,"")</x:f>
        <x:v>50372074</x:v>
      </x:c>
      <x:c r="D167" s="29" t="n">
        <x:f>IF(A167&lt;='Inputs'!$B$24,'Inputs'!$B$23^A167,"")</x:f>
        <x:v>58.80818685327798</x:v>
      </x:c>
      <x:c r="E167" s="21" t="str">
        <x:f>IF(A167&lt;'Inputs'!$B$28,ROUNDUP(ROUND('Inputs'!$B$25*'Inputs'!$B$26^A167,6),0),"")</x:f>
      </x:c>
      <x:c r="F167" s="21" t="str">
        <x:f>IF(A167&lt;='Inputs'!$B$28,F166+E166,"")</x:f>
      </x:c>
      <x:c r="G167" s="29" t="str">
        <x:f>IF(A167&lt;='Inputs'!$B$28,'Inputs'!$B$27^A167,"")</x:f>
      </x:c>
      <x:c r="H167" s="21" t="str">
        <x:f>IF(A167&lt;'Inputs'!$B$32,ROUNDUP(ROUND('Inputs'!$B$29*'Inputs'!$B$30^A167,6),0),"")</x:f>
      </x:c>
      <x:c r="I167" s="21" t="str">
        <x:f>IF(A167&lt;='Inputs'!$B$32,I166+H166,"")</x:f>
      </x:c>
      <x:c r="J167" s="29" t="str">
        <x:f>IF(A167&lt;='Inputs'!$B$32,1+'Inputs'!$B$31*A167,"")</x:f>
      </x:c>
    </x:row>
    <x:row r="168" ht="25" customHeight="1">
      <x:c r="A168" s="19" t="n">
        <x:v>166</x:v>
      </x:c>
      <x:c r="B168" s="21" t="n">
        <x:f>IF(A168&lt;'Inputs'!$B$24,ROUNDUP(ROUND('Inputs'!$B$21*'Inputs'!$B$22^A168,6),0),"")</x:f>
        <x:v>3772916</x:v>
      </x:c>
      <x:c r="C168" s="21" t="n">
        <x:f>IF(A168&lt;='Inputs'!$B$24,C167+B167,"")</x:f>
        <x:v>53898164</x:v>
      </x:c>
      <x:c r="D168" s="29" t="n">
        <x:f>IF(A168&lt;='Inputs'!$B$24,'Inputs'!$B$23^A168,"")</x:f>
        <x:v>60.27839152460992</x:v>
      </x:c>
      <x:c r="E168" s="21" t="str">
        <x:f>IF(A168&lt;'Inputs'!$B$28,ROUNDUP(ROUND('Inputs'!$B$25*'Inputs'!$B$26^A168,6),0),"")</x:f>
      </x:c>
      <x:c r="F168" s="21" t="str">
        <x:f>IF(A168&lt;='Inputs'!$B$28,F167+E167,"")</x:f>
      </x:c>
      <x:c r="G168" s="29" t="str">
        <x:f>IF(A168&lt;='Inputs'!$B$28,'Inputs'!$B$27^A168,"")</x:f>
      </x:c>
      <x:c r="H168" s="21" t="str">
        <x:f>IF(A168&lt;'Inputs'!$B$32,ROUNDUP(ROUND('Inputs'!$B$29*'Inputs'!$B$30^A168,6),0),"")</x:f>
      </x:c>
      <x:c r="I168" s="21" t="str">
        <x:f>IF(A168&lt;='Inputs'!$B$32,I167+H167,"")</x:f>
      </x:c>
      <x:c r="J168" s="29" t="str">
        <x:f>IF(A168&lt;='Inputs'!$B$32,1+'Inputs'!$B$31*A168,"")</x:f>
      </x:c>
    </x:row>
    <x:row r="169" ht="25" customHeight="1">
      <x:c r="A169" s="19" t="n">
        <x:v>167</x:v>
      </x:c>
      <x:c r="B169" s="21" t="n">
        <x:f>IF(A169&lt;'Inputs'!$B$24,ROUNDUP(ROUND('Inputs'!$B$21*'Inputs'!$B$22^A169,6),0),"")</x:f>
        <x:v>4037020</x:v>
      </x:c>
      <x:c r="C169" s="21" t="n">
        <x:f>IF(A169&lt;='Inputs'!$B$24,C168+B168,"")</x:f>
        <x:v>57671080</x:v>
      </x:c>
      <x:c r="D169" s="29" t="n">
        <x:f>IF(A169&lt;='Inputs'!$B$24,'Inputs'!$B$23^A169,"")</x:f>
        <x:v>61.78535131272517</x:v>
      </x:c>
      <x:c r="E169" s="21" t="str">
        <x:f>IF(A169&lt;'Inputs'!$B$28,ROUNDUP(ROUND('Inputs'!$B$25*'Inputs'!$B$26^A169,6),0),"")</x:f>
      </x:c>
      <x:c r="F169" s="21" t="str">
        <x:f>IF(A169&lt;='Inputs'!$B$28,F168+E168,"")</x:f>
      </x:c>
      <x:c r="G169" s="29" t="str">
        <x:f>IF(A169&lt;='Inputs'!$B$28,'Inputs'!$B$27^A169,"")</x:f>
      </x:c>
      <x:c r="H169" s="21" t="str">
        <x:f>IF(A169&lt;'Inputs'!$B$32,ROUNDUP(ROUND('Inputs'!$B$29*'Inputs'!$B$30^A169,6),0),"")</x:f>
      </x:c>
      <x:c r="I169" s="21" t="str">
        <x:f>IF(A169&lt;='Inputs'!$B$32,I168+H168,"")</x:f>
      </x:c>
      <x:c r="J169" s="29" t="str">
        <x:f>IF(A169&lt;='Inputs'!$B$32,1+'Inputs'!$B$31*A169,"")</x:f>
      </x:c>
    </x:row>
    <x:row r="170" ht="25" customHeight="1">
      <x:c r="A170" s="19" t="n">
        <x:v>168</x:v>
      </x:c>
      <x:c r="B170" s="21" t="n">
        <x:f>IF(A170&lt;'Inputs'!$B$24,ROUNDUP(ROUND('Inputs'!$B$21*'Inputs'!$B$22^A170,6),0),"")</x:f>
        <x:v>4319612</x:v>
      </x:c>
      <x:c r="C170" s="21" t="n">
        <x:f>IF(A170&lt;='Inputs'!$B$24,C169+B169,"")</x:f>
        <x:v>61708100</x:v>
      </x:c>
      <x:c r="D170" s="29" t="n">
        <x:f>IF(A170&lt;='Inputs'!$B$24,'Inputs'!$B$23^A170,"")</x:f>
        <x:v>63.32998509554329</x:v>
      </x:c>
      <x:c r="E170" s="21" t="str">
        <x:f>IF(A170&lt;'Inputs'!$B$28,ROUNDUP(ROUND('Inputs'!$B$25*'Inputs'!$B$26^A170,6),0),"")</x:f>
      </x:c>
      <x:c r="F170" s="21" t="str">
        <x:f>IF(A170&lt;='Inputs'!$B$28,F169+E169,"")</x:f>
      </x:c>
      <x:c r="G170" s="29" t="str">
        <x:f>IF(A170&lt;='Inputs'!$B$28,'Inputs'!$B$27^A170,"")</x:f>
      </x:c>
      <x:c r="H170" s="21" t="str">
        <x:f>IF(A170&lt;'Inputs'!$B$32,ROUNDUP(ROUND('Inputs'!$B$29*'Inputs'!$B$30^A170,6),0),"")</x:f>
      </x:c>
      <x:c r="I170" s="21" t="str">
        <x:f>IF(A170&lt;='Inputs'!$B$32,I169+H169,"")</x:f>
      </x:c>
      <x:c r="J170" s="29" t="str">
        <x:f>IF(A170&lt;='Inputs'!$B$32,1+'Inputs'!$B$31*A170,"")</x:f>
      </x:c>
    </x:row>
    <x:row r="171" ht="25" customHeight="1">
      <x:c r="A171" s="19" t="n">
        <x:v>169</x:v>
      </x:c>
      <x:c r="B171" s="21" t="n">
        <x:f>IF(A171&lt;'Inputs'!$B$24,ROUNDUP(ROUND('Inputs'!$B$21*'Inputs'!$B$22^A171,6),0),"")</x:f>
        <x:v>4621984</x:v>
      </x:c>
      <x:c r="C171" s="21" t="n">
        <x:f>IF(A171&lt;='Inputs'!$B$24,C170+B170,"")</x:f>
        <x:v>66027712</x:v>
      </x:c>
      <x:c r="D171" s="29" t="n">
        <x:f>IF(A171&lt;='Inputs'!$B$24,'Inputs'!$B$23^A171,"")</x:f>
        <x:v>64.91323472293186</x:v>
      </x:c>
      <x:c r="E171" s="21" t="str">
        <x:f>IF(A171&lt;'Inputs'!$B$28,ROUNDUP(ROUND('Inputs'!$B$25*'Inputs'!$B$26^A171,6),0),"")</x:f>
      </x:c>
      <x:c r="F171" s="21" t="str">
        <x:f>IF(A171&lt;='Inputs'!$B$28,F170+E170,"")</x:f>
      </x:c>
      <x:c r="G171" s="29" t="str">
        <x:f>IF(A171&lt;='Inputs'!$B$28,'Inputs'!$B$27^A171,"")</x:f>
      </x:c>
      <x:c r="H171" s="21" t="str">
        <x:f>IF(A171&lt;'Inputs'!$B$32,ROUNDUP(ROUND('Inputs'!$B$29*'Inputs'!$B$30^A171,6),0),"")</x:f>
      </x:c>
      <x:c r="I171" s="21" t="str">
        <x:f>IF(A171&lt;='Inputs'!$B$32,I170+H170,"")</x:f>
      </x:c>
      <x:c r="J171" s="29" t="str">
        <x:f>IF(A171&lt;='Inputs'!$B$32,1+'Inputs'!$B$31*A171,"")</x:f>
      </x:c>
    </x:row>
    <x:row r="172" ht="25" customHeight="1">
      <x:c r="A172" s="19" t="n">
        <x:v>170</x:v>
      </x:c>
      <x:c r="B172" s="21" t="n">
        <x:f>IF(A172&lt;'Inputs'!$B$24,ROUNDUP(ROUND('Inputs'!$B$21*'Inputs'!$B$22^A172,6),0),"")</x:f>
        <x:v>4945523</x:v>
      </x:c>
      <x:c r="C172" s="21" t="n">
        <x:f>IF(A172&lt;='Inputs'!$B$24,C171+B171,"")</x:f>
        <x:v>70649696</x:v>
      </x:c>
      <x:c r="D172" s="29" t="n">
        <x:f>IF(A172&lt;='Inputs'!$B$24,'Inputs'!$B$23^A172,"")</x:f>
        <x:v>66.53606559100515</x:v>
      </x:c>
      <x:c r="E172" s="21" t="str">
        <x:f>IF(A172&lt;'Inputs'!$B$28,ROUNDUP(ROUND('Inputs'!$B$25*'Inputs'!$B$26^A172,6),0),"")</x:f>
      </x:c>
      <x:c r="F172" s="21" t="str">
        <x:f>IF(A172&lt;='Inputs'!$B$28,F171+E171,"")</x:f>
      </x:c>
      <x:c r="G172" s="29" t="str">
        <x:f>IF(A172&lt;='Inputs'!$B$28,'Inputs'!$B$27^A172,"")</x:f>
      </x:c>
      <x:c r="H172" s="21" t="str">
        <x:f>IF(A172&lt;'Inputs'!$B$32,ROUNDUP(ROUND('Inputs'!$B$29*'Inputs'!$B$30^A172,6),0),"")</x:f>
      </x:c>
      <x:c r="I172" s="21" t="str">
        <x:f>IF(A172&lt;='Inputs'!$B$32,I171+H171,"")</x:f>
      </x:c>
      <x:c r="J172" s="29" t="str">
        <x:f>IF(A172&lt;='Inputs'!$B$32,1+'Inputs'!$B$31*A172,"")</x:f>
      </x:c>
    </x:row>
    <x:row r="173" ht="25" customHeight="1">
      <x:c r="A173" s="19" t="n">
        <x:v>171</x:v>
      </x:c>
      <x:c r="B173" s="21" t="n">
        <x:f>IF(A173&lt;'Inputs'!$B$24,ROUNDUP(ROUND('Inputs'!$B$21*'Inputs'!$B$22^A173,6),0),"")</x:f>
        <x:v>5291710</x:v>
      </x:c>
      <x:c r="C173" s="21" t="n">
        <x:f>IF(A173&lt;='Inputs'!$B$24,C172+B172,"")</x:f>
        <x:v>75595219</x:v>
      </x:c>
      <x:c r="D173" s="29" t="n">
        <x:f>IF(A173&lt;='Inputs'!$B$24,'Inputs'!$B$23^A173,"")</x:f>
        <x:v>68.19946723078029</x:v>
      </x:c>
      <x:c r="E173" s="21" t="str">
        <x:f>IF(A173&lt;'Inputs'!$B$28,ROUNDUP(ROUND('Inputs'!$B$25*'Inputs'!$B$26^A173,6),0),"")</x:f>
      </x:c>
      <x:c r="F173" s="21" t="str">
        <x:f>IF(A173&lt;='Inputs'!$B$28,F172+E172,"")</x:f>
      </x:c>
      <x:c r="G173" s="29" t="str">
        <x:f>IF(A173&lt;='Inputs'!$B$28,'Inputs'!$B$27^A173,"")</x:f>
      </x:c>
      <x:c r="H173" s="21" t="str">
        <x:f>IF(A173&lt;'Inputs'!$B$32,ROUNDUP(ROUND('Inputs'!$B$29*'Inputs'!$B$30^A173,6),0),"")</x:f>
      </x:c>
      <x:c r="I173" s="21" t="str">
        <x:f>IF(A173&lt;='Inputs'!$B$32,I172+H172,"")</x:f>
      </x:c>
      <x:c r="J173" s="29" t="str">
        <x:f>IF(A173&lt;='Inputs'!$B$32,1+'Inputs'!$B$31*A173,"")</x:f>
      </x:c>
    </x:row>
    <x:row r="174" ht="25" customHeight="1">
      <x:c r="A174" s="19" t="n">
        <x:v>172</x:v>
      </x:c>
      <x:c r="B174" s="21" t="n">
        <x:f>IF(A174&lt;'Inputs'!$B$24,ROUNDUP(ROUND('Inputs'!$B$21*'Inputs'!$B$22^A174,6),0),"")</x:f>
        <x:v>5662130</x:v>
      </x:c>
      <x:c r="C174" s="21" t="n">
        <x:f>IF(A174&lt;='Inputs'!$B$24,C173+B173,"")</x:f>
        <x:v>80886929</x:v>
      </x:c>
      <x:c r="D174" s="29" t="n">
        <x:f>IF(A174&lt;='Inputs'!$B$24,'Inputs'!$B$23^A174,"")</x:f>
        <x:v>69.90445391154978</x:v>
      </x:c>
      <x:c r="E174" s="21" t="str">
        <x:f>IF(A174&lt;'Inputs'!$B$28,ROUNDUP(ROUND('Inputs'!$B$25*'Inputs'!$B$26^A174,6),0),"")</x:f>
      </x:c>
      <x:c r="F174" s="21" t="str">
        <x:f>IF(A174&lt;='Inputs'!$B$28,F173+E173,"")</x:f>
      </x:c>
      <x:c r="G174" s="29" t="str">
        <x:f>IF(A174&lt;='Inputs'!$B$28,'Inputs'!$B$27^A174,"")</x:f>
      </x:c>
      <x:c r="H174" s="21" t="str">
        <x:f>IF(A174&lt;'Inputs'!$B$32,ROUNDUP(ROUND('Inputs'!$B$29*'Inputs'!$B$30^A174,6),0),"")</x:f>
      </x:c>
      <x:c r="I174" s="21" t="str">
        <x:f>IF(A174&lt;='Inputs'!$B$32,I173+H173,"")</x:f>
      </x:c>
      <x:c r="J174" s="29" t="str">
        <x:f>IF(A174&lt;='Inputs'!$B$32,1+'Inputs'!$B$31*A174,"")</x:f>
      </x:c>
    </x:row>
    <x:row r="175" ht="25" customHeight="1">
      <x:c r="A175" s="19" t="n">
        <x:v>173</x:v>
      </x:c>
      <x:c r="B175" s="21" t="n">
        <x:f>IF(A175&lt;'Inputs'!$B$24,ROUNDUP(ROUND('Inputs'!$B$21*'Inputs'!$B$22^A175,6),0),"")</x:f>
        <x:v>6058479</x:v>
      </x:c>
      <x:c r="C175" s="21" t="n">
        <x:f>IF(A175&lt;='Inputs'!$B$24,C174+B174,"")</x:f>
        <x:v>86549059</x:v>
      </x:c>
      <x:c r="D175" s="29" t="n">
        <x:f>IF(A175&lt;='Inputs'!$B$24,'Inputs'!$B$23^A175,"")</x:f>
        <x:v>71.65206525933851</x:v>
      </x:c>
      <x:c r="E175" s="21" t="str">
        <x:f>IF(A175&lt;'Inputs'!$B$28,ROUNDUP(ROUND('Inputs'!$B$25*'Inputs'!$B$26^A175,6),0),"")</x:f>
      </x:c>
      <x:c r="F175" s="21" t="str">
        <x:f>IF(A175&lt;='Inputs'!$B$28,F174+E174,"")</x:f>
      </x:c>
      <x:c r="G175" s="29" t="str">
        <x:f>IF(A175&lt;='Inputs'!$B$28,'Inputs'!$B$27^A175,"")</x:f>
      </x:c>
      <x:c r="H175" s="21" t="str">
        <x:f>IF(A175&lt;'Inputs'!$B$32,ROUNDUP(ROUND('Inputs'!$B$29*'Inputs'!$B$30^A175,6),0),"")</x:f>
      </x:c>
      <x:c r="I175" s="21" t="str">
        <x:f>IF(A175&lt;='Inputs'!$B$32,I174+H174,"")</x:f>
      </x:c>
      <x:c r="J175" s="29" t="str">
        <x:f>IF(A175&lt;='Inputs'!$B$32,1+'Inputs'!$B$31*A175,"")</x:f>
      </x:c>
    </x:row>
    <x:row r="176" ht="25" customHeight="1">
      <x:c r="A176" s="19" t="n">
        <x:v>174</x:v>
      </x:c>
      <x:c r="B176" s="21" t="n">
        <x:f>IF(A176&lt;'Inputs'!$B$24,ROUNDUP(ROUND('Inputs'!$B$21*'Inputs'!$B$22^A176,6),0),"")</x:f>
        <x:v>6482572</x:v>
      </x:c>
      <x:c r="C176" s="21" t="n">
        <x:f>IF(A176&lt;='Inputs'!$B$24,C175+B175,"")</x:f>
        <x:v>92607538</x:v>
      </x:c>
      <x:c r="D176" s="29" t="n">
        <x:f>IF(A176&lt;='Inputs'!$B$24,'Inputs'!$B$23^A176,"")</x:f>
        <x:v>73.44336689082198</x:v>
      </x:c>
      <x:c r="E176" s="21" t="str">
        <x:f>IF(A176&lt;'Inputs'!$B$28,ROUNDUP(ROUND('Inputs'!$B$25*'Inputs'!$B$26^A176,6),0),"")</x:f>
      </x:c>
      <x:c r="F176" s="21" t="str">
        <x:f>IF(A176&lt;='Inputs'!$B$28,F175+E175,"")</x:f>
      </x:c>
      <x:c r="G176" s="29" t="str">
        <x:f>IF(A176&lt;='Inputs'!$B$28,'Inputs'!$B$27^A176,"")</x:f>
      </x:c>
      <x:c r="H176" s="21" t="str">
        <x:f>IF(A176&lt;'Inputs'!$B$32,ROUNDUP(ROUND('Inputs'!$B$29*'Inputs'!$B$30^A176,6),0),"")</x:f>
      </x:c>
      <x:c r="I176" s="21" t="str">
        <x:f>IF(A176&lt;='Inputs'!$B$32,I175+H175,"")</x:f>
      </x:c>
      <x:c r="J176" s="29" t="str">
        <x:f>IF(A176&lt;='Inputs'!$B$32,1+'Inputs'!$B$31*A176,"")</x:f>
      </x:c>
    </x:row>
    <x:row r="177" ht="25" customHeight="1">
      <x:c r="A177" s="19" t="n">
        <x:v>175</x:v>
      </x:c>
      <x:c r="B177" s="21" t="n">
        <x:f>IF(A177&lt;'Inputs'!$B$24,ROUNDUP(ROUND('Inputs'!$B$21*'Inputs'!$B$22^A177,6),0),"")</x:f>
        <x:v>6936352</x:v>
      </x:c>
      <x:c r="C177" s="21" t="n">
        <x:f>IF(A177&lt;='Inputs'!$B$24,C176+B176,"")</x:f>
        <x:v>99090110</x:v>
      </x:c>
      <x:c r="D177" s="29" t="n">
        <x:f>IF(A177&lt;='Inputs'!$B$24,'Inputs'!$B$23^A177,"")</x:f>
        <x:v>75.27945106309252</x:v>
      </x:c>
      <x:c r="E177" s="21" t="str">
        <x:f>IF(A177&lt;'Inputs'!$B$28,ROUNDUP(ROUND('Inputs'!$B$25*'Inputs'!$B$26^A177,6),0),"")</x:f>
      </x:c>
      <x:c r="F177" s="21" t="str">
        <x:f>IF(A177&lt;='Inputs'!$B$28,F176+E176,"")</x:f>
      </x:c>
      <x:c r="G177" s="29" t="str">
        <x:f>IF(A177&lt;='Inputs'!$B$28,'Inputs'!$B$27^A177,"")</x:f>
      </x:c>
      <x:c r="H177" s="21" t="str">
        <x:f>IF(A177&lt;'Inputs'!$B$32,ROUNDUP(ROUND('Inputs'!$B$29*'Inputs'!$B$30^A177,6),0),"")</x:f>
      </x:c>
      <x:c r="I177" s="21" t="str">
        <x:f>IF(A177&lt;='Inputs'!$B$32,I176+H176,"")</x:f>
      </x:c>
      <x:c r="J177" s="29" t="str">
        <x:f>IF(A177&lt;='Inputs'!$B$32,1+'Inputs'!$B$31*A177,"")</x:f>
      </x:c>
    </x:row>
    <x:row r="178" ht="25" customHeight="1">
      <x:c r="A178" s="19" t="n">
        <x:v>176</x:v>
      </x:c>
      <x:c r="B178" s="21" t="n">
        <x:f>IF(A178&lt;'Inputs'!$B$24,ROUNDUP(ROUND('Inputs'!$B$21*'Inputs'!$B$22^A178,6),0),"")</x:f>
        <x:v>7421897</x:v>
      </x:c>
      <x:c r="C178" s="21" t="n">
        <x:f>IF(A178&lt;='Inputs'!$B$24,C177+B177,"")</x:f>
        <x:v>106026462</x:v>
      </x:c>
      <x:c r="D178" s="29" t="n">
        <x:f>IF(A178&lt;='Inputs'!$B$24,'Inputs'!$B$23^A178,"")</x:f>
        <x:v>77.16143733966983</x:v>
      </x:c>
      <x:c r="E178" s="21" t="str">
        <x:f>IF(A178&lt;'Inputs'!$B$28,ROUNDUP(ROUND('Inputs'!$B$25*'Inputs'!$B$26^A178,6),0),"")</x:f>
      </x:c>
      <x:c r="F178" s="21" t="str">
        <x:f>IF(A178&lt;='Inputs'!$B$28,F177+E177,"")</x:f>
      </x:c>
      <x:c r="G178" s="29" t="str">
        <x:f>IF(A178&lt;='Inputs'!$B$28,'Inputs'!$B$27^A178,"")</x:f>
      </x:c>
      <x:c r="H178" s="21" t="str">
        <x:f>IF(A178&lt;'Inputs'!$B$32,ROUNDUP(ROUND('Inputs'!$B$29*'Inputs'!$B$30^A178,6),0),"")</x:f>
      </x:c>
      <x:c r="I178" s="21" t="str">
        <x:f>IF(A178&lt;='Inputs'!$B$32,I177+H177,"")</x:f>
      </x:c>
      <x:c r="J178" s="29" t="str">
        <x:f>IF(A178&lt;='Inputs'!$B$32,1+'Inputs'!$B$31*A178,"")</x:f>
      </x:c>
    </x:row>
    <x:row r="179" ht="25" customHeight="1">
      <x:c r="A179" s="19" t="n">
        <x:v>177</x:v>
      </x:c>
      <x:c r="B179" s="21" t="n">
        <x:f>IF(A179&lt;'Inputs'!$B$24,ROUNDUP(ROUND('Inputs'!$B$21*'Inputs'!$B$22^A179,6),0),"")</x:f>
        <x:v>7941429</x:v>
      </x:c>
      <x:c r="C179" s="21" t="n">
        <x:f>IF(A179&lt;='Inputs'!$B$24,C178+B178,"")</x:f>
        <x:v>113448359</x:v>
      </x:c>
      <x:c r="D179" s="29" t="n">
        <x:f>IF(A179&lt;='Inputs'!$B$24,'Inputs'!$B$23^A179,"")</x:f>
        <x:v>79.09047327316156</x:v>
      </x:c>
      <x:c r="E179" s="21" t="str">
        <x:f>IF(A179&lt;'Inputs'!$B$28,ROUNDUP(ROUND('Inputs'!$B$25*'Inputs'!$B$26^A179,6),0),"")</x:f>
      </x:c>
      <x:c r="F179" s="21" t="str">
        <x:f>IF(A179&lt;='Inputs'!$B$28,F178+E178,"")</x:f>
      </x:c>
      <x:c r="G179" s="29" t="str">
        <x:f>IF(A179&lt;='Inputs'!$B$28,'Inputs'!$B$27^A179,"")</x:f>
      </x:c>
      <x:c r="H179" s="21" t="str">
        <x:f>IF(A179&lt;'Inputs'!$B$32,ROUNDUP(ROUND('Inputs'!$B$29*'Inputs'!$B$30^A179,6),0),"")</x:f>
      </x:c>
      <x:c r="I179" s="21" t="str">
        <x:f>IF(A179&lt;='Inputs'!$B$32,I178+H178,"")</x:f>
      </x:c>
      <x:c r="J179" s="29" t="str">
        <x:f>IF(A179&lt;='Inputs'!$B$32,1+'Inputs'!$B$31*A179,"")</x:f>
      </x:c>
    </x:row>
    <x:row r="180" ht="25" customHeight="1">
      <x:c r="A180" s="19" t="n">
        <x:v>178</x:v>
      </x:c>
      <x:c r="B180" s="21" t="n">
        <x:f>IF(A180&lt;'Inputs'!$B$24,ROUNDUP(ROUND('Inputs'!$B$21*'Inputs'!$B$22^A180,6),0),"")</x:f>
        <x:v>8497329</x:v>
      </x:c>
      <x:c r="C180" s="21" t="n">
        <x:f>IF(A180&lt;='Inputs'!$B$24,C179+B179,"")</x:f>
        <x:v>121389788</x:v>
      </x:c>
      <x:c r="D180" s="29" t="n">
        <x:f>IF(A180&lt;='Inputs'!$B$24,'Inputs'!$B$23^A180,"")</x:f>
        <x:v>81.0677351049906</x:v>
      </x:c>
      <x:c r="E180" s="21" t="str">
        <x:f>IF(A180&lt;'Inputs'!$B$28,ROUNDUP(ROUND('Inputs'!$B$25*'Inputs'!$B$26^A180,6),0),"")</x:f>
      </x:c>
      <x:c r="F180" s="21" t="str">
        <x:f>IF(A180&lt;='Inputs'!$B$28,F179+E179,"")</x:f>
      </x:c>
      <x:c r="G180" s="29" t="str">
        <x:f>IF(A180&lt;='Inputs'!$B$28,'Inputs'!$B$27^A180,"")</x:f>
      </x:c>
      <x:c r="H180" s="21" t="str">
        <x:f>IF(A180&lt;'Inputs'!$B$32,ROUNDUP(ROUND('Inputs'!$B$29*'Inputs'!$B$30^A180,6),0),"")</x:f>
      </x:c>
      <x:c r="I180" s="21" t="str">
        <x:f>IF(A180&lt;='Inputs'!$B$32,I179+H179,"")</x:f>
      </x:c>
      <x:c r="J180" s="29" t="str">
        <x:f>IF(A180&lt;='Inputs'!$B$32,1+'Inputs'!$B$31*A180,"")</x:f>
      </x:c>
    </x:row>
    <x:row r="181" ht="25" customHeight="1">
      <x:c r="A181" s="19" t="n">
        <x:v>179</x:v>
      </x:c>
      <x:c r="B181" s="21" t="n">
        <x:f>IF(A181&lt;'Inputs'!$B$24,ROUNDUP(ROUND('Inputs'!$B$21*'Inputs'!$B$22^A181,6),0),"")</x:f>
        <x:v>9092143</x:v>
      </x:c>
      <x:c r="C181" s="21" t="n">
        <x:f>IF(A181&lt;='Inputs'!$B$24,C180+B180,"")</x:f>
        <x:v>129887117</x:v>
      </x:c>
      <x:c r="D181" s="29" t="n">
        <x:f>IF(A181&lt;='Inputs'!$B$24,'Inputs'!$B$23^A181,"")</x:f>
        <x:v>83.09442848261536</x:v>
      </x:c>
      <x:c r="E181" s="21" t="str">
        <x:f>IF(A181&lt;'Inputs'!$B$28,ROUNDUP(ROUND('Inputs'!$B$25*'Inputs'!$B$26^A181,6),0),"")</x:f>
      </x:c>
      <x:c r="F181" s="21" t="str">
        <x:f>IF(A181&lt;='Inputs'!$B$28,F180+E180,"")</x:f>
      </x:c>
      <x:c r="G181" s="29" t="str">
        <x:f>IF(A181&lt;='Inputs'!$B$28,'Inputs'!$B$27^A181,"")</x:f>
      </x:c>
      <x:c r="H181" s="21" t="str">
        <x:f>IF(A181&lt;'Inputs'!$B$32,ROUNDUP(ROUND('Inputs'!$B$29*'Inputs'!$B$30^A181,6),0),"")</x:f>
      </x:c>
      <x:c r="I181" s="21" t="str">
        <x:f>IF(A181&lt;='Inputs'!$B$32,I180+H180,"")</x:f>
      </x:c>
      <x:c r="J181" s="29" t="str">
        <x:f>IF(A181&lt;='Inputs'!$B$32,1+'Inputs'!$B$31*A181,"")</x:f>
      </x:c>
    </x:row>
    <x:row r="182" ht="25" customHeight="1">
      <x:c r="A182" s="19" t="n">
        <x:v>180</x:v>
      </x:c>
      <x:c r="B182" s="21" t="n">
        <x:f>IF(A182&lt;'Inputs'!$B$24,ROUNDUP(ROUND('Inputs'!$B$21*'Inputs'!$B$22^A182,6),0),"")</x:f>
        <x:v>9728592</x:v>
      </x:c>
      <x:c r="C182" s="21" t="n">
        <x:f>IF(A182&lt;='Inputs'!$B$24,C181+B181,"")</x:f>
        <x:v>138979260</x:v>
      </x:c>
      <x:c r="D182" s="29" t="n">
        <x:f>IF(A182&lt;='Inputs'!$B$24,'Inputs'!$B$23^A182,"")</x:f>
        <x:v>85.17178919468073</x:v>
      </x:c>
      <x:c r="E182" s="21" t="str">
        <x:f>IF(A182&lt;'Inputs'!$B$28,ROUNDUP(ROUND('Inputs'!$B$25*'Inputs'!$B$26^A182,6),0),"")</x:f>
      </x:c>
      <x:c r="F182" s="21" t="str">
        <x:f>IF(A182&lt;='Inputs'!$B$28,F181+E181,"")</x:f>
      </x:c>
      <x:c r="G182" s="29" t="str">
        <x:f>IF(A182&lt;='Inputs'!$B$28,'Inputs'!$B$27^A182,"")</x:f>
      </x:c>
      <x:c r="H182" s="21" t="str">
        <x:f>IF(A182&lt;'Inputs'!$B$32,ROUNDUP(ROUND('Inputs'!$B$29*'Inputs'!$B$30^A182,6),0),"")</x:f>
      </x:c>
      <x:c r="I182" s="21" t="str">
        <x:f>IF(A182&lt;='Inputs'!$B$32,I181+H181,"")</x:f>
      </x:c>
      <x:c r="J182" s="29" t="str">
        <x:f>IF(A182&lt;='Inputs'!$B$32,1+'Inputs'!$B$31*A182,"")</x:f>
      </x:c>
    </x:row>
    <x:row r="183" ht="25" customHeight="1">
      <x:c r="A183" s="19" t="n">
        <x:v>181</x:v>
      </x:c>
      <x:c r="B183" s="21" t="n">
        <x:f>IF(A183&lt;'Inputs'!$B$24,ROUNDUP(ROUND('Inputs'!$B$21*'Inputs'!$B$22^A183,6),0),"")</x:f>
        <x:v>10409594</x:v>
      </x:c>
      <x:c r="C183" s="21" t="n">
        <x:f>IF(A183&lt;='Inputs'!$B$24,C182+B182,"")</x:f>
        <x:v>148707852</x:v>
      </x:c>
      <x:c r="D183" s="29" t="n">
        <x:f>IF(A183&lt;='Inputs'!$B$24,'Inputs'!$B$23^A183,"")</x:f>
        <x:v>87.30108392454774</x:v>
      </x:c>
      <x:c r="E183" s="21" t="str">
        <x:f>IF(A183&lt;'Inputs'!$B$28,ROUNDUP(ROUND('Inputs'!$B$25*'Inputs'!$B$26^A183,6),0),"")</x:f>
      </x:c>
      <x:c r="F183" s="21" t="str">
        <x:f>IF(A183&lt;='Inputs'!$B$28,F182+E182,"")</x:f>
      </x:c>
      <x:c r="G183" s="29" t="str">
        <x:f>IF(A183&lt;='Inputs'!$B$28,'Inputs'!$B$27^A183,"")</x:f>
      </x:c>
      <x:c r="H183" s="21" t="str">
        <x:f>IF(A183&lt;'Inputs'!$B$32,ROUNDUP(ROUND('Inputs'!$B$29*'Inputs'!$B$30^A183,6),0),"")</x:f>
      </x:c>
      <x:c r="I183" s="21" t="str">
        <x:f>IF(A183&lt;='Inputs'!$B$32,I182+H182,"")</x:f>
      </x:c>
      <x:c r="J183" s="29" t="str">
        <x:f>IF(A183&lt;='Inputs'!$B$32,1+'Inputs'!$B$31*A183,"")</x:f>
      </x:c>
    </x:row>
    <x:row r="184" ht="25" customHeight="1">
      <x:c r="A184" s="19" t="n">
        <x:v>182</x:v>
      </x:c>
      <x:c r="B184" s="21" t="n">
        <x:f>IF(A184&lt;'Inputs'!$B$24,ROUNDUP(ROUND('Inputs'!$B$21*'Inputs'!$B$22^A184,6),0),"")</x:f>
        <x:v>11138265</x:v>
      </x:c>
      <x:c r="C184" s="21" t="n">
        <x:f>IF(A184&lt;='Inputs'!$B$24,C183+B183,"")</x:f>
        <x:v>159117446</x:v>
      </x:c>
      <x:c r="D184" s="29" t="n">
        <x:f>IF(A184&lt;='Inputs'!$B$24,'Inputs'!$B$23^A184,"")</x:f>
        <x:v>89.48361102266142</x:v>
      </x:c>
      <x:c r="E184" s="21" t="str">
        <x:f>IF(A184&lt;'Inputs'!$B$28,ROUNDUP(ROUND('Inputs'!$B$25*'Inputs'!$B$26^A184,6),0),"")</x:f>
      </x:c>
      <x:c r="F184" s="21" t="str">
        <x:f>IF(A184&lt;='Inputs'!$B$28,F183+E183,"")</x:f>
      </x:c>
      <x:c r="G184" s="29" t="str">
        <x:f>IF(A184&lt;='Inputs'!$B$28,'Inputs'!$B$27^A184,"")</x:f>
      </x:c>
      <x:c r="H184" s="21" t="str">
        <x:f>IF(A184&lt;'Inputs'!$B$32,ROUNDUP(ROUND('Inputs'!$B$29*'Inputs'!$B$30^A184,6),0),"")</x:f>
      </x:c>
      <x:c r="I184" s="21" t="str">
        <x:f>IF(A184&lt;='Inputs'!$B$32,I183+H183,"")</x:f>
      </x:c>
      <x:c r="J184" s="29" t="str">
        <x:f>IF(A184&lt;='Inputs'!$B$32,1+'Inputs'!$B$31*A184,"")</x:f>
      </x:c>
    </x:row>
    <x:row r="185" ht="25" customHeight="1">
      <x:c r="A185" s="19" t="n">
        <x:v>183</x:v>
      </x:c>
      <x:c r="B185" s="21" t="n">
        <x:f>IF(A185&lt;'Inputs'!$B$24,ROUNDUP(ROUND('Inputs'!$B$21*'Inputs'!$B$22^A185,6),0),"")</x:f>
        <x:v>11917944</x:v>
      </x:c>
      <x:c r="C185" s="21" t="n">
        <x:f>IF(A185&lt;='Inputs'!$B$24,C184+B184,"")</x:f>
        <x:v>170255711</x:v>
      </x:c>
      <x:c r="D185" s="29" t="n">
        <x:f>IF(A185&lt;='Inputs'!$B$24,'Inputs'!$B$23^A185,"")</x:f>
        <x:v>91.72070129822795</x:v>
      </x:c>
      <x:c r="E185" s="21" t="str">
        <x:f>IF(A185&lt;'Inputs'!$B$28,ROUNDUP(ROUND('Inputs'!$B$25*'Inputs'!$B$26^A185,6),0),"")</x:f>
      </x:c>
      <x:c r="F185" s="21" t="str">
        <x:f>IF(A185&lt;='Inputs'!$B$28,F184+E184,"")</x:f>
      </x:c>
      <x:c r="G185" s="29" t="str">
        <x:f>IF(A185&lt;='Inputs'!$B$28,'Inputs'!$B$27^A185,"")</x:f>
      </x:c>
      <x:c r="H185" s="21" t="str">
        <x:f>IF(A185&lt;'Inputs'!$B$32,ROUNDUP(ROUND('Inputs'!$B$29*'Inputs'!$B$30^A185,6),0),"")</x:f>
      </x:c>
      <x:c r="I185" s="21" t="str">
        <x:f>IF(A185&lt;='Inputs'!$B$32,I184+H184,"")</x:f>
      </x:c>
      <x:c r="J185" s="29" t="str">
        <x:f>IF(A185&lt;='Inputs'!$B$32,1+'Inputs'!$B$31*A185,"")</x:f>
      </x:c>
    </x:row>
    <x:row r="186" ht="25" customHeight="1">
      <x:c r="A186" s="19" t="n">
        <x:v>184</x:v>
      </x:c>
      <x:c r="B186" s="21" t="n">
        <x:f>IF(A186&lt;'Inputs'!$B$24,ROUNDUP(ROUND('Inputs'!$B$21*'Inputs'!$B$22^A186,6),0),"")</x:f>
        <x:v>12752200</x:v>
      </x:c>
      <x:c r="C186" s="21" t="n">
        <x:f>IF(A186&lt;='Inputs'!$B$24,C185+B185,"")</x:f>
        <x:v>182173655</x:v>
      </x:c>
      <x:c r="D186" s="29" t="n">
        <x:f>IF(A186&lt;='Inputs'!$B$24,'Inputs'!$B$23^A186,"")</x:f>
        <x:v>94.01371883068364</x:v>
      </x:c>
      <x:c r="E186" s="21" t="str">
        <x:f>IF(A186&lt;'Inputs'!$B$28,ROUNDUP(ROUND('Inputs'!$B$25*'Inputs'!$B$26^A186,6),0),"")</x:f>
      </x:c>
      <x:c r="F186" s="21" t="str">
        <x:f>IF(A186&lt;='Inputs'!$B$28,F185+E185,"")</x:f>
      </x:c>
      <x:c r="G186" s="29" t="str">
        <x:f>IF(A186&lt;='Inputs'!$B$28,'Inputs'!$B$27^A186,"")</x:f>
      </x:c>
      <x:c r="H186" s="21" t="str">
        <x:f>IF(A186&lt;'Inputs'!$B$32,ROUNDUP(ROUND('Inputs'!$B$29*'Inputs'!$B$30^A186,6),0),"")</x:f>
      </x:c>
      <x:c r="I186" s="21" t="str">
        <x:f>IF(A186&lt;='Inputs'!$B$32,I185+H185,"")</x:f>
      </x:c>
      <x:c r="J186" s="29" t="str">
        <x:f>IF(A186&lt;='Inputs'!$B$32,1+'Inputs'!$B$31*A186,"")</x:f>
      </x:c>
    </x:row>
    <x:row r="187" ht="25" customHeight="1">
      <x:c r="A187" s="19" t="n">
        <x:v>185</x:v>
      </x:c>
      <x:c r="B187" s="21" t="n">
        <x:f>IF(A187&lt;'Inputs'!$B$24,ROUNDUP(ROUND('Inputs'!$B$21*'Inputs'!$B$22^A187,6),0),"")</x:f>
        <x:v>13644854</x:v>
      </x:c>
      <x:c r="C187" s="21" t="n">
        <x:f>IF(A187&lt;='Inputs'!$B$24,C186+B186,"")</x:f>
        <x:v>194925855</x:v>
      </x:c>
      <x:c r="D187" s="29" t="n">
        <x:f>IF(A187&lt;='Inputs'!$B$24,'Inputs'!$B$23^A187,"")</x:f>
        <x:v>96.36406180145073</x:v>
      </x:c>
      <x:c r="E187" s="21" t="str">
        <x:f>IF(A187&lt;'Inputs'!$B$28,ROUNDUP(ROUND('Inputs'!$B$25*'Inputs'!$B$26^A187,6),0),"")</x:f>
      </x:c>
      <x:c r="F187" s="21" t="str">
        <x:f>IF(A187&lt;='Inputs'!$B$28,F186+E186,"")</x:f>
      </x:c>
      <x:c r="G187" s="29" t="str">
        <x:f>IF(A187&lt;='Inputs'!$B$28,'Inputs'!$B$27^A187,"")</x:f>
      </x:c>
      <x:c r="H187" s="21" t="str">
        <x:f>IF(A187&lt;'Inputs'!$B$32,ROUNDUP(ROUND('Inputs'!$B$29*'Inputs'!$B$30^A187,6),0),"")</x:f>
      </x:c>
      <x:c r="I187" s="21" t="str">
        <x:f>IF(A187&lt;='Inputs'!$B$32,I186+H186,"")</x:f>
      </x:c>
      <x:c r="J187" s="29" t="str">
        <x:f>IF(A187&lt;='Inputs'!$B$32,1+'Inputs'!$B$31*A187,"")</x:f>
      </x:c>
    </x:row>
    <x:row r="188" ht="25" customHeight="1">
      <x:c r="A188" s="19" t="n">
        <x:v>186</x:v>
      </x:c>
      <x:c r="B188" s="21" t="n">
        <x:f>IF(A188&lt;'Inputs'!$B$24,ROUNDUP(ROUND('Inputs'!$B$21*'Inputs'!$B$22^A188,6),0),"")</x:f>
        <x:v>14599994</x:v>
      </x:c>
      <x:c r="C188" s="21" t="n">
        <x:f>IF(A188&lt;='Inputs'!$B$24,C187+B187,"")</x:f>
        <x:v>208570709</x:v>
      </x:c>
      <x:c r="D188" s="29" t="n">
        <x:f>IF(A188&lt;='Inputs'!$B$24,'Inputs'!$B$23^A188,"")</x:f>
        <x:v>98.77316334648698</x:v>
      </x:c>
      <x:c r="E188" s="21" t="str">
        <x:f>IF(A188&lt;'Inputs'!$B$28,ROUNDUP(ROUND('Inputs'!$B$25*'Inputs'!$B$26^A188,6),0),"")</x:f>
      </x:c>
      <x:c r="F188" s="21" t="str">
        <x:f>IF(A188&lt;='Inputs'!$B$28,F187+E187,"")</x:f>
      </x:c>
      <x:c r="G188" s="29" t="str">
        <x:f>IF(A188&lt;='Inputs'!$B$28,'Inputs'!$B$27^A188,"")</x:f>
      </x:c>
      <x:c r="H188" s="21" t="str">
        <x:f>IF(A188&lt;'Inputs'!$B$32,ROUNDUP(ROUND('Inputs'!$B$29*'Inputs'!$B$30^A188,6),0),"")</x:f>
      </x:c>
      <x:c r="I188" s="21" t="str">
        <x:f>IF(A188&lt;='Inputs'!$B$32,I187+H187,"")</x:f>
      </x:c>
      <x:c r="J188" s="29" t="str">
        <x:f>IF(A188&lt;='Inputs'!$B$32,1+'Inputs'!$B$31*A188,"")</x:f>
      </x:c>
    </x:row>
    <x:row r="189" ht="25" customHeight="1">
      <x:c r="A189" s="19" t="n">
        <x:v>187</x:v>
      </x:c>
      <x:c r="B189" s="21" t="n">
        <x:f>IF(A189&lt;'Inputs'!$B$24,ROUNDUP(ROUND('Inputs'!$B$21*'Inputs'!$B$22^A189,6),0),"")</x:f>
        <x:v>15621993</x:v>
      </x:c>
      <x:c r="C189" s="21" t="n">
        <x:f>IF(A189&lt;='Inputs'!$B$24,C188+B188,"")</x:f>
        <x:v>223170703</x:v>
      </x:c>
      <x:c r="D189" s="29" t="n">
        <x:f>IF(A189&lt;='Inputs'!$B$24,'Inputs'!$B$23^A189,"")</x:f>
        <x:v>101.24249243014916</x:v>
      </x:c>
      <x:c r="E189" s="21" t="str">
        <x:f>IF(A189&lt;'Inputs'!$B$28,ROUNDUP(ROUND('Inputs'!$B$25*'Inputs'!$B$26^A189,6),0),"")</x:f>
      </x:c>
      <x:c r="F189" s="21" t="str">
        <x:f>IF(A189&lt;='Inputs'!$B$28,F188+E188,"")</x:f>
      </x:c>
      <x:c r="G189" s="29" t="str">
        <x:f>IF(A189&lt;='Inputs'!$B$28,'Inputs'!$B$27^A189,"")</x:f>
      </x:c>
      <x:c r="H189" s="21" t="str">
        <x:f>IF(A189&lt;'Inputs'!$B$32,ROUNDUP(ROUND('Inputs'!$B$29*'Inputs'!$B$30^A189,6),0),"")</x:f>
      </x:c>
      <x:c r="I189" s="21" t="str">
        <x:f>IF(A189&lt;='Inputs'!$B$32,I188+H188,"")</x:f>
      </x:c>
      <x:c r="J189" s="29" t="str">
        <x:f>IF(A189&lt;='Inputs'!$B$32,1+'Inputs'!$B$31*A189,"")</x:f>
      </x:c>
    </x:row>
    <x:row r="190" ht="25" customHeight="1">
      <x:c r="A190" s="19" t="n">
        <x:v>188</x:v>
      </x:c>
      <x:c r="B190" s="21" t="n">
        <x:f>IF(A190&lt;'Inputs'!$B$24,ROUNDUP(ROUND('Inputs'!$B$21*'Inputs'!$B$22^A190,6),0),"")</x:f>
        <x:v>16715533</x:v>
      </x:c>
      <x:c r="C190" s="21" t="n">
        <x:f>IF(A190&lt;='Inputs'!$B$24,C189+B189,"")</x:f>
        <x:v>238792696</x:v>
      </x:c>
      <x:c r="D190" s="29" t="n">
        <x:f>IF(A190&lt;='Inputs'!$B$24,'Inputs'!$B$23^A190,"")</x:f>
        <x:v>103.77355474090287</x:v>
      </x:c>
      <x:c r="E190" s="21" t="str">
        <x:f>IF(A190&lt;'Inputs'!$B$28,ROUNDUP(ROUND('Inputs'!$B$25*'Inputs'!$B$26^A190,6),0),"")</x:f>
      </x:c>
      <x:c r="F190" s="21" t="str">
        <x:f>IF(A190&lt;='Inputs'!$B$28,F189+E189,"")</x:f>
      </x:c>
      <x:c r="G190" s="29" t="str">
        <x:f>IF(A190&lt;='Inputs'!$B$28,'Inputs'!$B$27^A190,"")</x:f>
      </x:c>
      <x:c r="H190" s="21" t="str">
        <x:f>IF(A190&lt;'Inputs'!$B$32,ROUNDUP(ROUND('Inputs'!$B$29*'Inputs'!$B$30^A190,6),0),"")</x:f>
      </x:c>
      <x:c r="I190" s="21" t="str">
        <x:f>IF(A190&lt;='Inputs'!$B$32,I189+H189,"")</x:f>
      </x:c>
      <x:c r="J190" s="29" t="str">
        <x:f>IF(A190&lt;='Inputs'!$B$32,1+'Inputs'!$B$31*A190,"")</x:f>
      </x:c>
    </x:row>
    <x:row r="191" ht="25" customHeight="1">
      <x:c r="A191" s="19" t="n">
        <x:v>189</x:v>
      </x:c>
      <x:c r="B191" s="21" t="n">
        <x:f>IF(A191&lt;'Inputs'!$B$24,ROUNDUP(ROUND('Inputs'!$B$21*'Inputs'!$B$22^A191,6),0),"")</x:f>
        <x:v>17885620</x:v>
      </x:c>
      <x:c r="C191" s="21" t="n">
        <x:f>IF(A191&lt;='Inputs'!$B$24,C190+B190,"")</x:f>
        <x:v>255508229</x:v>
      </x:c>
      <x:c r="D191" s="29" t="n">
        <x:f>IF(A191&lt;='Inputs'!$B$24,'Inputs'!$B$23^A191,"")</x:f>
        <x:v>106.36789360942544</x:v>
      </x:c>
      <x:c r="E191" s="21" t="str">
        <x:f>IF(A191&lt;'Inputs'!$B$28,ROUNDUP(ROUND('Inputs'!$B$25*'Inputs'!$B$26^A191,6),0),"")</x:f>
      </x:c>
      <x:c r="F191" s="21" t="str">
        <x:f>IF(A191&lt;='Inputs'!$B$28,F190+E190,"")</x:f>
      </x:c>
      <x:c r="G191" s="29" t="str">
        <x:f>IF(A191&lt;='Inputs'!$B$28,'Inputs'!$B$27^A191,"")</x:f>
      </x:c>
      <x:c r="H191" s="21" t="str">
        <x:f>IF(A191&lt;'Inputs'!$B$32,ROUNDUP(ROUND('Inputs'!$B$29*'Inputs'!$B$30^A191,6),0),"")</x:f>
      </x:c>
      <x:c r="I191" s="21" t="str">
        <x:f>IF(A191&lt;='Inputs'!$B$32,I190+H190,"")</x:f>
      </x:c>
      <x:c r="J191" s="29" t="str">
        <x:f>IF(A191&lt;='Inputs'!$B$32,1+'Inputs'!$B$31*A191,"")</x:f>
      </x:c>
    </x:row>
    <x:row r="192" ht="25" customHeight="1">
      <x:c r="A192" s="19" t="n">
        <x:v>190</x:v>
      </x:c>
      <x:c r="B192" s="21" t="n">
        <x:f>IF(A192&lt;'Inputs'!$B$24,ROUNDUP(ROUND('Inputs'!$B$21*'Inputs'!$B$22^A192,6),0),"")</x:f>
        <x:v>19137613</x:v>
      </x:c>
      <x:c r="C192" s="21" t="n">
        <x:f>IF(A192&lt;='Inputs'!$B$24,C191+B191,"")</x:f>
        <x:v>273393849</x:v>
      </x:c>
      <x:c r="D192" s="29" t="n">
        <x:f>IF(A192&lt;='Inputs'!$B$24,'Inputs'!$B$23^A192,"")</x:f>
        <x:v>109.02709094966106</x:v>
      </x:c>
      <x:c r="E192" s="21" t="str">
        <x:f>IF(A192&lt;'Inputs'!$B$28,ROUNDUP(ROUND('Inputs'!$B$25*'Inputs'!$B$26^A192,6),0),"")</x:f>
      </x:c>
      <x:c r="F192" s="21" t="str">
        <x:f>IF(A192&lt;='Inputs'!$B$28,F191+E191,"")</x:f>
      </x:c>
      <x:c r="G192" s="29" t="str">
        <x:f>IF(A192&lt;='Inputs'!$B$28,'Inputs'!$B$27^A192,"")</x:f>
      </x:c>
      <x:c r="H192" s="21" t="str">
        <x:f>IF(A192&lt;'Inputs'!$B$32,ROUNDUP(ROUND('Inputs'!$B$29*'Inputs'!$B$30^A192,6),0),"")</x:f>
      </x:c>
      <x:c r="I192" s="21" t="str">
        <x:f>IF(A192&lt;='Inputs'!$B$32,I191+H191,"")</x:f>
      </x:c>
      <x:c r="J192" s="29" t="str">
        <x:f>IF(A192&lt;='Inputs'!$B$32,1+'Inputs'!$B$31*A192,"")</x:f>
      </x:c>
    </x:row>
    <x:row r="193" ht="25" customHeight="1">
      <x:c r="A193" s="19" t="n">
        <x:v>191</x:v>
      </x:c>
      <x:c r="B193" s="21" t="n">
        <x:f>IF(A193&lt;'Inputs'!$B$24,ROUNDUP(ROUND('Inputs'!$B$21*'Inputs'!$B$22^A193,6),0),"")</x:f>
        <x:v>20477246</x:v>
      </x:c>
      <x:c r="C193" s="21" t="n">
        <x:f>IF(A193&lt;='Inputs'!$B$24,C192+B192,"")</x:f>
        <x:v>292531462</x:v>
      </x:c>
      <x:c r="D193" s="29" t="n">
        <x:f>IF(A193&lt;='Inputs'!$B$24,'Inputs'!$B$23^A193,"")</x:f>
        <x:v>111.75276822340258</x:v>
      </x:c>
      <x:c r="E193" s="21" t="str">
        <x:f>IF(A193&lt;'Inputs'!$B$28,ROUNDUP(ROUND('Inputs'!$B$25*'Inputs'!$B$26^A193,6),0),"")</x:f>
      </x:c>
      <x:c r="F193" s="21" t="str">
        <x:f>IF(A193&lt;='Inputs'!$B$28,F192+E192,"")</x:f>
      </x:c>
      <x:c r="G193" s="29" t="str">
        <x:f>IF(A193&lt;='Inputs'!$B$28,'Inputs'!$B$27^A193,"")</x:f>
      </x:c>
      <x:c r="H193" s="21" t="str">
        <x:f>IF(A193&lt;'Inputs'!$B$32,ROUNDUP(ROUND('Inputs'!$B$29*'Inputs'!$B$30^A193,6),0),"")</x:f>
      </x:c>
      <x:c r="I193" s="21" t="str">
        <x:f>IF(A193&lt;='Inputs'!$B$32,I192+H192,"")</x:f>
      </x:c>
      <x:c r="J193" s="29" t="str">
        <x:f>IF(A193&lt;='Inputs'!$B$32,1+'Inputs'!$B$31*A193,"")</x:f>
      </x:c>
    </x:row>
    <x:row r="194" ht="25" customHeight="1">
      <x:c r="A194" s="19" t="n">
        <x:v>192</x:v>
      </x:c>
      <x:c r="B194" s="21" t="n">
        <x:f>IF(A194&lt;'Inputs'!$B$24,ROUNDUP(ROUND('Inputs'!$B$21*'Inputs'!$B$22^A194,6),0),"")</x:f>
        <x:v>21910653</x:v>
      </x:c>
      <x:c r="C194" s="21" t="n">
        <x:f>IF(A194&lt;='Inputs'!$B$24,C193+B193,"")</x:f>
        <x:v>313008708</x:v>
      </x:c>
      <x:c r="D194" s="29" t="n">
        <x:f>IF(A194&lt;='Inputs'!$B$24,'Inputs'!$B$23^A194,"")</x:f>
        <x:v>114.54658742898764</x:v>
      </x:c>
      <x:c r="E194" s="21" t="str">
        <x:f>IF(A194&lt;'Inputs'!$B$28,ROUNDUP(ROUND('Inputs'!$B$25*'Inputs'!$B$26^A194,6),0),"")</x:f>
      </x:c>
      <x:c r="F194" s="21" t="str">
        <x:f>IF(A194&lt;='Inputs'!$B$28,F193+E193,"")</x:f>
      </x:c>
      <x:c r="G194" s="29" t="str">
        <x:f>IF(A194&lt;='Inputs'!$B$28,'Inputs'!$B$27^A194,"")</x:f>
      </x:c>
      <x:c r="H194" s="21" t="str">
        <x:f>IF(A194&lt;'Inputs'!$B$32,ROUNDUP(ROUND('Inputs'!$B$29*'Inputs'!$B$30^A194,6),0),"")</x:f>
      </x:c>
      <x:c r="I194" s="21" t="str">
        <x:f>IF(A194&lt;='Inputs'!$B$32,I193+H193,"")</x:f>
      </x:c>
      <x:c r="J194" s="29" t="str">
        <x:f>IF(A194&lt;='Inputs'!$B$32,1+'Inputs'!$B$31*A194,"")</x:f>
      </x:c>
    </x:row>
    <x:row r="195" ht="25" customHeight="1">
      <x:c r="A195" s="19" t="n">
        <x:v>193</x:v>
      </x:c>
      <x:c r="B195" s="21" t="n">
        <x:f>IF(A195&lt;'Inputs'!$B$24,ROUNDUP(ROUND('Inputs'!$B$21*'Inputs'!$B$22^A195,6),0),"")</x:f>
        <x:v>23444399</x:v>
      </x:c>
      <x:c r="C195" s="21" t="n">
        <x:f>IF(A195&lt;='Inputs'!$B$24,C194+B194,"")</x:f>
        <x:v>334919361</x:v>
      </x:c>
      <x:c r="D195" s="29" t="n">
        <x:f>IF(A195&lt;='Inputs'!$B$24,'Inputs'!$B$23^A195,"")</x:f>
        <x:v>117.41025211471232</x:v>
      </x:c>
      <x:c r="E195" s="21" t="str">
        <x:f>IF(A195&lt;'Inputs'!$B$28,ROUNDUP(ROUND('Inputs'!$B$25*'Inputs'!$B$26^A195,6),0),"")</x:f>
      </x:c>
      <x:c r="F195" s="21" t="str">
        <x:f>IF(A195&lt;='Inputs'!$B$28,F194+E194,"")</x:f>
      </x:c>
      <x:c r="G195" s="29" t="str">
        <x:f>IF(A195&lt;='Inputs'!$B$28,'Inputs'!$B$27^A195,"")</x:f>
      </x:c>
      <x:c r="H195" s="21" t="str">
        <x:f>IF(A195&lt;'Inputs'!$B$32,ROUNDUP(ROUND('Inputs'!$B$29*'Inputs'!$B$30^A195,6),0),"")</x:f>
      </x:c>
      <x:c r="I195" s="21" t="str">
        <x:f>IF(A195&lt;='Inputs'!$B$32,I194+H194,"")</x:f>
      </x:c>
      <x:c r="J195" s="29" t="str">
        <x:f>IF(A195&lt;='Inputs'!$B$32,1+'Inputs'!$B$31*A195,"")</x:f>
      </x:c>
    </x:row>
    <x:row r="196" ht="25" customHeight="1">
      <x:c r="A196" s="19" t="n">
        <x:v>194</x:v>
      </x:c>
      <x:c r="B196" s="21" t="n">
        <x:f>IF(A196&lt;'Inputs'!$B$24,ROUNDUP(ROUND('Inputs'!$B$21*'Inputs'!$B$22^A196,6),0),"")</x:f>
        <x:v>25085507</x:v>
      </x:c>
      <x:c r="C196" s="21" t="n">
        <x:f>IF(A196&lt;='Inputs'!$B$24,C195+B195,"")</x:f>
        <x:v>358363760</x:v>
      </x:c>
      <x:c r="D196" s="29" t="n">
        <x:f>IF(A196&lt;='Inputs'!$B$24,'Inputs'!$B$23^A196,"")</x:f>
        <x:v>120.3455084175801</x:v>
      </x:c>
      <x:c r="E196" s="21" t="str">
        <x:f>IF(A196&lt;'Inputs'!$B$28,ROUNDUP(ROUND('Inputs'!$B$25*'Inputs'!$B$26^A196,6),0),"")</x:f>
      </x:c>
      <x:c r="F196" s="21" t="str">
        <x:f>IF(A196&lt;='Inputs'!$B$28,F195+E195,"")</x:f>
      </x:c>
      <x:c r="G196" s="29" t="str">
        <x:f>IF(A196&lt;='Inputs'!$B$28,'Inputs'!$B$27^A196,"")</x:f>
      </x:c>
      <x:c r="H196" s="21" t="str">
        <x:f>IF(A196&lt;'Inputs'!$B$32,ROUNDUP(ROUND('Inputs'!$B$29*'Inputs'!$B$30^A196,6),0),"")</x:f>
      </x:c>
      <x:c r="I196" s="21" t="str">
        <x:f>IF(A196&lt;='Inputs'!$B$32,I195+H195,"")</x:f>
      </x:c>
      <x:c r="J196" s="29" t="str">
        <x:f>IF(A196&lt;='Inputs'!$B$32,1+'Inputs'!$B$31*A196,"")</x:f>
      </x:c>
    </x:row>
    <x:row r="197" ht="25" customHeight="1">
      <x:c r="A197" s="19" t="n">
        <x:v>195</x:v>
      </x:c>
      <x:c r="B197" s="21" t="n">
        <x:f>IF(A197&lt;'Inputs'!$B$24,ROUNDUP(ROUND('Inputs'!$B$21*'Inputs'!$B$22^A197,6),0),"")</x:f>
        <x:v>26841493</x:v>
      </x:c>
      <x:c r="C197" s="21" t="n">
        <x:f>IF(A197&lt;='Inputs'!$B$24,C196+B196,"")</x:f>
        <x:v>383449267</x:v>
      </x:c>
      <x:c r="D197" s="29" t="n">
        <x:f>IF(A197&lt;='Inputs'!$B$24,'Inputs'!$B$23^A197,"")</x:f>
        <x:v>123.35414612801961</x:v>
      </x:c>
      <x:c r="E197" s="21" t="str">
        <x:f>IF(A197&lt;'Inputs'!$B$28,ROUNDUP(ROUND('Inputs'!$B$25*'Inputs'!$B$26^A197,6),0),"")</x:f>
      </x:c>
      <x:c r="F197" s="21" t="str">
        <x:f>IF(A197&lt;='Inputs'!$B$28,F196+E196,"")</x:f>
      </x:c>
      <x:c r="G197" s="29" t="str">
        <x:f>IF(A197&lt;='Inputs'!$B$28,'Inputs'!$B$27^A197,"")</x:f>
      </x:c>
      <x:c r="H197" s="21" t="str">
        <x:f>IF(A197&lt;'Inputs'!$B$32,ROUNDUP(ROUND('Inputs'!$B$29*'Inputs'!$B$30^A197,6),0),"")</x:f>
      </x:c>
      <x:c r="I197" s="21" t="str">
        <x:f>IF(A197&lt;='Inputs'!$B$32,I196+H196,"")</x:f>
      </x:c>
      <x:c r="J197" s="29" t="str">
        <x:f>IF(A197&lt;='Inputs'!$B$32,1+'Inputs'!$B$31*A197,"")</x:f>
      </x:c>
    </x:row>
    <x:row r="198" ht="25" customHeight="1">
      <x:c r="A198" s="19" t="n">
        <x:v>196</x:v>
      </x:c>
      <x:c r="B198" s="21" t="n">
        <x:f>IF(A198&lt;'Inputs'!$B$24,ROUNDUP(ROUND('Inputs'!$B$21*'Inputs'!$B$22^A198,6),0),"")</x:f>
        <x:v>28720397</x:v>
      </x:c>
      <x:c r="C198" s="21" t="n">
        <x:f>IF(A198&lt;='Inputs'!$B$24,C197+B197,"")</x:f>
        <x:v>410290760</x:v>
      </x:c>
      <x:c r="D198" s="29" t="n">
        <x:f>IF(A198&lt;='Inputs'!$B$24,'Inputs'!$B$23^A198,"")</x:f>
        <x:v>126.43799978122009</x:v>
      </x:c>
      <x:c r="E198" s="21" t="str">
        <x:f>IF(A198&lt;'Inputs'!$B$28,ROUNDUP(ROUND('Inputs'!$B$25*'Inputs'!$B$26^A198,6),0),"")</x:f>
      </x:c>
      <x:c r="F198" s="21" t="str">
        <x:f>IF(A198&lt;='Inputs'!$B$28,F197+E197,"")</x:f>
      </x:c>
      <x:c r="G198" s="29" t="str">
        <x:f>IF(A198&lt;='Inputs'!$B$28,'Inputs'!$B$27^A198,"")</x:f>
      </x:c>
      <x:c r="H198" s="21" t="str">
        <x:f>IF(A198&lt;'Inputs'!$B$32,ROUNDUP(ROUND('Inputs'!$B$29*'Inputs'!$B$30^A198,6),0),"")</x:f>
      </x:c>
      <x:c r="I198" s="21" t="str">
        <x:f>IF(A198&lt;='Inputs'!$B$32,I197+H197,"")</x:f>
      </x:c>
      <x:c r="J198" s="29" t="str">
        <x:f>IF(A198&lt;='Inputs'!$B$32,1+'Inputs'!$B$31*A198,"")</x:f>
      </x:c>
    </x:row>
    <x:row r="199" ht="25" customHeight="1">
      <x:c r="A199" s="19" t="n">
        <x:v>197</x:v>
      </x:c>
      <x:c r="B199" s="21" t="n">
        <x:f>IF(A199&lt;'Inputs'!$B$24,ROUNDUP(ROUND('Inputs'!$B$21*'Inputs'!$B$22^A199,6),0),"")</x:f>
        <x:v>30730825</x:v>
      </x:c>
      <x:c r="C199" s="21" t="n">
        <x:f>IF(A199&lt;='Inputs'!$B$24,C198+B198,"")</x:f>
        <x:v>439011157</x:v>
      </x:c>
      <x:c r="D199" s="29" t="n">
        <x:f>IF(A199&lt;='Inputs'!$B$24,'Inputs'!$B$23^A199,"")</x:f>
        <x:v>129.59894977575058</x:v>
      </x:c>
      <x:c r="E199" s="21" t="str">
        <x:f>IF(A199&lt;'Inputs'!$B$28,ROUNDUP(ROUND('Inputs'!$B$25*'Inputs'!$B$26^A199,6),0),"")</x:f>
      </x:c>
      <x:c r="F199" s="21" t="str">
        <x:f>IF(A199&lt;='Inputs'!$B$28,F198+E198,"")</x:f>
      </x:c>
      <x:c r="G199" s="29" t="str">
        <x:f>IF(A199&lt;='Inputs'!$B$28,'Inputs'!$B$27^A199,"")</x:f>
      </x:c>
      <x:c r="H199" s="21" t="str">
        <x:f>IF(A199&lt;'Inputs'!$B$32,ROUNDUP(ROUND('Inputs'!$B$29*'Inputs'!$B$30^A199,6),0),"")</x:f>
      </x:c>
      <x:c r="I199" s="21" t="str">
        <x:f>IF(A199&lt;='Inputs'!$B$32,I198+H198,"")</x:f>
      </x:c>
      <x:c r="J199" s="29" t="str">
        <x:f>IF(A199&lt;='Inputs'!$B$32,1+'Inputs'!$B$31*A199,"")</x:f>
      </x:c>
    </x:row>
    <x:row r="200" ht="25" customHeight="1">
      <x:c r="A200" s="19" t="n">
        <x:v>198</x:v>
      </x:c>
      <x:c r="B200" s="21" t="n">
        <x:f>IF(A200&lt;'Inputs'!$B$24,ROUNDUP(ROUND('Inputs'!$B$21*'Inputs'!$B$22^A200,6),0),"")</x:f>
        <x:v>32881982</x:v>
      </x:c>
      <x:c r="C200" s="21" t="n">
        <x:f>IF(A200&lt;='Inputs'!$B$24,C199+B199,"")</x:f>
        <x:v>469741982</x:v>
      </x:c>
      <x:c r="D200" s="29" t="n">
        <x:f>IF(A200&lt;='Inputs'!$B$24,'Inputs'!$B$23^A200,"")</x:f>
        <x:v>132.83892352014433</x:v>
      </x:c>
      <x:c r="E200" s="21" t="str">
        <x:f>IF(A200&lt;'Inputs'!$B$28,ROUNDUP(ROUND('Inputs'!$B$25*'Inputs'!$B$26^A200,6),0),"")</x:f>
      </x:c>
      <x:c r="F200" s="21" t="str">
        <x:f>IF(A200&lt;='Inputs'!$B$28,F199+E199,"")</x:f>
      </x:c>
      <x:c r="G200" s="29" t="str">
        <x:f>IF(A200&lt;='Inputs'!$B$28,'Inputs'!$B$27^A200,"")</x:f>
      </x:c>
      <x:c r="H200" s="21" t="str">
        <x:f>IF(A200&lt;'Inputs'!$B$32,ROUNDUP(ROUND('Inputs'!$B$29*'Inputs'!$B$30^A200,6),0),"")</x:f>
      </x:c>
      <x:c r="I200" s="21" t="str">
        <x:f>IF(A200&lt;='Inputs'!$B$32,I199+H199,"")</x:f>
      </x:c>
      <x:c r="J200" s="29" t="str">
        <x:f>IF(A200&lt;='Inputs'!$B$32,1+'Inputs'!$B$31*A200,"")</x:f>
      </x:c>
    </x:row>
    <x:row r="201" ht="25" customHeight="1">
      <x:c r="A201" s="19" t="n">
        <x:v>199</x:v>
      </x:c>
      <x:c r="B201" s="21" t="n">
        <x:f>IF(A201&lt;'Inputs'!$B$24,ROUNDUP(ROUND('Inputs'!$B$21*'Inputs'!$B$22^A201,6),0),"")</x:f>
        <x:v>35183721</x:v>
      </x:c>
      <x:c r="C201" s="21" t="n">
        <x:f>IF(A201&lt;='Inputs'!$B$24,C200+B200,"")</x:f>
        <x:v>502623964</x:v>
      </x:c>
      <x:c r="D201" s="29" t="n">
        <x:f>IF(A201&lt;='Inputs'!$B$24,'Inputs'!$B$23^A201,"")</x:f>
        <x:v>136.15989660814793</x:v>
      </x:c>
      <x:c r="E201" s="21" t="str">
        <x:f>IF(A201&lt;'Inputs'!$B$28,ROUNDUP(ROUND('Inputs'!$B$25*'Inputs'!$B$26^A201,6),0),"")</x:f>
      </x:c>
      <x:c r="F201" s="21" t="str">
        <x:f>IF(A201&lt;='Inputs'!$B$28,F200+E200,"")</x:f>
      </x:c>
      <x:c r="G201" s="29" t="str">
        <x:f>IF(A201&lt;='Inputs'!$B$28,'Inputs'!$B$27^A201,"")</x:f>
      </x:c>
      <x:c r="H201" s="21" t="str">
        <x:f>IF(A201&lt;'Inputs'!$B$32,ROUNDUP(ROUND('Inputs'!$B$29*'Inputs'!$B$30^A201,6),0),"")</x:f>
      </x:c>
      <x:c r="I201" s="21" t="str">
        <x:f>IF(A201&lt;='Inputs'!$B$32,I200+H200,"")</x:f>
      </x:c>
      <x:c r="J201" s="29" t="str">
        <x:f>IF(A201&lt;='Inputs'!$B$32,1+'Inputs'!$B$31*A201,"")</x:f>
      </x:c>
    </x:row>
    <x:row r="202" ht="25" customHeight="1">
      <x:c r="A202" s="19" t="n">
        <x:v>200</x:v>
      </x:c>
      <x:c r="B202" s="21" t="n">
        <x:f>IF(A202&lt;'Inputs'!$B$24,ROUNDUP(ROUND('Inputs'!$B$21*'Inputs'!$B$22^A202,6),0),"")</x:f>
        <x:v>37646582</x:v>
      </x:c>
      <x:c r="C202" s="21" t="n">
        <x:f>IF(A202&lt;='Inputs'!$B$24,C201+B201,"")</x:f>
        <x:v>537807685</x:v>
      </x:c>
      <x:c r="D202" s="29" t="n">
        <x:f>IF(A202&lt;='Inputs'!$B$24,'Inputs'!$B$23^A202,"")</x:f>
        <x:v>139.56389402335162</x:v>
      </x:c>
      <x:c r="E202" s="21" t="str">
        <x:f>IF(A202&lt;'Inputs'!$B$28,ROUNDUP(ROUND('Inputs'!$B$25*'Inputs'!$B$26^A202,6),0),"")</x:f>
      </x:c>
      <x:c r="F202" s="21" t="str">
        <x:f>IF(A202&lt;='Inputs'!$B$28,F201+E201,"")</x:f>
      </x:c>
      <x:c r="G202" s="29" t="str">
        <x:f>IF(A202&lt;='Inputs'!$B$28,'Inputs'!$B$27^A202,"")</x:f>
      </x:c>
      <x:c r="H202" s="21" t="str">
        <x:f>IF(A202&lt;'Inputs'!$B$32,ROUNDUP(ROUND('Inputs'!$B$29*'Inputs'!$B$30^A202,6),0),"")</x:f>
      </x:c>
      <x:c r="I202" s="21" t="str">
        <x:f>IF(A202&lt;='Inputs'!$B$32,I201+H201,"")</x:f>
      </x:c>
      <x:c r="J202" s="29" t="str">
        <x:f>IF(A202&lt;='Inputs'!$B$32,1+'Inputs'!$B$31*A202,"")</x:f>
      </x:c>
    </x:row>
    <x:row r="203" ht="25" customHeight="1">
      <x:c r="A203" s="19" t="n">
        <x:v>201</x:v>
      </x:c>
      <x:c r="B203" s="21" t="n">
        <x:f>IF(A203&lt;'Inputs'!$B$24,ROUNDUP(ROUND('Inputs'!$B$21*'Inputs'!$B$22^A203,6),0),"")</x:f>
        <x:v>40281842</x:v>
      </x:c>
      <x:c r="C203" s="21" t="n">
        <x:f>IF(A203&lt;='Inputs'!$B$24,C202+B202,"")</x:f>
        <x:v>575454267</x:v>
      </x:c>
      <x:c r="D203" s="29" t="n">
        <x:f>IF(A203&lt;='Inputs'!$B$24,'Inputs'!$B$23^A203,"")</x:f>
        <x:v>143.05299137393538</x:v>
      </x:c>
      <x:c r="E203" s="21" t="str">
        <x:f>IF(A203&lt;'Inputs'!$B$28,ROUNDUP(ROUND('Inputs'!$B$25*'Inputs'!$B$26^A203,6),0),"")</x:f>
      </x:c>
      <x:c r="F203" s="21" t="str">
        <x:f>IF(A203&lt;='Inputs'!$B$28,F202+E202,"")</x:f>
      </x:c>
      <x:c r="G203" s="29" t="str">
        <x:f>IF(A203&lt;='Inputs'!$B$28,'Inputs'!$B$27^A203,"")</x:f>
      </x:c>
      <x:c r="H203" s="21" t="str">
        <x:f>IF(A203&lt;'Inputs'!$B$32,ROUNDUP(ROUND('Inputs'!$B$29*'Inputs'!$B$30^A203,6),0),"")</x:f>
      </x:c>
      <x:c r="I203" s="21" t="str">
        <x:f>IF(A203&lt;='Inputs'!$B$32,I202+H202,"")</x:f>
      </x:c>
      <x:c r="J203" s="29" t="str">
        <x:f>IF(A203&lt;='Inputs'!$B$32,1+'Inputs'!$B$31*A203,"")</x:f>
      </x:c>
    </x:row>
    <x:row r="204" ht="25" customHeight="1">
      <x:c r="A204" s="19" t="n">
        <x:v>202</x:v>
      </x:c>
      <x:c r="B204" s="21" t="n">
        <x:f>IF(A204&lt;'Inputs'!$B$24,ROUNDUP(ROUND('Inputs'!$B$21*'Inputs'!$B$22^A204,6),0),"")</x:f>
        <x:v>43101571</x:v>
      </x:c>
      <x:c r="C204" s="21" t="n">
        <x:f>IF(A204&lt;='Inputs'!$B$24,C203+B203,"")</x:f>
        <x:v>615736109</x:v>
      </x:c>
      <x:c r="D204" s="29" t="n">
        <x:f>IF(A204&lt;='Inputs'!$B$24,'Inputs'!$B$23^A204,"")</x:f>
        <x:v>146.62931615828376</x:v>
      </x:c>
      <x:c r="E204" s="21" t="str">
        <x:f>IF(A204&lt;'Inputs'!$B$28,ROUNDUP(ROUND('Inputs'!$B$25*'Inputs'!$B$26^A204,6),0),"")</x:f>
      </x:c>
      <x:c r="F204" s="21" t="str">
        <x:f>IF(A204&lt;='Inputs'!$B$28,F203+E203,"")</x:f>
      </x:c>
      <x:c r="G204" s="29" t="str">
        <x:f>IF(A204&lt;='Inputs'!$B$28,'Inputs'!$B$27^A204,"")</x:f>
      </x:c>
      <x:c r="H204" s="21" t="str">
        <x:f>IF(A204&lt;'Inputs'!$B$32,ROUNDUP(ROUND('Inputs'!$B$29*'Inputs'!$B$30^A204,6),0),"")</x:f>
      </x:c>
      <x:c r="I204" s="21" t="str">
        <x:f>IF(A204&lt;='Inputs'!$B$32,I203+H203,"")</x:f>
      </x:c>
      <x:c r="J204" s="29" t="str">
        <x:f>IF(A204&lt;='Inputs'!$B$32,1+'Inputs'!$B$31*A204,"")</x:f>
      </x:c>
    </x:row>
    <x:row r="205" ht="25" customHeight="1">
      <x:c r="A205" s="19" t="n">
        <x:v>203</x:v>
      </x:c>
      <x:c r="B205" s="21" t="n">
        <x:f>IF(A205&lt;'Inputs'!$B$24,ROUNDUP(ROUND('Inputs'!$B$21*'Inputs'!$B$22^A205,6),0),"")</x:f>
        <x:v>46118681</x:v>
      </x:c>
      <x:c r="C205" s="21" t="n">
        <x:f>IF(A205&lt;='Inputs'!$B$24,C204+B204,"")</x:f>
        <x:v>658837680</x:v>
      </x:c>
      <x:c r="D205" s="29" t="n">
        <x:f>IF(A205&lt;='Inputs'!$B$24,'Inputs'!$B$23^A205,"")</x:f>
        <x:v>150.29504906224085</x:v>
      </x:c>
      <x:c r="E205" s="21" t="str">
        <x:f>IF(A205&lt;'Inputs'!$B$28,ROUNDUP(ROUND('Inputs'!$B$25*'Inputs'!$B$26^A205,6),0),"")</x:f>
      </x:c>
      <x:c r="F205" s="21" t="str">
        <x:f>IF(A205&lt;='Inputs'!$B$28,F204+E204,"")</x:f>
      </x:c>
      <x:c r="G205" s="29" t="str">
        <x:f>IF(A205&lt;='Inputs'!$B$28,'Inputs'!$B$27^A205,"")</x:f>
      </x:c>
      <x:c r="H205" s="21" t="str">
        <x:f>IF(A205&lt;'Inputs'!$B$32,ROUNDUP(ROUND('Inputs'!$B$29*'Inputs'!$B$30^A205,6),0),"")</x:f>
      </x:c>
      <x:c r="I205" s="21" t="str">
        <x:f>IF(A205&lt;='Inputs'!$B$32,I204+H204,"")</x:f>
      </x:c>
      <x:c r="J205" s="29" t="str">
        <x:f>IF(A205&lt;='Inputs'!$B$32,1+'Inputs'!$B$31*A205,"")</x:f>
      </x:c>
    </x:row>
    <x:row r="206" ht="25" customHeight="1">
      <x:c r="A206" s="19" t="n">
        <x:v>204</x:v>
      </x:c>
      <x:c r="B206" s="21" t="n">
        <x:f>IF(A206&lt;'Inputs'!$B$24,ROUNDUP(ROUND('Inputs'!$B$21*'Inputs'!$B$22^A206,6),0),"")</x:f>
        <x:v>49346989</x:v>
      </x:c>
      <x:c r="C206" s="21" t="n">
        <x:f>IF(A206&lt;='Inputs'!$B$24,C205+B205,"")</x:f>
        <x:v>704956361</x:v>
      </x:c>
      <x:c r="D206" s="29" t="n">
        <x:f>IF(A206&lt;='Inputs'!$B$24,'Inputs'!$B$23^A206,"")</x:f>
        <x:v>154.05242528879685</x:v>
      </x:c>
      <x:c r="E206" s="21" t="str">
        <x:f>IF(A206&lt;'Inputs'!$B$28,ROUNDUP(ROUND('Inputs'!$B$25*'Inputs'!$B$26^A206,6),0),"")</x:f>
      </x:c>
      <x:c r="F206" s="21" t="str">
        <x:f>IF(A206&lt;='Inputs'!$B$28,F205+E205,"")</x:f>
      </x:c>
      <x:c r="G206" s="29" t="str">
        <x:f>IF(A206&lt;='Inputs'!$B$28,'Inputs'!$B$27^A206,"")</x:f>
      </x:c>
      <x:c r="H206" s="21" t="str">
        <x:f>IF(A206&lt;'Inputs'!$B$32,ROUNDUP(ROUND('Inputs'!$B$29*'Inputs'!$B$30^A206,6),0),"")</x:f>
      </x:c>
      <x:c r="I206" s="21" t="str">
        <x:f>IF(A206&lt;='Inputs'!$B$32,I205+H205,"")</x:f>
      </x:c>
      <x:c r="J206" s="29" t="str">
        <x:f>IF(A206&lt;='Inputs'!$B$32,1+'Inputs'!$B$31*A206,"")</x:f>
      </x:c>
    </x:row>
    <x:row r="207" ht="25" customHeight="1">
      <x:c r="A207" s="19" t="n">
        <x:v>205</x:v>
      </x:c>
      <x:c r="B207" s="21" t="n">
        <x:f>IF(A207&lt;'Inputs'!$B$24,ROUNDUP(ROUND('Inputs'!$B$21*'Inputs'!$B$22^A207,6),0),"")</x:f>
        <x:v>52801278</x:v>
      </x:c>
      <x:c r="C207" s="21" t="n">
        <x:f>IF(A207&lt;='Inputs'!$B$24,C206+B206,"")</x:f>
        <x:v>754303350</x:v>
      </x:c>
      <x:c r="D207" s="29" t="n">
        <x:f>IF(A207&lt;='Inputs'!$B$24,'Inputs'!$B$23^A207,"")</x:f>
        <x:v>157.90373592101676</x:v>
      </x:c>
      <x:c r="E207" s="21" t="str">
        <x:f>IF(A207&lt;'Inputs'!$B$28,ROUNDUP(ROUND('Inputs'!$B$25*'Inputs'!$B$26^A207,6),0),"")</x:f>
      </x:c>
      <x:c r="F207" s="21" t="str">
        <x:f>IF(A207&lt;='Inputs'!$B$28,F206+E206,"")</x:f>
      </x:c>
      <x:c r="G207" s="29" t="str">
        <x:f>IF(A207&lt;='Inputs'!$B$28,'Inputs'!$B$27^A207,"")</x:f>
      </x:c>
      <x:c r="H207" s="21" t="str">
        <x:f>IF(A207&lt;'Inputs'!$B$32,ROUNDUP(ROUND('Inputs'!$B$29*'Inputs'!$B$30^A207,6),0),"")</x:f>
      </x:c>
      <x:c r="I207" s="21" t="str">
        <x:f>IF(A207&lt;='Inputs'!$B$32,I206+H206,"")</x:f>
      </x:c>
      <x:c r="J207" s="29" t="str">
        <x:f>IF(A207&lt;='Inputs'!$B$32,1+'Inputs'!$B$31*A207,"")</x:f>
      </x:c>
    </x:row>
    <x:row r="208" ht="25" customHeight="1">
      <x:c r="A208" s="19" t="n">
        <x:v>206</x:v>
      </x:c>
      <x:c r="B208" s="21" t="n">
        <x:f>IF(A208&lt;'Inputs'!$B$24,ROUNDUP(ROUND('Inputs'!$B$21*'Inputs'!$B$22^A208,6),0),"")</x:f>
        <x:v>56497367</x:v>
      </x:c>
      <x:c r="C208" s="21" t="n">
        <x:f>IF(A208&lt;='Inputs'!$B$24,C207+B207,"")</x:f>
        <x:v>807104628</x:v>
      </x:c>
      <x:c r="D208" s="29" t="n">
        <x:f>IF(A208&lt;='Inputs'!$B$24,'Inputs'!$B$23^A208,"")</x:f>
        <x:v>161.85132931904215</x:v>
      </x:c>
      <x:c r="E208" s="21" t="str">
        <x:f>IF(A208&lt;'Inputs'!$B$28,ROUNDUP(ROUND('Inputs'!$B$25*'Inputs'!$B$26^A208,6),0),"")</x:f>
      </x:c>
      <x:c r="F208" s="21" t="str">
        <x:f>IF(A208&lt;='Inputs'!$B$28,F207+E207,"")</x:f>
      </x:c>
      <x:c r="G208" s="29" t="str">
        <x:f>IF(A208&lt;='Inputs'!$B$28,'Inputs'!$B$27^A208,"")</x:f>
      </x:c>
      <x:c r="H208" s="21" t="str">
        <x:f>IF(A208&lt;'Inputs'!$B$32,ROUNDUP(ROUND('Inputs'!$B$29*'Inputs'!$B$30^A208,6),0),"")</x:f>
      </x:c>
      <x:c r="I208" s="21" t="str">
        <x:f>IF(A208&lt;='Inputs'!$B$32,I207+H207,"")</x:f>
      </x:c>
      <x:c r="J208" s="29" t="str">
        <x:f>IF(A208&lt;='Inputs'!$B$32,1+'Inputs'!$B$31*A208,"")</x:f>
      </x:c>
    </x:row>
    <x:row r="209" ht="25" customHeight="1">
      <x:c r="A209" s="19" t="n">
        <x:v>207</x:v>
      </x:c>
      <x:c r="B209" s="21" t="n">
        <x:f>IF(A209&lt;'Inputs'!$B$24,ROUNDUP(ROUND('Inputs'!$B$21*'Inputs'!$B$22^A209,6),0),"")</x:f>
        <x:v>60452183</x:v>
      </x:c>
      <x:c r="C209" s="21" t="n">
        <x:f>IF(A209&lt;='Inputs'!$B$24,C208+B208,"")</x:f>
        <x:v>863601995</x:v>
      </x:c>
      <x:c r="D209" s="29" t="n">
        <x:f>IF(A209&lt;='Inputs'!$B$24,'Inputs'!$B$23^A209,"")</x:f>
        <x:v>165.8976125520182</x:v>
      </x:c>
      <x:c r="E209" s="21" t="str">
        <x:f>IF(A209&lt;'Inputs'!$B$28,ROUNDUP(ROUND('Inputs'!$B$25*'Inputs'!$B$26^A209,6),0),"")</x:f>
      </x:c>
      <x:c r="F209" s="21" t="str">
        <x:f>IF(A209&lt;='Inputs'!$B$28,F208+E208,"")</x:f>
      </x:c>
      <x:c r="G209" s="29" t="str">
        <x:f>IF(A209&lt;='Inputs'!$B$28,'Inputs'!$B$27^A209,"")</x:f>
      </x:c>
      <x:c r="H209" s="21" t="str">
        <x:f>IF(A209&lt;'Inputs'!$B$32,ROUNDUP(ROUND('Inputs'!$B$29*'Inputs'!$B$30^A209,6),0),"")</x:f>
      </x:c>
      <x:c r="I209" s="21" t="str">
        <x:f>IF(A209&lt;='Inputs'!$B$32,I208+H208,"")</x:f>
      </x:c>
      <x:c r="J209" s="29" t="str">
        <x:f>IF(A209&lt;='Inputs'!$B$32,1+'Inputs'!$B$31*A209,"")</x:f>
      </x:c>
    </x:row>
    <x:row r="210" ht="25" customHeight="1">
      <x:c r="A210" s="19" t="n">
        <x:v>208</x:v>
      </x:c>
      <x:c r="B210" s="21" t="n">
        <x:f>IF(A210&lt;'Inputs'!$B$24,ROUNDUP(ROUND('Inputs'!$B$21*'Inputs'!$B$22^A210,6),0),"")</x:f>
        <x:v>64683836</x:v>
      </x:c>
      <x:c r="C210" s="21" t="n">
        <x:f>IF(A210&lt;='Inputs'!$B$24,C209+B209,"")</x:f>
        <x:v>924054178</x:v>
      </x:c>
      <x:c r="D210" s="29" t="n">
        <x:f>IF(A210&lt;='Inputs'!$B$24,'Inputs'!$B$23^A210,"")</x:f>
        <x:v>170.04505286581863</x:v>
      </x:c>
      <x:c r="E210" s="21" t="str">
        <x:f>IF(A210&lt;'Inputs'!$B$28,ROUNDUP(ROUND('Inputs'!$B$25*'Inputs'!$B$26^A210,6),0),"")</x:f>
      </x:c>
      <x:c r="F210" s="21" t="str">
        <x:f>IF(A210&lt;='Inputs'!$B$28,F209+E209,"")</x:f>
      </x:c>
      <x:c r="G210" s="29" t="str">
        <x:f>IF(A210&lt;='Inputs'!$B$28,'Inputs'!$B$27^A210,"")</x:f>
      </x:c>
      <x:c r="H210" s="21" t="str">
        <x:f>IF(A210&lt;'Inputs'!$B$32,ROUNDUP(ROUND('Inputs'!$B$29*'Inputs'!$B$30^A210,6),0),"")</x:f>
      </x:c>
      <x:c r="I210" s="21" t="str">
        <x:f>IF(A210&lt;='Inputs'!$B$32,I209+H209,"")</x:f>
      </x:c>
      <x:c r="J210" s="29" t="str">
        <x:f>IF(A210&lt;='Inputs'!$B$32,1+'Inputs'!$B$31*A210,"")</x:f>
      </x:c>
    </x:row>
    <x:row r="211" ht="25" customHeight="1">
      <x:c r="A211" s="19" t="n">
        <x:v>209</x:v>
      </x:c>
      <x:c r="B211" s="21" t="n">
        <x:f>IF(A211&lt;'Inputs'!$B$24,ROUNDUP(ROUND('Inputs'!$B$21*'Inputs'!$B$22^A211,6),0),"")</x:f>
        <x:v>69211704</x:v>
      </x:c>
      <x:c r="C211" s="21" t="n">
        <x:f>IF(A211&lt;='Inputs'!$B$24,C210+B210,"")</x:f>
        <x:v>988738014</x:v>
      </x:c>
      <x:c r="D211" s="29" t="n">
        <x:f>IF(A211&lt;='Inputs'!$B$24,'Inputs'!$B$23^A211,"")</x:f>
        <x:v>174.2961791874641</x:v>
      </x:c>
      <x:c r="E211" s="21" t="str">
        <x:f>IF(A211&lt;'Inputs'!$B$28,ROUNDUP(ROUND('Inputs'!$B$25*'Inputs'!$B$26^A211,6),0),"")</x:f>
      </x:c>
      <x:c r="F211" s="21" t="str">
        <x:f>IF(A211&lt;='Inputs'!$B$28,F210+E210,"")</x:f>
      </x:c>
      <x:c r="G211" s="29" t="str">
        <x:f>IF(A211&lt;='Inputs'!$B$28,'Inputs'!$B$27^A211,"")</x:f>
      </x:c>
      <x:c r="H211" s="21" t="str">
        <x:f>IF(A211&lt;'Inputs'!$B$32,ROUNDUP(ROUND('Inputs'!$B$29*'Inputs'!$B$30^A211,6),0),"")</x:f>
      </x:c>
      <x:c r="I211" s="21" t="str">
        <x:f>IF(A211&lt;='Inputs'!$B$32,I210+H210,"")</x:f>
      </x:c>
      <x:c r="J211" s="29" t="str">
        <x:f>IF(A211&lt;='Inputs'!$B$32,1+'Inputs'!$B$31*A211,"")</x:f>
      </x:c>
    </x:row>
    <x:row r="212" ht="25" customHeight="1">
      <x:c r="A212" s="19" t="n">
        <x:v>210</x:v>
      </x:c>
      <x:c r="B212" s="21" t="n">
        <x:f>IF(A212&lt;'Inputs'!$B$24,ROUNDUP(ROUND('Inputs'!$B$21*'Inputs'!$B$22^A212,6),0),"")</x:f>
        <x:v>74056524</x:v>
      </x:c>
      <x:c r="C212" s="21" t="n">
        <x:f>IF(A212&lt;='Inputs'!$B$24,C211+B211,"")</x:f>
        <x:v>1057949718</x:v>
      </x:c>
      <x:c r="D212" s="29" t="n">
        <x:f>IF(A212&lt;='Inputs'!$B$24,'Inputs'!$B$23^A212,"")</x:f>
        <x:v>178.65358366715068</x:v>
      </x:c>
      <x:c r="E212" s="21" t="str">
        <x:f>IF(A212&lt;'Inputs'!$B$28,ROUNDUP(ROUND('Inputs'!$B$25*'Inputs'!$B$26^A212,6),0),"")</x:f>
      </x:c>
      <x:c r="F212" s="21" t="str">
        <x:f>IF(A212&lt;='Inputs'!$B$28,F211+E211,"")</x:f>
      </x:c>
      <x:c r="G212" s="29" t="str">
        <x:f>IF(A212&lt;='Inputs'!$B$28,'Inputs'!$B$27^A212,"")</x:f>
      </x:c>
      <x:c r="H212" s="21" t="str">
        <x:f>IF(A212&lt;'Inputs'!$B$32,ROUNDUP(ROUND('Inputs'!$B$29*'Inputs'!$B$30^A212,6),0),"")</x:f>
      </x:c>
      <x:c r="I212" s="21" t="str">
        <x:f>IF(A212&lt;='Inputs'!$B$32,I211+H211,"")</x:f>
      </x:c>
      <x:c r="J212" s="29" t="str">
        <x:f>IF(A212&lt;='Inputs'!$B$32,1+'Inputs'!$B$31*A212,"")</x:f>
      </x:c>
    </x:row>
    <x:row r="213" ht="25" customHeight="1">
      <x:c r="A213" s="19" t="n">
        <x:v>211</x:v>
      </x:c>
      <x:c r="B213" s="21" t="n">
        <x:f>IF(A213&lt;'Inputs'!$B$24,ROUNDUP(ROUND('Inputs'!$B$21*'Inputs'!$B$22^A213,6),0),"")</x:f>
        <x:v>79240480</x:v>
      </x:c>
      <x:c r="C213" s="21" t="n">
        <x:f>IF(A213&lt;='Inputs'!$B$24,C212+B212,"")</x:f>
        <x:v>1132006242</x:v>
      </x:c>
      <x:c r="D213" s="29" t="n">
        <x:f>IF(A213&lt;='Inputs'!$B$24,'Inputs'!$B$23^A213,"")</x:f>
        <x:v>183.11992325882943</x:v>
      </x:c>
      <x:c r="E213" s="21" t="str">
        <x:f>IF(A213&lt;'Inputs'!$B$28,ROUNDUP(ROUND('Inputs'!$B$25*'Inputs'!$B$26^A213,6),0),"")</x:f>
      </x:c>
      <x:c r="F213" s="21" t="str">
        <x:f>IF(A213&lt;='Inputs'!$B$28,F212+E212,"")</x:f>
      </x:c>
      <x:c r="G213" s="29" t="str">
        <x:f>IF(A213&lt;='Inputs'!$B$28,'Inputs'!$B$27^A213,"")</x:f>
      </x:c>
      <x:c r="H213" s="21" t="str">
        <x:f>IF(A213&lt;'Inputs'!$B$32,ROUNDUP(ROUND('Inputs'!$B$29*'Inputs'!$B$30^A213,6),0),"")</x:f>
      </x:c>
      <x:c r="I213" s="21" t="str">
        <x:f>IF(A213&lt;='Inputs'!$B$32,I212+H212,"")</x:f>
      </x:c>
      <x:c r="J213" s="29" t="str">
        <x:f>IF(A213&lt;='Inputs'!$B$32,1+'Inputs'!$B$31*A213,"")</x:f>
      </x:c>
    </x:row>
    <x:row r="214" ht="25" customHeight="1">
      <x:c r="A214" s="19" t="n">
        <x:v>212</x:v>
      </x:c>
      <x:c r="B214" s="21" t="n">
        <x:f>IF(A214&lt;'Inputs'!$B$24,ROUNDUP(ROUND('Inputs'!$B$21*'Inputs'!$B$22^A214,6),0),"")</x:f>
        <x:v>84787314</x:v>
      </x:c>
      <x:c r="C214" s="21" t="n">
        <x:f>IF(A214&lt;='Inputs'!$B$24,C213+B213,"")</x:f>
        <x:v>1211246722</x:v>
      </x:c>
      <x:c r="D214" s="29" t="n">
        <x:f>IF(A214&lt;='Inputs'!$B$24,'Inputs'!$B$23^A214,"")</x:f>
        <x:v>187.69792134030016</x:v>
      </x:c>
      <x:c r="E214" s="21" t="str">
        <x:f>IF(A214&lt;'Inputs'!$B$28,ROUNDUP(ROUND('Inputs'!$B$25*'Inputs'!$B$26^A214,6),0),"")</x:f>
      </x:c>
      <x:c r="F214" s="21" t="str">
        <x:f>IF(A214&lt;='Inputs'!$B$28,F213+E213,"")</x:f>
      </x:c>
      <x:c r="G214" s="29" t="str">
        <x:f>IF(A214&lt;='Inputs'!$B$28,'Inputs'!$B$27^A214,"")</x:f>
      </x:c>
      <x:c r="H214" s="21" t="str">
        <x:f>IF(A214&lt;'Inputs'!$B$32,ROUNDUP(ROUND('Inputs'!$B$29*'Inputs'!$B$30^A214,6),0),"")</x:f>
      </x:c>
      <x:c r="I214" s="21" t="str">
        <x:f>IF(A214&lt;='Inputs'!$B$32,I213+H213,"")</x:f>
      </x:c>
      <x:c r="J214" s="29" t="str">
        <x:f>IF(A214&lt;='Inputs'!$B$32,1+'Inputs'!$B$31*A214,"")</x:f>
      </x:c>
    </x:row>
    <x:row r="215" ht="25" customHeight="1">
      <x:c r="A215" s="19" t="n">
        <x:v>213</x:v>
      </x:c>
      <x:c r="B215" s="21" t="n">
        <x:f>IF(A215&lt;'Inputs'!$B$24,ROUNDUP(ROUND('Inputs'!$B$21*'Inputs'!$B$22^A215,6),0),"")</x:f>
        <x:v>90722426</x:v>
      </x:c>
      <x:c r="C215" s="21" t="n">
        <x:f>IF(A215&lt;='Inputs'!$B$24,C214+B214,"")</x:f>
        <x:v>1296034036</x:v>
      </x:c>
      <x:c r="D215" s="29" t="n">
        <x:f>IF(A215&lt;='Inputs'!$B$24,'Inputs'!$B$23^A215,"")</x:f>
        <x:v>192.39036937380763</x:v>
      </x:c>
      <x:c r="E215" s="21" t="str">
        <x:f>IF(A215&lt;'Inputs'!$B$28,ROUNDUP(ROUND('Inputs'!$B$25*'Inputs'!$B$26^A215,6),0),"")</x:f>
      </x:c>
      <x:c r="F215" s="21" t="str">
        <x:f>IF(A215&lt;='Inputs'!$B$28,F214+E214,"")</x:f>
      </x:c>
      <x:c r="G215" s="29" t="str">
        <x:f>IF(A215&lt;='Inputs'!$B$28,'Inputs'!$B$27^A215,"")</x:f>
      </x:c>
      <x:c r="H215" s="21" t="str">
        <x:f>IF(A215&lt;'Inputs'!$B$32,ROUNDUP(ROUND('Inputs'!$B$29*'Inputs'!$B$30^A215,6),0),"")</x:f>
      </x:c>
      <x:c r="I215" s="21" t="str">
        <x:f>IF(A215&lt;='Inputs'!$B$32,I214+H214,"")</x:f>
      </x:c>
      <x:c r="J215" s="29" t="str">
        <x:f>IF(A215&lt;='Inputs'!$B$32,1+'Inputs'!$B$31*A215,"")</x:f>
      </x:c>
    </x:row>
    <x:row r="216" ht="25" customHeight="1">
      <x:c r="A216" s="19" t="n">
        <x:v>214</x:v>
      </x:c>
      <x:c r="B216" s="21" t="n">
        <x:f>IF(A216&lt;'Inputs'!$B$24,ROUNDUP(ROUND('Inputs'!$B$21*'Inputs'!$B$22^A216,6),0),"")</x:f>
        <x:v>97072995</x:v>
      </x:c>
      <x:c r="C216" s="21" t="n">
        <x:f>IF(A216&lt;='Inputs'!$B$24,C215+B215,"")</x:f>
        <x:v>1386756462</x:v>
      </x:c>
      <x:c r="D216" s="29" t="n">
        <x:f>IF(A216&lt;='Inputs'!$B$24,'Inputs'!$B$23^A216,"")</x:f>
        <x:v>197.20012860815282</x:v>
      </x:c>
      <x:c r="E216" s="21" t="str">
        <x:f>IF(A216&lt;'Inputs'!$B$28,ROUNDUP(ROUND('Inputs'!$B$25*'Inputs'!$B$26^A216,6),0),"")</x:f>
      </x:c>
      <x:c r="F216" s="21" t="str">
        <x:f>IF(A216&lt;='Inputs'!$B$28,F215+E215,"")</x:f>
      </x:c>
      <x:c r="G216" s="29" t="str">
        <x:f>IF(A216&lt;='Inputs'!$B$28,'Inputs'!$B$27^A216,"")</x:f>
      </x:c>
      <x:c r="H216" s="21" t="str">
        <x:f>IF(A216&lt;'Inputs'!$B$32,ROUNDUP(ROUND('Inputs'!$B$29*'Inputs'!$B$30^A216,6),0),"")</x:f>
      </x:c>
      <x:c r="I216" s="21" t="str">
        <x:f>IF(A216&lt;='Inputs'!$B$32,I215+H215,"")</x:f>
      </x:c>
      <x:c r="J216" s="29" t="str">
        <x:f>IF(A216&lt;='Inputs'!$B$32,1+'Inputs'!$B$31*A216,"")</x:f>
      </x:c>
    </x:row>
    <x:row r="217" ht="25" customHeight="1">
      <x:c r="A217" s="19" t="n">
        <x:v>215</x:v>
      </x:c>
      <x:c r="B217" s="21" t="n">
        <x:f>IF(A217&lt;'Inputs'!$B$24,ROUNDUP(ROUND('Inputs'!$B$21*'Inputs'!$B$22^A217,6),0),"")</x:f>
        <x:v>103868105</x:v>
      </x:c>
      <x:c r="C217" s="21" t="n">
        <x:f>IF(A217&lt;='Inputs'!$B$24,C216+B216,"")</x:f>
        <x:v>1483829457</x:v>
      </x:c>
      <x:c r="D217" s="29" t="n">
        <x:f>IF(A217&lt;='Inputs'!$B$24,'Inputs'!$B$23^A217,"")</x:f>
        <x:v>202.1301318233566</x:v>
      </x:c>
      <x:c r="E217" s="21" t="str">
        <x:f>IF(A217&lt;'Inputs'!$B$28,ROUNDUP(ROUND('Inputs'!$B$25*'Inputs'!$B$26^A217,6),0),"")</x:f>
      </x:c>
      <x:c r="F217" s="21" t="str">
        <x:f>IF(A217&lt;='Inputs'!$B$28,F216+E216,"")</x:f>
      </x:c>
      <x:c r="G217" s="29" t="str">
        <x:f>IF(A217&lt;='Inputs'!$B$28,'Inputs'!$B$27^A217,"")</x:f>
      </x:c>
      <x:c r="H217" s="21" t="str">
        <x:f>IF(A217&lt;'Inputs'!$B$32,ROUNDUP(ROUND('Inputs'!$B$29*'Inputs'!$B$30^A217,6),0),"")</x:f>
      </x:c>
      <x:c r="I217" s="21" t="str">
        <x:f>IF(A217&lt;='Inputs'!$B$32,I216+H216,"")</x:f>
      </x:c>
      <x:c r="J217" s="29" t="str">
        <x:f>IF(A217&lt;='Inputs'!$B$32,1+'Inputs'!$B$31*A217,"")</x:f>
      </x:c>
    </x:row>
    <x:row r="218" ht="25" customHeight="1">
      <x:c r="A218" s="19" t="n">
        <x:v>216</x:v>
      </x:c>
      <x:c r="B218" s="21" t="n">
        <x:f>IF(A218&lt;'Inputs'!$B$24,ROUNDUP(ROUND('Inputs'!$B$21*'Inputs'!$B$22^A218,6),0),"")</x:f>
        <x:v>111138872</x:v>
      </x:c>
      <x:c r="C218" s="21" t="n">
        <x:f>IF(A218&lt;='Inputs'!$B$24,C217+B217,"")</x:f>
        <x:v>1587697562</x:v>
      </x:c>
      <x:c r="D218" s="29" t="n">
        <x:f>IF(A218&lt;='Inputs'!$B$24,'Inputs'!$B$23^A218,"")</x:f>
        <x:v>207.18338511894052</x:v>
      </x:c>
      <x:c r="E218" s="21" t="str">
        <x:f>IF(A218&lt;'Inputs'!$B$28,ROUNDUP(ROUND('Inputs'!$B$25*'Inputs'!$B$26^A218,6),0),"")</x:f>
      </x:c>
      <x:c r="F218" s="21" t="str">
        <x:f>IF(A218&lt;='Inputs'!$B$28,F217+E217,"")</x:f>
      </x:c>
      <x:c r="G218" s="29" t="str">
        <x:f>IF(A218&lt;='Inputs'!$B$28,'Inputs'!$B$27^A218,"")</x:f>
      </x:c>
      <x:c r="H218" s="21" t="str">
        <x:f>IF(A218&lt;'Inputs'!$B$32,ROUNDUP(ROUND('Inputs'!$B$29*'Inputs'!$B$30^A218,6),0),"")</x:f>
      </x:c>
      <x:c r="I218" s="21" t="str">
        <x:f>IF(A218&lt;='Inputs'!$B$32,I217+H217,"")</x:f>
      </x:c>
      <x:c r="J218" s="29" t="str">
        <x:f>IF(A218&lt;='Inputs'!$B$32,1+'Inputs'!$B$31*A218,"")</x:f>
      </x:c>
    </x:row>
    <x:row r="219" ht="25" customHeight="1">
      <x:c r="A219" s="19" t="n">
        <x:v>217</x:v>
      </x:c>
      <x:c r="B219" s="21" t="n">
        <x:f>IF(A219&lt;'Inputs'!$B$24,ROUNDUP(ROUND('Inputs'!$B$21*'Inputs'!$B$22^A219,6),0),"")</x:f>
        <x:v>118918593</x:v>
      </x:c>
      <x:c r="C219" s="21" t="n">
        <x:f>IF(A219&lt;='Inputs'!$B$24,C218+B218,"")</x:f>
        <x:v>1698836434</x:v>
      </x:c>
      <x:c r="D219" s="29" t="n">
        <x:f>IF(A219&lt;='Inputs'!$B$24,'Inputs'!$B$23^A219,"")</x:f>
        <x:v>212.36296974691402</x:v>
      </x:c>
      <x:c r="E219" s="21" t="str">
        <x:f>IF(A219&lt;'Inputs'!$B$28,ROUNDUP(ROUND('Inputs'!$B$25*'Inputs'!$B$26^A219,6),0),"")</x:f>
      </x:c>
      <x:c r="F219" s="21" t="str">
        <x:f>IF(A219&lt;='Inputs'!$B$28,F218+E218,"")</x:f>
      </x:c>
      <x:c r="G219" s="29" t="str">
        <x:f>IF(A219&lt;='Inputs'!$B$28,'Inputs'!$B$27^A219,"")</x:f>
      </x:c>
      <x:c r="H219" s="21" t="str">
        <x:f>IF(A219&lt;'Inputs'!$B$32,ROUNDUP(ROUND('Inputs'!$B$29*'Inputs'!$B$30^A219,6),0),"")</x:f>
      </x:c>
      <x:c r="I219" s="21" t="str">
        <x:f>IF(A219&lt;='Inputs'!$B$32,I218+H218,"")</x:f>
      </x:c>
      <x:c r="J219" s="29" t="str">
        <x:f>IF(A219&lt;='Inputs'!$B$32,1+'Inputs'!$B$31*A219,"")</x:f>
      </x:c>
    </x:row>
    <x:row r="220" ht="25" customHeight="1">
      <x:c r="A220" s="19" t="n">
        <x:v>218</x:v>
      </x:c>
      <x:c r="B220" s="21" t="n">
        <x:f>IF(A220&lt;'Inputs'!$B$24,ROUNDUP(ROUND('Inputs'!$B$21*'Inputs'!$B$22^A220,6),0),"")</x:f>
        <x:v>127242895</x:v>
      </x:c>
      <x:c r="C220" s="21" t="n">
        <x:f>IF(A220&lt;='Inputs'!$B$24,C219+B219,"")</x:f>
        <x:v>1817755027</x:v>
      </x:c>
      <x:c r="D220" s="29" t="n">
        <x:f>IF(A220&lt;='Inputs'!$B$24,'Inputs'!$B$23^A220,"")</x:f>
        <x:v>217.67204399058684</x:v>
      </x:c>
      <x:c r="E220" s="21" t="str">
        <x:f>IF(A220&lt;'Inputs'!$B$28,ROUNDUP(ROUND('Inputs'!$B$25*'Inputs'!$B$26^A220,6),0),"")</x:f>
      </x:c>
      <x:c r="F220" s="21" t="str">
        <x:f>IF(A220&lt;='Inputs'!$B$28,F219+E219,"")</x:f>
      </x:c>
      <x:c r="G220" s="29" t="str">
        <x:f>IF(A220&lt;='Inputs'!$B$28,'Inputs'!$B$27^A220,"")</x:f>
      </x:c>
      <x:c r="H220" s="21" t="str">
        <x:f>IF(A220&lt;'Inputs'!$B$32,ROUNDUP(ROUND('Inputs'!$B$29*'Inputs'!$B$30^A220,6),0),"")</x:f>
      </x:c>
      <x:c r="I220" s="21" t="str">
        <x:f>IF(A220&lt;='Inputs'!$B$32,I219+H219,"")</x:f>
      </x:c>
      <x:c r="J220" s="29" t="str">
        <x:f>IF(A220&lt;='Inputs'!$B$32,1+'Inputs'!$B$31*A220,"")</x:f>
      </x:c>
    </x:row>
    <x:row r="221" ht="25" customHeight="1">
      <x:c r="A221" s="19" t="n">
        <x:v>219</x:v>
      </x:c>
      <x:c r="B221" s="21" t="n">
        <x:f>IF(A221&lt;'Inputs'!$B$24,ROUNDUP(ROUND('Inputs'!$B$21*'Inputs'!$B$22^A221,6),0),"")</x:f>
        <x:v>136149898</x:v>
      </x:c>
      <x:c r="C221" s="21" t="n">
        <x:f>IF(A221&lt;='Inputs'!$B$24,C220+B220,"")</x:f>
        <x:v>1944997922</x:v>
      </x:c>
      <x:c r="D221" s="29" t="n">
        <x:f>IF(A221&lt;='Inputs'!$B$24,'Inputs'!$B$23^A221,"")</x:f>
        <x:v>223.11384509035148</x:v>
      </x:c>
      <x:c r="E221" s="21" t="str">
        <x:f>IF(A221&lt;'Inputs'!$B$28,ROUNDUP(ROUND('Inputs'!$B$25*'Inputs'!$B$26^A221,6),0),"")</x:f>
      </x:c>
      <x:c r="F221" s="21" t="str">
        <x:f>IF(A221&lt;='Inputs'!$B$28,F220+E220,"")</x:f>
      </x:c>
      <x:c r="G221" s="29" t="str">
        <x:f>IF(A221&lt;='Inputs'!$B$28,'Inputs'!$B$27^A221,"")</x:f>
      </x:c>
      <x:c r="H221" s="21" t="str">
        <x:f>IF(A221&lt;'Inputs'!$B$32,ROUNDUP(ROUND('Inputs'!$B$29*'Inputs'!$B$30^A221,6),0),"")</x:f>
      </x:c>
      <x:c r="I221" s="21" t="str">
        <x:f>IF(A221&lt;='Inputs'!$B$32,I220+H220,"")</x:f>
      </x:c>
      <x:c r="J221" s="29" t="str">
        <x:f>IF(A221&lt;='Inputs'!$B$32,1+'Inputs'!$B$31*A221,"")</x:f>
      </x:c>
    </x:row>
    <x:row r="222" ht="25" customHeight="1">
      <x:c r="A222" s="19" t="n">
        <x:v>220</x:v>
      </x:c>
      <x:c r="B222" s="21" t="n">
        <x:f>IF(A222&lt;'Inputs'!$B$24,ROUNDUP(ROUND('Inputs'!$B$21*'Inputs'!$B$22^A222,6),0),"")</x:f>
        <x:v>145680390</x:v>
      </x:c>
      <x:c r="C222" s="21" t="n">
        <x:f>IF(A222&lt;='Inputs'!$B$24,C221+B221,"")</x:f>
        <x:v>2081147820</x:v>
      </x:c>
      <x:c r="D222" s="29" t="n">
        <x:f>IF(A222&lt;='Inputs'!$B$24,'Inputs'!$B$23^A222,"")</x:f>
        <x:v>228.69169121761024</x:v>
      </x:c>
      <x:c r="E222" s="21" t="str">
        <x:f>IF(A222&lt;'Inputs'!$B$28,ROUNDUP(ROUND('Inputs'!$B$25*'Inputs'!$B$26^A222,6),0),"")</x:f>
      </x:c>
      <x:c r="F222" s="21" t="str">
        <x:f>IF(A222&lt;='Inputs'!$B$28,F221+E221,"")</x:f>
      </x:c>
      <x:c r="G222" s="29" t="str">
        <x:f>IF(A222&lt;='Inputs'!$B$28,'Inputs'!$B$27^A222,"")</x:f>
      </x:c>
      <x:c r="H222" s="21" t="str">
        <x:f>IF(A222&lt;'Inputs'!$B$32,ROUNDUP(ROUND('Inputs'!$B$29*'Inputs'!$B$30^A222,6),0),"")</x:f>
      </x:c>
      <x:c r="I222" s="21" t="str">
        <x:f>IF(A222&lt;='Inputs'!$B$32,I221+H221,"")</x:f>
      </x:c>
      <x:c r="J222" s="29" t="str">
        <x:f>IF(A222&lt;='Inputs'!$B$32,1+'Inputs'!$B$31*A222,"")</x:f>
      </x:c>
    </x:row>
    <x:row r="223" ht="25" customHeight="1">
      <x:c r="A223" s="19" t="n">
        <x:v>221</x:v>
      </x:c>
      <x:c r="B223" s="21" t="n">
        <x:f>IF(A223&lt;'Inputs'!$B$24,ROUNDUP(ROUND('Inputs'!$B$21*'Inputs'!$B$22^A223,6),0),"")</x:f>
        <x:v>155878018</x:v>
      </x:c>
      <x:c r="C223" s="21" t="n">
        <x:f>IF(A223&lt;='Inputs'!$B$24,C222+B222,"")</x:f>
        <x:v>2226828210</x:v>
      </x:c>
      <x:c r="D223" s="29" t="n">
        <x:f>IF(A223&lt;='Inputs'!$B$24,'Inputs'!$B$23^A223,"")</x:f>
        <x:v>234.4089834980505</x:v>
      </x:c>
      <x:c r="E223" s="21" t="str">
        <x:f>IF(A223&lt;'Inputs'!$B$28,ROUNDUP(ROUND('Inputs'!$B$25*'Inputs'!$B$26^A223,6),0),"")</x:f>
      </x:c>
      <x:c r="F223" s="21" t="str">
        <x:f>IF(A223&lt;='Inputs'!$B$28,F222+E222,"")</x:f>
      </x:c>
      <x:c r="G223" s="29" t="str">
        <x:f>IF(A223&lt;='Inputs'!$B$28,'Inputs'!$B$27^A223,"")</x:f>
      </x:c>
      <x:c r="H223" s="21" t="str">
        <x:f>IF(A223&lt;'Inputs'!$B$32,ROUNDUP(ROUND('Inputs'!$B$29*'Inputs'!$B$30^A223,6),0),"")</x:f>
      </x:c>
      <x:c r="I223" s="21" t="str">
        <x:f>IF(A223&lt;='Inputs'!$B$32,I222+H222,"")</x:f>
      </x:c>
      <x:c r="J223" s="29" t="str">
        <x:f>IF(A223&lt;='Inputs'!$B$32,1+'Inputs'!$B$31*A223,"")</x:f>
      </x:c>
    </x:row>
    <x:row r="224" ht="25" customHeight="1">
      <x:c r="A224" s="19" t="n">
        <x:v>222</x:v>
      </x:c>
      <x:c r="B224" s="21" t="n">
        <x:f>IF(A224&lt;'Inputs'!$B$24,ROUNDUP(ROUND('Inputs'!$B$21*'Inputs'!$B$22^A224,6),0),"")</x:f>
        <x:v>166789479</x:v>
      </x:c>
      <x:c r="C224" s="21" t="n">
        <x:f>IF(A224&lt;='Inputs'!$B$24,C223+B223,"")</x:f>
        <x:v>2382706228</x:v>
      </x:c>
      <x:c r="D224" s="29" t="n">
        <x:f>IF(A224&lt;='Inputs'!$B$24,'Inputs'!$B$23^A224,"")</x:f>
        <x:v>240.26920808550173</x:v>
      </x:c>
      <x:c r="E224" s="21" t="str">
        <x:f>IF(A224&lt;'Inputs'!$B$28,ROUNDUP(ROUND('Inputs'!$B$25*'Inputs'!$B$26^A224,6),0),"")</x:f>
      </x:c>
      <x:c r="F224" s="21" t="str">
        <x:f>IF(A224&lt;='Inputs'!$B$28,F223+E223,"")</x:f>
      </x:c>
      <x:c r="G224" s="29" t="str">
        <x:f>IF(A224&lt;='Inputs'!$B$28,'Inputs'!$B$27^A224,"")</x:f>
      </x:c>
      <x:c r="H224" s="21" t="str">
        <x:f>IF(A224&lt;'Inputs'!$B$32,ROUNDUP(ROUND('Inputs'!$B$29*'Inputs'!$B$30^A224,6),0),"")</x:f>
      </x:c>
      <x:c r="I224" s="21" t="str">
        <x:f>IF(A224&lt;='Inputs'!$B$32,I223+H223,"")</x:f>
      </x:c>
      <x:c r="J224" s="29" t="str">
        <x:f>IF(A224&lt;='Inputs'!$B$32,1+'Inputs'!$B$31*A224,"")</x:f>
      </x:c>
    </x:row>
    <x:row r="225" ht="25" customHeight="1">
      <x:c r="A225" s="19" t="n">
        <x:v>223</x:v>
      </x:c>
      <x:c r="B225" s="21" t="n">
        <x:f>IF(A225&lt;'Inputs'!$B$24,ROUNDUP(ROUND('Inputs'!$B$21*'Inputs'!$B$22^A225,6),0),"")</x:f>
        <x:v>178464742</x:v>
      </x:c>
      <x:c r="C225" s="21" t="n">
        <x:f>IF(A225&lt;='Inputs'!$B$24,C224+B224,"")</x:f>
        <x:v>2549495707</x:v>
      </x:c>
      <x:c r="D225" s="29" t="n">
        <x:f>IF(A225&lt;='Inputs'!$B$24,'Inputs'!$B$23^A225,"")</x:f>
        <x:v>246.27593828763926</x:v>
      </x:c>
      <x:c r="E225" s="21" t="str">
        <x:f>IF(A225&lt;'Inputs'!$B$28,ROUNDUP(ROUND('Inputs'!$B$25*'Inputs'!$B$26^A225,6),0),"")</x:f>
      </x:c>
      <x:c r="F225" s="21" t="str">
        <x:f>IF(A225&lt;='Inputs'!$B$28,F224+E224,"")</x:f>
      </x:c>
      <x:c r="G225" s="29" t="str">
        <x:f>IF(A225&lt;='Inputs'!$B$28,'Inputs'!$B$27^A225,"")</x:f>
      </x:c>
      <x:c r="H225" s="21" t="str">
        <x:f>IF(A225&lt;'Inputs'!$B$32,ROUNDUP(ROUND('Inputs'!$B$29*'Inputs'!$B$30^A225,6),0),"")</x:f>
      </x:c>
      <x:c r="I225" s="21" t="str">
        <x:f>IF(A225&lt;='Inputs'!$B$32,I224+H224,"")</x:f>
      </x:c>
      <x:c r="J225" s="29" t="str">
        <x:f>IF(A225&lt;='Inputs'!$B$32,1+'Inputs'!$B$31*A225,"")</x:f>
      </x:c>
    </x:row>
    <x:row r="226" ht="25" customHeight="1">
      <x:c r="A226" s="19" t="n">
        <x:v>224</x:v>
      </x:c>
      <x:c r="B226" s="21" t="n">
        <x:f>IF(A226&lt;'Inputs'!$B$24,ROUNDUP(ROUND('Inputs'!$B$21*'Inputs'!$B$22^A226,6),0),"")</x:f>
        <x:v>190957274</x:v>
      </x:c>
      <x:c r="C226" s="21" t="n">
        <x:f>IF(A226&lt;='Inputs'!$B$24,C225+B225,"")</x:f>
        <x:v>2727960449</x:v>
      </x:c>
      <x:c r="D226" s="29" t="n">
        <x:f>IF(A226&lt;='Inputs'!$B$24,'Inputs'!$B$23^A226,"")</x:f>
        <x:v>252.4328367448302</x:v>
      </x:c>
      <x:c r="E226" s="21" t="str">
        <x:f>IF(A226&lt;'Inputs'!$B$28,ROUNDUP(ROUND('Inputs'!$B$25*'Inputs'!$B$26^A226,6),0),"")</x:f>
      </x:c>
      <x:c r="F226" s="21" t="str">
        <x:f>IF(A226&lt;='Inputs'!$B$28,F225+E225,"")</x:f>
      </x:c>
      <x:c r="G226" s="29" t="str">
        <x:f>IF(A226&lt;='Inputs'!$B$28,'Inputs'!$B$27^A226,"")</x:f>
      </x:c>
      <x:c r="H226" s="21" t="str">
        <x:f>IF(A226&lt;'Inputs'!$B$32,ROUNDUP(ROUND('Inputs'!$B$29*'Inputs'!$B$30^A226,6),0),"")</x:f>
      </x:c>
      <x:c r="I226" s="21" t="str">
        <x:f>IF(A226&lt;='Inputs'!$B$32,I225+H225,"")</x:f>
      </x:c>
      <x:c r="J226" s="29" t="str">
        <x:f>IF(A226&lt;='Inputs'!$B$32,1+'Inputs'!$B$31*A226,"")</x:f>
      </x:c>
    </x:row>
    <x:row r="227" ht="25" customHeight="1">
      <x:c r="A227" s="19" t="n">
        <x:v>225</x:v>
      </x:c>
      <x:c r="B227" s="21" t="n">
        <x:f>IF(A227&lt;'Inputs'!$B$24,ROUNDUP(ROUND('Inputs'!$B$21*'Inputs'!$B$22^A227,6),0),"")</x:f>
        <x:v>204324283</x:v>
      </x:c>
      <x:c r="C227" s="21" t="n">
        <x:f>IF(A227&lt;='Inputs'!$B$24,C226+B226,"")</x:f>
        <x:v>2918917723</x:v>
      </x:c>
      <x:c r="D227" s="29" t="n">
        <x:f>IF(A227&lt;='Inputs'!$B$24,'Inputs'!$B$23^A227,"")</x:f>
        <x:v>258.74365766345096</x:v>
      </x:c>
      <x:c r="E227" s="21" t="str">
        <x:f>IF(A227&lt;'Inputs'!$B$28,ROUNDUP(ROUND('Inputs'!$B$25*'Inputs'!$B$26^A227,6),0),"")</x:f>
      </x:c>
      <x:c r="F227" s="21" t="str">
        <x:f>IF(A227&lt;='Inputs'!$B$28,F226+E226,"")</x:f>
      </x:c>
      <x:c r="G227" s="29" t="str">
        <x:f>IF(A227&lt;='Inputs'!$B$28,'Inputs'!$B$27^A227,"")</x:f>
      </x:c>
      <x:c r="H227" s="21" t="str">
        <x:f>IF(A227&lt;'Inputs'!$B$32,ROUNDUP(ROUND('Inputs'!$B$29*'Inputs'!$B$30^A227,6),0),"")</x:f>
      </x:c>
      <x:c r="I227" s="21" t="str">
        <x:f>IF(A227&lt;='Inputs'!$B$32,I226+H226,"")</x:f>
      </x:c>
      <x:c r="J227" s="29" t="str">
        <x:f>IF(A227&lt;='Inputs'!$B$32,1+'Inputs'!$B$31*A227,"")</x:f>
      </x:c>
    </x:row>
    <x:row r="228" ht="25" customHeight="1">
      <x:c r="A228" s="19" t="n">
        <x:v>226</x:v>
      </x:c>
      <x:c r="B228" s="21" t="n">
        <x:f>IF(A228&lt;'Inputs'!$B$24,ROUNDUP(ROUND('Inputs'!$B$21*'Inputs'!$B$22^A228,6),0),"")</x:f>
        <x:v>218626983</x:v>
      </x:c>
      <x:c r="C228" s="21" t="n">
        <x:f>IF(A228&lt;='Inputs'!$B$24,C227+B227,"")</x:f>
        <x:v>3123242006</x:v>
      </x:c>
      <x:c r="D228" s="29" t="n">
        <x:f>IF(A228&lt;='Inputs'!$B$24,'Inputs'!$B$23^A228,"")</x:f>
        <x:v>265.2122491050372</x:v>
      </x:c>
      <x:c r="E228" s="21" t="str">
        <x:f>IF(A228&lt;'Inputs'!$B$28,ROUNDUP(ROUND('Inputs'!$B$25*'Inputs'!$B$26^A228,6),0),"")</x:f>
      </x:c>
      <x:c r="F228" s="21" t="str">
        <x:f>IF(A228&lt;='Inputs'!$B$28,F227+E227,"")</x:f>
      </x:c>
      <x:c r="G228" s="29" t="str">
        <x:f>IF(A228&lt;='Inputs'!$B$28,'Inputs'!$B$27^A228,"")</x:f>
      </x:c>
      <x:c r="H228" s="21" t="str">
        <x:f>IF(A228&lt;'Inputs'!$B$32,ROUNDUP(ROUND('Inputs'!$B$29*'Inputs'!$B$30^A228,6),0),"")</x:f>
      </x:c>
      <x:c r="I228" s="21" t="str">
        <x:f>IF(A228&lt;='Inputs'!$B$32,I227+H227,"")</x:f>
      </x:c>
      <x:c r="J228" s="29" t="str">
        <x:f>IF(A228&lt;='Inputs'!$B$32,1+'Inputs'!$B$31*A228,"")</x:f>
      </x:c>
    </x:row>
    <x:row r="229" ht="25" customHeight="1">
      <x:c r="A229" s="19" t="n">
        <x:v>227</x:v>
      </x:c>
      <x:c r="B229" s="21" t="n">
        <x:f>IF(A229&lt;'Inputs'!$B$24,ROUNDUP(ROUND('Inputs'!$B$21*'Inputs'!$B$22^A229,6),0),"")</x:f>
        <x:v>233930872</x:v>
      </x:c>
      <x:c r="C229" s="21" t="n">
        <x:f>IF(A229&lt;='Inputs'!$B$24,C228+B228,"")</x:f>
        <x:v>3341868989</x:v>
      </x:c>
      <x:c r="D229" s="29" t="n">
        <x:f>IF(A229&lt;='Inputs'!$B$24,'Inputs'!$B$23^A229,"")</x:f>
        <x:v>271.8425553326631</x:v>
      </x:c>
      <x:c r="E229" s="21" t="str">
        <x:f>IF(A229&lt;'Inputs'!$B$28,ROUNDUP(ROUND('Inputs'!$B$25*'Inputs'!$B$26^A229,6),0),"")</x:f>
      </x:c>
      <x:c r="F229" s="21" t="str">
        <x:f>IF(A229&lt;='Inputs'!$B$28,F228+E228,"")</x:f>
      </x:c>
      <x:c r="G229" s="29" t="str">
        <x:f>IF(A229&lt;='Inputs'!$B$28,'Inputs'!$B$27^A229,"")</x:f>
      </x:c>
      <x:c r="H229" s="21" t="str">
        <x:f>IF(A229&lt;'Inputs'!$B$32,ROUNDUP(ROUND('Inputs'!$B$29*'Inputs'!$B$30^A229,6),0),"")</x:f>
      </x:c>
      <x:c r="I229" s="21" t="str">
        <x:f>IF(A229&lt;='Inputs'!$B$32,I228+H228,"")</x:f>
      </x:c>
      <x:c r="J229" s="29" t="str">
        <x:f>IF(A229&lt;='Inputs'!$B$32,1+'Inputs'!$B$31*A229,"")</x:f>
      </x:c>
    </x:row>
    <x:row r="230" ht="25" customHeight="1">
      <x:c r="A230" s="19" t="n">
        <x:v>228</x:v>
      </x:c>
      <x:c r="B230" s="21" t="n">
        <x:f>IF(A230&lt;'Inputs'!$B$24,ROUNDUP(ROUND('Inputs'!$B$21*'Inputs'!$B$22^A230,6),0),"")</x:f>
        <x:v>250306033</x:v>
      </x:c>
      <x:c r="C230" s="21" t="n">
        <x:f>IF(A230&lt;='Inputs'!$B$24,C229+B229,"")</x:f>
        <x:v>3575799861</x:v>
      </x:c>
      <x:c r="D230" s="29" t="n">
        <x:f>IF(A230&lt;='Inputs'!$B$24,'Inputs'!$B$23^A230,"")</x:f>
        <x:v>278.63861921597965</x:v>
      </x:c>
      <x:c r="E230" s="21" t="str">
        <x:f>IF(A230&lt;'Inputs'!$B$28,ROUNDUP(ROUND('Inputs'!$B$25*'Inputs'!$B$26^A230,6),0),"")</x:f>
      </x:c>
      <x:c r="F230" s="21" t="str">
        <x:f>IF(A230&lt;='Inputs'!$B$28,F229+E229,"")</x:f>
      </x:c>
      <x:c r="G230" s="29" t="str">
        <x:f>IF(A230&lt;='Inputs'!$B$28,'Inputs'!$B$27^A230,"")</x:f>
      </x:c>
      <x:c r="H230" s="21" t="str">
        <x:f>IF(A230&lt;'Inputs'!$B$32,ROUNDUP(ROUND('Inputs'!$B$29*'Inputs'!$B$30^A230,6),0),"")</x:f>
      </x:c>
      <x:c r="I230" s="21" t="str">
        <x:f>IF(A230&lt;='Inputs'!$B$32,I229+H229,"")</x:f>
      </x:c>
      <x:c r="J230" s="29" t="str">
        <x:f>IF(A230&lt;='Inputs'!$B$32,1+'Inputs'!$B$31*A230,"")</x:f>
      </x:c>
    </x:row>
    <x:row r="231" ht="25" customHeight="1">
      <x:c r="A231" s="19" t="n">
        <x:v>229</x:v>
      </x:c>
      <x:c r="B231" s="21" t="n">
        <x:f>IF(A231&lt;'Inputs'!$B$24,ROUNDUP(ROUND('Inputs'!$B$21*'Inputs'!$B$22^A231,6),0),"")</x:f>
        <x:v>267827455</x:v>
      </x:c>
      <x:c r="C231" s="21" t="n">
        <x:f>IF(A231&lt;='Inputs'!$B$24,C230+B230,"")</x:f>
        <x:v>3826105894</x:v>
      </x:c>
      <x:c r="D231" s="29" t="n">
        <x:f>IF(A231&lt;='Inputs'!$B$24,'Inputs'!$B$23^A231,"")</x:f>
        <x:v>285.6045846963791</x:v>
      </x:c>
      <x:c r="E231" s="21" t="str">
        <x:f>IF(A231&lt;'Inputs'!$B$28,ROUNDUP(ROUND('Inputs'!$B$25*'Inputs'!$B$26^A231,6),0),"")</x:f>
      </x:c>
      <x:c r="F231" s="21" t="str">
        <x:f>IF(A231&lt;='Inputs'!$B$28,F230+E230,"")</x:f>
      </x:c>
      <x:c r="G231" s="29" t="str">
        <x:f>IF(A231&lt;='Inputs'!$B$28,'Inputs'!$B$27^A231,"")</x:f>
      </x:c>
      <x:c r="H231" s="21" t="str">
        <x:f>IF(A231&lt;'Inputs'!$B$32,ROUNDUP(ROUND('Inputs'!$B$29*'Inputs'!$B$30^A231,6),0),"")</x:f>
      </x:c>
      <x:c r="I231" s="21" t="str">
        <x:f>IF(A231&lt;='Inputs'!$B$32,I230+H230,"")</x:f>
      </x:c>
      <x:c r="J231" s="29" t="str">
        <x:f>IF(A231&lt;='Inputs'!$B$32,1+'Inputs'!$B$31*A231,"")</x:f>
      </x:c>
    </x:row>
    <x:row r="232" ht="25" customHeight="1">
      <x:c r="A232" s="19" t="n">
        <x:v>230</x:v>
      </x:c>
      <x:c r="B232" s="21" t="n">
        <x:f>IF(A232&lt;'Inputs'!$B$24,ROUNDUP(ROUND('Inputs'!$B$21*'Inputs'!$B$22^A232,6),0),"")</x:f>
        <x:v>286575377</x:v>
      </x:c>
      <x:c r="C232" s="21" t="n">
        <x:f>IF(A232&lt;='Inputs'!$B$24,C231+B231,"")</x:f>
        <x:v>4093933349</x:v>
      </x:c>
      <x:c r="D232" s="29" t="n">
        <x:f>IF(A232&lt;='Inputs'!$B$24,'Inputs'!$B$23^A232,"")</x:f>
        <x:v>292.7446993137886</x:v>
      </x:c>
      <x:c r="E232" s="21" t="str">
        <x:f>IF(A232&lt;'Inputs'!$B$28,ROUNDUP(ROUND('Inputs'!$B$25*'Inputs'!$B$26^A232,6),0),"")</x:f>
      </x:c>
      <x:c r="F232" s="21" t="str">
        <x:f>IF(A232&lt;='Inputs'!$B$28,F231+E231,"")</x:f>
      </x:c>
      <x:c r="G232" s="29" t="str">
        <x:f>IF(A232&lt;='Inputs'!$B$28,'Inputs'!$B$27^A232,"")</x:f>
      </x:c>
      <x:c r="H232" s="21" t="str">
        <x:f>IF(A232&lt;'Inputs'!$B$32,ROUNDUP(ROUND('Inputs'!$B$29*'Inputs'!$B$30^A232,6),0),"")</x:f>
      </x:c>
      <x:c r="I232" s="21" t="str">
        <x:f>IF(A232&lt;='Inputs'!$B$32,I231+H231,"")</x:f>
      </x:c>
      <x:c r="J232" s="29" t="str">
        <x:f>IF(A232&lt;='Inputs'!$B$32,1+'Inputs'!$B$31*A232,"")</x:f>
      </x:c>
    </x:row>
    <x:row r="233" ht="25" customHeight="1">
      <x:c r="A233" s="19" t="n">
        <x:v>231</x:v>
      </x:c>
      <x:c r="B233" s="21" t="n">
        <x:f>IF(A233&lt;'Inputs'!$B$24,ROUNDUP(ROUND('Inputs'!$B$21*'Inputs'!$B$22^A233,6),0),"")</x:f>
        <x:v>306635654</x:v>
      </x:c>
      <x:c r="C233" s="21" t="n">
        <x:f>IF(A233&lt;='Inputs'!$B$24,C232+B232,"")</x:f>
        <x:v>4380508726</x:v>
      </x:c>
      <x:c r="D233" s="29" t="n">
        <x:f>IF(A233&lt;='Inputs'!$B$24,'Inputs'!$B$23^A233,"")</x:f>
        <x:v>300.0633167966333</x:v>
      </x:c>
      <x:c r="E233" s="21" t="str">
        <x:f>IF(A233&lt;'Inputs'!$B$28,ROUNDUP(ROUND('Inputs'!$B$25*'Inputs'!$B$26^A233,6),0),"")</x:f>
      </x:c>
      <x:c r="F233" s="21" t="str">
        <x:f>IF(A233&lt;='Inputs'!$B$28,F232+E232,"")</x:f>
      </x:c>
      <x:c r="G233" s="29" t="str">
        <x:f>IF(A233&lt;='Inputs'!$B$28,'Inputs'!$B$27^A233,"")</x:f>
      </x:c>
      <x:c r="H233" s="21" t="str">
        <x:f>IF(A233&lt;'Inputs'!$B$32,ROUNDUP(ROUND('Inputs'!$B$29*'Inputs'!$B$30^A233,6),0),"")</x:f>
      </x:c>
      <x:c r="I233" s="21" t="str">
        <x:f>IF(A233&lt;='Inputs'!$B$32,I232+H232,"")</x:f>
      </x:c>
      <x:c r="J233" s="29" t="str">
        <x:f>IF(A233&lt;='Inputs'!$B$32,1+'Inputs'!$B$31*A233,"")</x:f>
      </x:c>
    </x:row>
    <x:row r="234" ht="25" customHeight="1">
      <x:c r="A234" s="19" t="n">
        <x:v>232</x:v>
      </x:c>
      <x:c r="B234" s="21" t="n">
        <x:f>IF(A234&lt;'Inputs'!$B$24,ROUNDUP(ROUND('Inputs'!$B$21*'Inputs'!$B$22^A234,6),0),"")</x:f>
        <x:v>328100149</x:v>
      </x:c>
      <x:c r="C234" s="21" t="n">
        <x:f>IF(A234&lt;='Inputs'!$B$24,C233+B233,"")</x:f>
        <x:v>4687144380</x:v>
      </x:c>
      <x:c r="D234" s="29" t="n">
        <x:f>IF(A234&lt;='Inputs'!$B$24,'Inputs'!$B$23^A234,"")</x:f>
        <x:v>307.56489971654906</x:v>
      </x:c>
      <x:c r="E234" s="21" t="str">
        <x:f>IF(A234&lt;'Inputs'!$B$28,ROUNDUP(ROUND('Inputs'!$B$25*'Inputs'!$B$26^A234,6),0),"")</x:f>
      </x:c>
      <x:c r="F234" s="21" t="str">
        <x:f>IF(A234&lt;='Inputs'!$B$28,F233+E233,"")</x:f>
      </x:c>
      <x:c r="G234" s="29" t="str">
        <x:f>IF(A234&lt;='Inputs'!$B$28,'Inputs'!$B$27^A234,"")</x:f>
      </x:c>
      <x:c r="H234" s="21" t="str">
        <x:f>IF(A234&lt;'Inputs'!$B$32,ROUNDUP(ROUND('Inputs'!$B$29*'Inputs'!$B$30^A234,6),0),"")</x:f>
      </x:c>
      <x:c r="I234" s="21" t="str">
        <x:f>IF(A234&lt;='Inputs'!$B$32,I233+H233,"")</x:f>
      </x:c>
      <x:c r="J234" s="29" t="str">
        <x:f>IF(A234&lt;='Inputs'!$B$32,1+'Inputs'!$B$31*A234,"")</x:f>
      </x:c>
    </x:row>
    <x:row r="235" ht="25" customHeight="1">
      <x:c r="A235" s="19" t="n">
        <x:v>233</x:v>
      </x:c>
      <x:c r="B235" s="21" t="n">
        <x:f>IF(A235&lt;'Inputs'!$B$24,ROUNDUP(ROUND('Inputs'!$B$21*'Inputs'!$B$22^A235,6),0),"")</x:f>
        <x:v>351067160</x:v>
      </x:c>
      <x:c r="C235" s="21" t="n">
        <x:f>IF(A235&lt;='Inputs'!$B$24,C234+B234,"")</x:f>
        <x:v>5015244529</x:v>
      </x:c>
      <x:c r="D235" s="29" t="n">
        <x:f>IF(A235&lt;='Inputs'!$B$24,'Inputs'!$B$23^A235,"")</x:f>
        <x:v>315.2540222094628</x:v>
      </x:c>
      <x:c r="E235" s="21" t="str">
        <x:f>IF(A235&lt;'Inputs'!$B$28,ROUNDUP(ROUND('Inputs'!$B$25*'Inputs'!$B$26^A235,6),0),"")</x:f>
      </x:c>
      <x:c r="F235" s="21" t="str">
        <x:f>IF(A235&lt;='Inputs'!$B$28,F234+E234,"")</x:f>
      </x:c>
      <x:c r="G235" s="29" t="str">
        <x:f>IF(A235&lt;='Inputs'!$B$28,'Inputs'!$B$27^A235,"")</x:f>
      </x:c>
      <x:c r="H235" s="21" t="str">
        <x:f>IF(A235&lt;'Inputs'!$B$32,ROUNDUP(ROUND('Inputs'!$B$29*'Inputs'!$B$30^A235,6),0),"")</x:f>
      </x:c>
      <x:c r="I235" s="21" t="str">
        <x:f>IF(A235&lt;='Inputs'!$B$32,I234+H234,"")</x:f>
      </x:c>
      <x:c r="J235" s="29" t="str">
        <x:f>IF(A235&lt;='Inputs'!$B$32,1+'Inputs'!$B$31*A235,"")</x:f>
      </x:c>
    </x:row>
    <x:row r="236" ht="25" customHeight="1">
      <x:c r="A236" s="19" t="n">
        <x:v>234</x:v>
      </x:c>
      <x:c r="B236" s="21" t="n">
        <x:f>IF(A236&lt;'Inputs'!$B$24,ROUNDUP(ROUND('Inputs'!$B$21*'Inputs'!$B$22^A236,6),0),"")</x:f>
        <x:v>375641861</x:v>
      </x:c>
      <x:c r="C236" s="21" t="n">
        <x:f>IF(A236&lt;='Inputs'!$B$24,C235+B235,"")</x:f>
        <x:v>5366311689</x:v>
      </x:c>
      <x:c r="D236" s="29" t="n">
        <x:f>IF(A236&lt;='Inputs'!$B$24,'Inputs'!$B$23^A236,"")</x:f>
        <x:v>323.1353727646993</x:v>
      </x:c>
      <x:c r="E236" s="21" t="str">
        <x:f>IF(A236&lt;'Inputs'!$B$28,ROUNDUP(ROUND('Inputs'!$B$25*'Inputs'!$B$26^A236,6),0),"")</x:f>
      </x:c>
      <x:c r="F236" s="21" t="str">
        <x:f>IF(A236&lt;='Inputs'!$B$28,F235+E235,"")</x:f>
      </x:c>
      <x:c r="G236" s="29" t="str">
        <x:f>IF(A236&lt;='Inputs'!$B$28,'Inputs'!$B$27^A236,"")</x:f>
      </x:c>
      <x:c r="H236" s="21" t="str">
        <x:f>IF(A236&lt;'Inputs'!$B$32,ROUNDUP(ROUND('Inputs'!$B$29*'Inputs'!$B$30^A236,6),0),"")</x:f>
      </x:c>
      <x:c r="I236" s="21" t="str">
        <x:f>IF(A236&lt;='Inputs'!$B$32,I235+H235,"")</x:f>
      </x:c>
      <x:c r="J236" s="29" t="str">
        <x:f>IF(A236&lt;='Inputs'!$B$32,1+'Inputs'!$B$31*A236,"")</x:f>
      </x:c>
    </x:row>
    <x:row r="237" ht="25" customHeight="1">
      <x:c r="A237" s="19" t="n">
        <x:v>235</x:v>
      </x:c>
      <x:c r="B237" s="21" t="n">
        <x:f>IF(A237&lt;'Inputs'!$B$24,ROUNDUP(ROUND('Inputs'!$B$21*'Inputs'!$B$22^A237,6),0),"")</x:f>
        <x:v>401936791</x:v>
      </x:c>
      <x:c r="C237" s="21" t="n">
        <x:f>IF(A237&lt;='Inputs'!$B$24,C236+B236,"")</x:f>
        <x:v>5741953550</x:v>
      </x:c>
      <x:c r="D237" s="29" t="n">
        <x:f>IF(A237&lt;='Inputs'!$B$24,'Inputs'!$B$23^A237,"")</x:f>
        <x:v>331.21375708381674</x:v>
      </x:c>
      <x:c r="E237" s="21" t="str">
        <x:f>IF(A237&lt;'Inputs'!$B$28,ROUNDUP(ROUND('Inputs'!$B$25*'Inputs'!$B$26^A237,6),0),"")</x:f>
      </x:c>
      <x:c r="F237" s="21" t="str">
        <x:f>IF(A237&lt;='Inputs'!$B$28,F236+E236,"")</x:f>
      </x:c>
      <x:c r="G237" s="29" t="str">
        <x:f>IF(A237&lt;='Inputs'!$B$28,'Inputs'!$B$27^A237,"")</x:f>
      </x:c>
      <x:c r="H237" s="21" t="str">
        <x:f>IF(A237&lt;'Inputs'!$B$32,ROUNDUP(ROUND('Inputs'!$B$29*'Inputs'!$B$30^A237,6),0),"")</x:f>
      </x:c>
      <x:c r="I237" s="21" t="str">
        <x:f>IF(A237&lt;='Inputs'!$B$32,I236+H236,"")</x:f>
      </x:c>
      <x:c r="J237" s="29" t="str">
        <x:f>IF(A237&lt;='Inputs'!$B$32,1+'Inputs'!$B$31*A237,"")</x:f>
      </x:c>
    </x:row>
    <x:row r="238" ht="25" customHeight="1">
      <x:c r="A238" s="19" t="n">
        <x:v>236</x:v>
      </x:c>
      <x:c r="B238" s="21" t="n">
        <x:f>IF(A238&lt;'Inputs'!$B$24,ROUNDUP(ROUND('Inputs'!$B$21*'Inputs'!$B$22^A238,6),0),"")</x:f>
        <x:v>430072366</x:v>
      </x:c>
      <x:c r="C238" s="21" t="n">
        <x:f>IF(A238&lt;='Inputs'!$B$24,C237+B237,"")</x:f>
        <x:v>6143890341</x:v>
      </x:c>
      <x:c r="D238" s="29" t="n">
        <x:f>IF(A238&lt;='Inputs'!$B$24,'Inputs'!$B$23^A238,"")</x:f>
        <x:v>339.4941010109122</x:v>
      </x:c>
      <x:c r="E238" s="21" t="str">
        <x:f>IF(A238&lt;'Inputs'!$B$28,ROUNDUP(ROUND('Inputs'!$B$25*'Inputs'!$B$26^A238,6),0),"")</x:f>
      </x:c>
      <x:c r="F238" s="21" t="str">
        <x:f>IF(A238&lt;='Inputs'!$B$28,F237+E237,"")</x:f>
      </x:c>
      <x:c r="G238" s="29" t="str">
        <x:f>IF(A238&lt;='Inputs'!$B$28,'Inputs'!$B$27^A238,"")</x:f>
      </x:c>
      <x:c r="H238" s="21" t="str">
        <x:f>IF(A238&lt;'Inputs'!$B$32,ROUNDUP(ROUND('Inputs'!$B$29*'Inputs'!$B$30^A238,6),0),"")</x:f>
      </x:c>
      <x:c r="I238" s="21" t="str">
        <x:f>IF(A238&lt;='Inputs'!$B$32,I237+H237,"")</x:f>
      </x:c>
      <x:c r="J238" s="29" t="str">
        <x:f>IF(A238&lt;='Inputs'!$B$32,1+'Inputs'!$B$31*A238,"")</x:f>
      </x:c>
    </x:row>
    <x:row r="239" ht="25" customHeight="1">
      <x:c r="A239" s="19" t="n">
        <x:v>237</x:v>
      </x:c>
      <x:c r="B239" s="21" t="n">
        <x:f>IF(A239&lt;'Inputs'!$B$24,ROUNDUP(ROUND('Inputs'!$B$21*'Inputs'!$B$22^A239,6),0),"")</x:f>
        <x:v>460177432</x:v>
      </x:c>
      <x:c r="C239" s="21" t="n">
        <x:f>IF(A239&lt;='Inputs'!$B$24,C238+B238,"")</x:f>
        <x:v>6573962707</x:v>
      </x:c>
      <x:c r="D239" s="29" t="n">
        <x:f>IF(A239&lt;='Inputs'!$B$24,'Inputs'!$B$23^A239,"")</x:f>
        <x:v>347.9814535361849</x:v>
      </x:c>
      <x:c r="E239" s="21" t="str">
        <x:f>IF(A239&lt;'Inputs'!$B$28,ROUNDUP(ROUND('Inputs'!$B$25*'Inputs'!$B$26^A239,6),0),"")</x:f>
      </x:c>
      <x:c r="F239" s="21" t="str">
        <x:f>IF(A239&lt;='Inputs'!$B$28,F238+E238,"")</x:f>
      </x:c>
      <x:c r="G239" s="29" t="str">
        <x:f>IF(A239&lt;='Inputs'!$B$28,'Inputs'!$B$27^A239,"")</x:f>
      </x:c>
      <x:c r="H239" s="21" t="str">
        <x:f>IF(A239&lt;'Inputs'!$B$32,ROUNDUP(ROUND('Inputs'!$B$29*'Inputs'!$B$30^A239,6),0),"")</x:f>
      </x:c>
      <x:c r="I239" s="21" t="str">
        <x:f>IF(A239&lt;='Inputs'!$B$32,I238+H238,"")</x:f>
      </x:c>
      <x:c r="J239" s="29" t="str">
        <x:f>IF(A239&lt;='Inputs'!$B$32,1+'Inputs'!$B$31*A239,"")</x:f>
      </x:c>
    </x:row>
    <x:row r="240" ht="25" customHeight="1">
      <x:c r="A240" s="19" t="n">
        <x:v>238</x:v>
      </x:c>
      <x:c r="B240" s="21" t="n">
        <x:f>IF(A240&lt;'Inputs'!$B$24,ROUNDUP(ROUND('Inputs'!$B$21*'Inputs'!$B$22^A240,6),0),"")</x:f>
        <x:v>492389852</x:v>
      </x:c>
      <x:c r="C240" s="21" t="n">
        <x:f>IF(A240&lt;='Inputs'!$B$24,C239+B239,"")</x:f>
        <x:v>7034140139</x:v>
      </x:c>
      <x:c r="D240" s="29" t="n">
        <x:f>IF(A240&lt;='Inputs'!$B$24,'Inputs'!$B$23^A240,"")</x:f>
        <x:v>356.6809898745895</x:v>
      </x:c>
      <x:c r="E240" s="21" t="str">
        <x:f>IF(A240&lt;'Inputs'!$B$28,ROUNDUP(ROUND('Inputs'!$B$25*'Inputs'!$B$26^A240,6),0),"")</x:f>
      </x:c>
      <x:c r="F240" s="21" t="str">
        <x:f>IF(A240&lt;='Inputs'!$B$28,F239+E239,"")</x:f>
      </x:c>
      <x:c r="G240" s="29" t="str">
        <x:f>IF(A240&lt;='Inputs'!$B$28,'Inputs'!$B$27^A240,"")</x:f>
      </x:c>
      <x:c r="H240" s="21" t="str">
        <x:f>IF(A240&lt;'Inputs'!$B$32,ROUNDUP(ROUND('Inputs'!$B$29*'Inputs'!$B$30^A240,6),0),"")</x:f>
      </x:c>
      <x:c r="I240" s="21" t="str">
        <x:f>IF(A240&lt;='Inputs'!$B$32,I239+H239,"")</x:f>
      </x:c>
      <x:c r="J240" s="29" t="str">
        <x:f>IF(A240&lt;='Inputs'!$B$32,1+'Inputs'!$B$31*A240,"")</x:f>
      </x:c>
    </x:row>
    <x:row r="241" ht="25" customHeight="1">
      <x:c r="A241" s="19" t="n">
        <x:v>239</x:v>
      </x:c>
      <x:c r="B241" s="21" t="n">
        <x:f>IF(A241&lt;'Inputs'!$B$24,ROUNDUP(ROUND('Inputs'!$B$21*'Inputs'!$B$22^A241,6),0),"")</x:f>
        <x:v>526857142</x:v>
      </x:c>
      <x:c r="C241" s="21" t="n">
        <x:f>IF(A241&lt;='Inputs'!$B$24,C240+B240,"")</x:f>
        <x:v>7526529991</x:v>
      </x:c>
      <x:c r="D241" s="29" t="n">
        <x:f>IF(A241&lt;='Inputs'!$B$24,'Inputs'!$B$23^A241,"")</x:f>
        <x:v>365.59801462145424</x:v>
      </x:c>
      <x:c r="E241" s="21" t="str">
        <x:f>IF(A241&lt;'Inputs'!$B$28,ROUNDUP(ROUND('Inputs'!$B$25*'Inputs'!$B$26^A241,6),0),"")</x:f>
      </x:c>
      <x:c r="F241" s="21" t="str">
        <x:f>IF(A241&lt;='Inputs'!$B$28,F240+E240,"")</x:f>
      </x:c>
      <x:c r="G241" s="29" t="str">
        <x:f>IF(A241&lt;='Inputs'!$B$28,'Inputs'!$B$27^A241,"")</x:f>
      </x:c>
      <x:c r="H241" s="21" t="str">
        <x:f>IF(A241&lt;'Inputs'!$B$32,ROUNDUP(ROUND('Inputs'!$B$29*'Inputs'!$B$30^A241,6),0),"")</x:f>
      </x:c>
      <x:c r="I241" s="21" t="str">
        <x:f>IF(A241&lt;='Inputs'!$B$32,I240+H240,"")</x:f>
      </x:c>
      <x:c r="J241" s="29" t="str">
        <x:f>IF(A241&lt;='Inputs'!$B$32,1+'Inputs'!$B$31*A241,"")</x:f>
      </x:c>
    </x:row>
    <x:row r="242" ht="25" customHeight="1">
      <x:c r="A242" s="19" t="n">
        <x:v>240</x:v>
      </x:c>
      <x:c r="B242" s="21" t="n">
        <x:f>IF(A242&lt;'Inputs'!$B$24,ROUNDUP(ROUND('Inputs'!$B$21*'Inputs'!$B$22^A242,6),0),"")</x:f>
        <x:v>563737142</x:v>
      </x:c>
      <x:c r="C242" s="21" t="n">
        <x:f>IF(A242&lt;='Inputs'!$B$24,C241+B241,"")</x:f>
        <x:v>8053387133</x:v>
      </x:c>
      <x:c r="D242" s="29" t="n">
        <x:f>IF(A242&lt;='Inputs'!$B$24,'Inputs'!$B$23^A242,"")</x:f>
        <x:v>374.73796498699056</x:v>
      </x:c>
      <x:c r="E242" s="21" t="str">
        <x:f>IF(A242&lt;'Inputs'!$B$28,ROUNDUP(ROUND('Inputs'!$B$25*'Inputs'!$B$26^A242,6),0),"")</x:f>
      </x:c>
      <x:c r="F242" s="21" t="str">
        <x:f>IF(A242&lt;='Inputs'!$B$28,F241+E241,"")</x:f>
      </x:c>
      <x:c r="G242" s="29" t="str">
        <x:f>IF(A242&lt;='Inputs'!$B$28,'Inputs'!$B$27^A242,"")</x:f>
      </x:c>
      <x:c r="H242" s="21" t="str">
        <x:f>IF(A242&lt;'Inputs'!$B$32,ROUNDUP(ROUND('Inputs'!$B$29*'Inputs'!$B$30^A242,6),0),"")</x:f>
      </x:c>
      <x:c r="I242" s="21" t="str">
        <x:f>IF(A242&lt;='Inputs'!$B$32,I241+H241,"")</x:f>
      </x:c>
      <x:c r="J242" s="29" t="str">
        <x:f>IF(A242&lt;='Inputs'!$B$32,1+'Inputs'!$B$31*A242,"")</x:f>
      </x:c>
    </x:row>
    <x:row r="243" ht="25" customHeight="1">
      <x:c r="A243" s="19" t="n">
        <x:v>241</x:v>
      </x:c>
      <x:c r="B243" s="21" t="n">
        <x:f>IF(A243&lt;'Inputs'!$B$24,ROUNDUP(ROUND('Inputs'!$B$21*'Inputs'!$B$22^A243,6),0),"")</x:f>
        <x:v>603198742</x:v>
      </x:c>
      <x:c r="C243" s="21" t="n">
        <x:f>IF(A243&lt;='Inputs'!$B$24,C242+B242,"")</x:f>
        <x:v>8617124275</x:v>
      </x:c>
      <x:c r="D243" s="29" t="n">
        <x:f>IF(A243&lt;='Inputs'!$B$24,'Inputs'!$B$23^A243,"")</x:f>
        <x:v>384.1064141116653</x:v>
      </x:c>
      <x:c r="E243" s="21" t="str">
        <x:f>IF(A243&lt;'Inputs'!$B$28,ROUNDUP(ROUND('Inputs'!$B$25*'Inputs'!$B$26^A243,6),0),"")</x:f>
      </x:c>
      <x:c r="F243" s="21" t="str">
        <x:f>IF(A243&lt;='Inputs'!$B$28,F242+E242,"")</x:f>
      </x:c>
      <x:c r="G243" s="29" t="str">
        <x:f>IF(A243&lt;='Inputs'!$B$28,'Inputs'!$B$27^A243,"")</x:f>
      </x:c>
      <x:c r="H243" s="21" t="str">
        <x:f>IF(A243&lt;'Inputs'!$B$32,ROUNDUP(ROUND('Inputs'!$B$29*'Inputs'!$B$30^A243,6),0),"")</x:f>
      </x:c>
      <x:c r="I243" s="21" t="str">
        <x:f>IF(A243&lt;='Inputs'!$B$32,I242+H242,"")</x:f>
      </x:c>
      <x:c r="J243" s="29" t="str">
        <x:f>IF(A243&lt;='Inputs'!$B$32,1+'Inputs'!$B$31*A243,"")</x:f>
      </x:c>
    </x:row>
    <x:row r="244" ht="25" customHeight="1">
      <x:c r="A244" s="19" t="n">
        <x:v>242</x:v>
      </x:c>
      <x:c r="B244" s="21" t="n">
        <x:f>IF(A244&lt;'Inputs'!$B$24,ROUNDUP(ROUND('Inputs'!$B$21*'Inputs'!$B$22^A244,6),0),"")</x:f>
        <x:v>645422653</x:v>
      </x:c>
      <x:c r="C244" s="21" t="n">
        <x:f>IF(A244&lt;='Inputs'!$B$24,C243+B243,"")</x:f>
        <x:v>9220323017</x:v>
      </x:c>
      <x:c r="D244" s="29" t="n">
        <x:f>IF(A244&lt;='Inputs'!$B$24,'Inputs'!$B$23^A244,"")</x:f>
        <x:v>393.7090744644569</x:v>
      </x:c>
      <x:c r="E244" s="21" t="str">
        <x:f>IF(A244&lt;'Inputs'!$B$28,ROUNDUP(ROUND('Inputs'!$B$25*'Inputs'!$B$26^A244,6),0),"")</x:f>
      </x:c>
      <x:c r="F244" s="21" t="str">
        <x:f>IF(A244&lt;='Inputs'!$B$28,F243+E243,"")</x:f>
      </x:c>
      <x:c r="G244" s="29" t="str">
        <x:f>IF(A244&lt;='Inputs'!$B$28,'Inputs'!$B$27^A244,"")</x:f>
      </x:c>
      <x:c r="H244" s="21" t="str">
        <x:f>IF(A244&lt;'Inputs'!$B$32,ROUNDUP(ROUND('Inputs'!$B$29*'Inputs'!$B$30^A244,6),0),"")</x:f>
      </x:c>
      <x:c r="I244" s="21" t="str">
        <x:f>IF(A244&lt;='Inputs'!$B$32,I243+H243,"")</x:f>
      </x:c>
      <x:c r="J244" s="29" t="str">
        <x:f>IF(A244&lt;='Inputs'!$B$32,1+'Inputs'!$B$31*A244,"")</x:f>
      </x:c>
    </x:row>
    <x:row r="245" ht="25" customHeight="1">
      <x:c r="A245" s="19" t="n">
        <x:v>243</x:v>
      </x:c>
      <x:c r="B245" s="21" t="n">
        <x:f>IF(A245&lt;'Inputs'!$B$24,ROUNDUP(ROUND('Inputs'!$B$21*'Inputs'!$B$22^A245,6),0),"")</x:f>
        <x:v>690602239</x:v>
      </x:c>
      <x:c r="C245" s="21" t="n">
        <x:f>IF(A245&lt;='Inputs'!$B$24,C244+B244,"")</x:f>
        <x:v>9865745670</x:v>
      </x:c>
      <x:c r="D245" s="29" t="n">
        <x:f>IF(A245&lt;='Inputs'!$B$24,'Inputs'!$B$23^A245,"")</x:f>
        <x:v>403.55180132606824</x:v>
      </x:c>
      <x:c r="E245" s="21" t="str">
        <x:f>IF(A245&lt;'Inputs'!$B$28,ROUNDUP(ROUND('Inputs'!$B$25*'Inputs'!$B$26^A245,6),0),"")</x:f>
      </x:c>
      <x:c r="F245" s="21" t="str">
        <x:f>IF(A245&lt;='Inputs'!$B$28,F244+E244,"")</x:f>
      </x:c>
      <x:c r="G245" s="29" t="str">
        <x:f>IF(A245&lt;='Inputs'!$B$28,'Inputs'!$B$27^A245,"")</x:f>
      </x:c>
      <x:c r="H245" s="21" t="str">
        <x:f>IF(A245&lt;'Inputs'!$B$32,ROUNDUP(ROUND('Inputs'!$B$29*'Inputs'!$B$30^A245,6),0),"")</x:f>
      </x:c>
      <x:c r="I245" s="21" t="str">
        <x:f>IF(A245&lt;='Inputs'!$B$32,I244+H244,"")</x:f>
      </x:c>
      <x:c r="J245" s="29" t="str">
        <x:f>IF(A245&lt;='Inputs'!$B$32,1+'Inputs'!$B$31*A245,"")</x:f>
      </x:c>
    </x:row>
    <x:row r="246" ht="25" customHeight="1">
      <x:c r="A246" s="19" t="n">
        <x:v>244</x:v>
      </x:c>
      <x:c r="B246" s="21" t="n">
        <x:f>IF(A246&lt;'Inputs'!$B$24,ROUNDUP(ROUND('Inputs'!$B$21*'Inputs'!$B$22^A246,6),0),"")</x:f>
        <x:v>738944396</x:v>
      </x:c>
      <x:c r="C246" s="21" t="n">
        <x:f>IF(A246&lt;='Inputs'!$B$24,C245+B245,"")</x:f>
        <x:v>10556347909</x:v>
      </x:c>
      <x:c r="D246" s="29" t="n">
        <x:f>IF(A246&lt;='Inputs'!$B$24,'Inputs'!$B$23^A246,"")</x:f>
        <x:v>413.64059635921996</x:v>
      </x:c>
      <x:c r="E246" s="21" t="str">
        <x:f>IF(A246&lt;'Inputs'!$B$28,ROUNDUP(ROUND('Inputs'!$B$25*'Inputs'!$B$26^A246,6),0),"")</x:f>
      </x:c>
      <x:c r="F246" s="21" t="str">
        <x:f>IF(A246&lt;='Inputs'!$B$28,F245+E245,"")</x:f>
      </x:c>
      <x:c r="G246" s="29" t="str">
        <x:f>IF(A246&lt;='Inputs'!$B$28,'Inputs'!$B$27^A246,"")</x:f>
      </x:c>
      <x:c r="H246" s="21" t="str">
        <x:f>IF(A246&lt;'Inputs'!$B$32,ROUNDUP(ROUND('Inputs'!$B$29*'Inputs'!$B$30^A246,6),0),"")</x:f>
      </x:c>
      <x:c r="I246" s="21" t="str">
        <x:f>IF(A246&lt;='Inputs'!$B$32,I245+H245,"")</x:f>
      </x:c>
      <x:c r="J246" s="29" t="str">
        <x:f>IF(A246&lt;='Inputs'!$B$32,1+'Inputs'!$B$31*A246,"")</x:f>
      </x:c>
    </x:row>
    <x:row r="247" ht="25" customHeight="1">
      <x:c r="A247" s="19" t="n">
        <x:v>245</x:v>
      </x:c>
      <x:c r="B247" s="21" t="n">
        <x:f>IF(A247&lt;'Inputs'!$B$24,ROUNDUP(ROUND('Inputs'!$B$21*'Inputs'!$B$22^A247,6),0),"")</x:f>
        <x:v>790670504</x:v>
      </x:c>
      <x:c r="C247" s="21" t="n">
        <x:f>IF(A247&lt;='Inputs'!$B$24,C246+B246,"")</x:f>
        <x:v>11295292305</x:v>
      </x:c>
      <x:c r="D247" s="29" t="n">
        <x:f>IF(A247&lt;='Inputs'!$B$24,'Inputs'!$B$23^A247,"")</x:f>
        <x:v>423.9816112682004</x:v>
      </x:c>
      <x:c r="E247" s="21" t="str">
        <x:f>IF(A247&lt;'Inputs'!$B$28,ROUNDUP(ROUND('Inputs'!$B$25*'Inputs'!$B$26^A247,6),0),"")</x:f>
      </x:c>
      <x:c r="F247" s="21" t="str">
        <x:f>IF(A247&lt;='Inputs'!$B$28,F246+E246,"")</x:f>
      </x:c>
      <x:c r="G247" s="29" t="str">
        <x:f>IF(A247&lt;='Inputs'!$B$28,'Inputs'!$B$27^A247,"")</x:f>
      </x:c>
      <x:c r="H247" s="21" t="str">
        <x:f>IF(A247&lt;'Inputs'!$B$32,ROUNDUP(ROUND('Inputs'!$B$29*'Inputs'!$B$30^A247,6),0),"")</x:f>
      </x:c>
      <x:c r="I247" s="21" t="str">
        <x:f>IF(A247&lt;='Inputs'!$B$32,I246+H246,"")</x:f>
      </x:c>
      <x:c r="J247" s="29" t="str">
        <x:f>IF(A247&lt;='Inputs'!$B$32,1+'Inputs'!$B$31*A247,"")</x:f>
      </x:c>
    </x:row>
    <x:row r="248" ht="25" customHeight="1">
      <x:c r="A248" s="19" t="n">
        <x:v>246</x:v>
      </x:c>
      <x:c r="B248" s="21" t="n">
        <x:f>IF(A248&lt;'Inputs'!$B$24,ROUNDUP(ROUND('Inputs'!$B$21*'Inputs'!$B$22^A248,6),0),"")</x:f>
        <x:v>846017439</x:v>
      </x:c>
      <x:c r="C248" s="21" t="n">
        <x:f>IF(A248&lt;='Inputs'!$B$24,C247+B247,"")</x:f>
        <x:v>12085962809</x:v>
      </x:c>
      <x:c r="D248" s="29" t="n">
        <x:f>IF(A248&lt;='Inputs'!$B$24,'Inputs'!$B$23^A248,"")</x:f>
        <x:v>434.58115154990537</x:v>
      </x:c>
      <x:c r="E248" s="21" t="str">
        <x:f>IF(A248&lt;'Inputs'!$B$28,ROUNDUP(ROUND('Inputs'!$B$25*'Inputs'!$B$26^A248,6),0),"")</x:f>
      </x:c>
      <x:c r="F248" s="21" t="str">
        <x:f>IF(A248&lt;='Inputs'!$B$28,F247+E247,"")</x:f>
      </x:c>
      <x:c r="G248" s="29" t="str">
        <x:f>IF(A248&lt;='Inputs'!$B$28,'Inputs'!$B$27^A248,"")</x:f>
      </x:c>
      <x:c r="H248" s="21" t="str">
        <x:f>IF(A248&lt;'Inputs'!$B$32,ROUNDUP(ROUND('Inputs'!$B$29*'Inputs'!$B$30^A248,6),0),"")</x:f>
      </x:c>
      <x:c r="I248" s="21" t="str">
        <x:f>IF(A248&lt;='Inputs'!$B$32,I247+H247,"")</x:f>
      </x:c>
      <x:c r="J248" s="29" t="str">
        <x:f>IF(A248&lt;='Inputs'!$B$32,1+'Inputs'!$B$31*A248,"")</x:f>
      </x:c>
    </x:row>
    <x:row r="249" ht="25" customHeight="1">
      <x:c r="A249" s="19" t="n">
        <x:v>247</x:v>
      </x:c>
      <x:c r="B249" s="21" t="n">
        <x:f>IF(A249&lt;'Inputs'!$B$24,ROUNDUP(ROUND('Inputs'!$B$21*'Inputs'!$B$22^A249,6),0),"")</x:f>
        <x:v>905238659</x:v>
      </x:c>
      <x:c r="C249" s="21" t="n">
        <x:f>IF(A249&lt;='Inputs'!$B$24,C248+B248,"")</x:f>
        <x:v>12931980248</x:v>
      </x:c>
      <x:c r="D249" s="29" t="n">
        <x:f>IF(A249&lt;='Inputs'!$B$24,'Inputs'!$B$23^A249,"")</x:f>
        <x:v>445.44568033865295</x:v>
      </x:c>
      <x:c r="E249" s="21" t="str">
        <x:f>IF(A249&lt;'Inputs'!$B$28,ROUNDUP(ROUND('Inputs'!$B$25*'Inputs'!$B$26^A249,6),0),"")</x:f>
      </x:c>
      <x:c r="F249" s="21" t="str">
        <x:f>IF(A249&lt;='Inputs'!$B$28,F248+E248,"")</x:f>
      </x:c>
      <x:c r="G249" s="29" t="str">
        <x:f>IF(A249&lt;='Inputs'!$B$28,'Inputs'!$B$27^A249,"")</x:f>
      </x:c>
      <x:c r="H249" s="21" t="str">
        <x:f>IF(A249&lt;'Inputs'!$B$32,ROUNDUP(ROUND('Inputs'!$B$29*'Inputs'!$B$30^A249,6),0),"")</x:f>
      </x:c>
      <x:c r="I249" s="21" t="str">
        <x:f>IF(A249&lt;='Inputs'!$B$32,I248+H248,"")</x:f>
      </x:c>
      <x:c r="J249" s="29" t="str">
        <x:f>IF(A249&lt;='Inputs'!$B$32,1+'Inputs'!$B$31*A249,"")</x:f>
      </x:c>
    </x:row>
    <x:row r="250" ht="25" customHeight="1">
      <x:c r="A250" s="19" t="n">
        <x:v>248</x:v>
      </x:c>
      <x:c r="B250" s="21" t="n">
        <x:f>IF(A250&lt;'Inputs'!$B$24,ROUNDUP(ROUND('Inputs'!$B$21*'Inputs'!$B$22^A250,6),0),"")</x:f>
        <x:v>968605366</x:v>
      </x:c>
      <x:c r="C250" s="21" t="n">
        <x:f>IF(A250&lt;='Inputs'!$B$24,C249+B249,"")</x:f>
        <x:v>13837218907</x:v>
      </x:c>
      <x:c r="D250" s="29" t="n">
        <x:f>IF(A250&lt;='Inputs'!$B$24,'Inputs'!$B$23^A250,"")</x:f>
        <x:v>456.58182234711927</x:v>
      </x:c>
      <x:c r="E250" s="21" t="str">
        <x:f>IF(A250&lt;'Inputs'!$B$28,ROUNDUP(ROUND('Inputs'!$B$25*'Inputs'!$B$26^A250,6),0),"")</x:f>
      </x:c>
      <x:c r="F250" s="21" t="str">
        <x:f>IF(A250&lt;='Inputs'!$B$28,F249+E249,"")</x:f>
      </x:c>
      <x:c r="G250" s="29" t="str">
        <x:f>IF(A250&lt;='Inputs'!$B$28,'Inputs'!$B$27^A250,"")</x:f>
      </x:c>
      <x:c r="H250" s="21" t="str">
        <x:f>IF(A250&lt;'Inputs'!$B$32,ROUNDUP(ROUND('Inputs'!$B$29*'Inputs'!$B$30^A250,6),0),"")</x:f>
      </x:c>
      <x:c r="I250" s="21" t="str">
        <x:f>IF(A250&lt;='Inputs'!$B$32,I249+H249,"")</x:f>
      </x:c>
      <x:c r="J250" s="29" t="str">
        <x:f>IF(A250&lt;='Inputs'!$B$32,1+'Inputs'!$B$31*A250,"")</x:f>
      </x:c>
    </x:row>
    <x:row r="251" ht="25" customHeight="1">
      <x:c r="A251" s="19" t="n">
        <x:v>249</x:v>
      </x:c>
      <x:c r="B251" s="21" t="n">
        <x:f>IF(A251&lt;'Inputs'!$B$24,ROUNDUP(ROUND('Inputs'!$B$21*'Inputs'!$B$22^A251,6),0),"")</x:f>
        <x:v>1036407741</x:v>
      </x:c>
      <x:c r="C251" s="21" t="n">
        <x:f>IF(A251&lt;='Inputs'!$B$24,C250+B250,"")</x:f>
        <x:v>14805824273</x:v>
      </x:c>
      <x:c r="D251" s="29" t="n">
        <x:f>IF(A251&lt;='Inputs'!$B$24,'Inputs'!$B$23^A251,"")</x:f>
        <x:v>467.9963679057972</x:v>
      </x:c>
      <x:c r="E251" s="21" t="str">
        <x:f>IF(A251&lt;'Inputs'!$B$28,ROUNDUP(ROUND('Inputs'!$B$25*'Inputs'!$B$26^A251,6),0),"")</x:f>
      </x:c>
      <x:c r="F251" s="21" t="str">
        <x:f>IF(A251&lt;='Inputs'!$B$28,F250+E250,"")</x:f>
      </x:c>
      <x:c r="G251" s="29" t="str">
        <x:f>IF(A251&lt;='Inputs'!$B$28,'Inputs'!$B$27^A251,"")</x:f>
      </x:c>
      <x:c r="H251" s="21" t="str">
        <x:f>IF(A251&lt;'Inputs'!$B$32,ROUNDUP(ROUND('Inputs'!$B$29*'Inputs'!$B$30^A251,6),0),"")</x:f>
      </x:c>
      <x:c r="I251" s="21" t="str">
        <x:f>IF(A251&lt;='Inputs'!$B$32,I250+H250,"")</x:f>
      </x:c>
      <x:c r="J251" s="29" t="str">
        <x:f>IF(A251&lt;='Inputs'!$B$32,1+'Inputs'!$B$31*A251,"")</x:f>
      </x:c>
    </x:row>
    <x:row r="252" ht="25" customHeight="1">
      <x:c r="A252" s="19" t="n">
        <x:v>250</x:v>
      </x:c>
      <x:c r="B252" s="21" t="n">
        <x:f>IF(A252&lt;'Inputs'!$B$24,ROUNDUP(ROUND('Inputs'!$B$21*'Inputs'!$B$22^A252,6),0),"")</x:f>
        <x:v>1108956283</x:v>
      </x:c>
      <x:c r="C252" s="21" t="n">
        <x:f>IF(A252&lt;='Inputs'!$B$24,C251+B251,"")</x:f>
        <x:v>15842232014</x:v>
      </x:c>
      <x:c r="D252" s="29" t="n">
        <x:f>IF(A252&lt;='Inputs'!$B$24,'Inputs'!$B$23^A252,"")</x:f>
        <x:v>479.69627710344207</x:v>
      </x:c>
      <x:c r="E252" s="21" t="str">
        <x:f>IF(A252&lt;'Inputs'!$B$28,ROUNDUP(ROUND('Inputs'!$B$25*'Inputs'!$B$26^A252,6),0),"")</x:f>
      </x:c>
      <x:c r="F252" s="21" t="str">
        <x:f>IF(A252&lt;='Inputs'!$B$28,F251+E251,"")</x:f>
      </x:c>
      <x:c r="G252" s="29" t="str">
        <x:f>IF(A252&lt;='Inputs'!$B$28,'Inputs'!$B$27^A252,"")</x:f>
      </x:c>
      <x:c r="H252" s="21" t="str">
        <x:f>IF(A252&lt;'Inputs'!$B$32,ROUNDUP(ROUND('Inputs'!$B$29*'Inputs'!$B$30^A252,6),0),"")</x:f>
      </x:c>
      <x:c r="I252" s="21" t="str">
        <x:f>IF(A252&lt;='Inputs'!$B$32,I251+H251,"")</x:f>
      </x:c>
      <x:c r="J252" s="29" t="str">
        <x:f>IF(A252&lt;='Inputs'!$B$32,1+'Inputs'!$B$31*A252,"")</x:f>
      </x:c>
    </x:row>
    <x:row r="253" ht="25" customHeight="1">
      <x:c r="A253" s="19" t="n">
        <x:v>251</x:v>
      </x:c>
      <x:c r="B253" s="21" t="n">
        <x:f>IF(A253&lt;'Inputs'!$B$24,ROUNDUP(ROUND('Inputs'!$B$21*'Inputs'!$B$22^A253,6),0),"")</x:f>
        <x:v>1186583223</x:v>
      </x:c>
      <x:c r="C253" s="21" t="n">
        <x:f>IF(A253&lt;='Inputs'!$B$24,C252+B252,"")</x:f>
        <x:v>16951188297</x:v>
      </x:c>
      <x:c r="D253" s="29" t="n">
        <x:f>IF(A253&lt;='Inputs'!$B$24,'Inputs'!$B$23^A253,"")</x:f>
        <x:v>491.68868403102806</x:v>
      </x:c>
      <x:c r="E253" s="21" t="str">
        <x:f>IF(A253&lt;'Inputs'!$B$28,ROUNDUP(ROUND('Inputs'!$B$25*'Inputs'!$B$26^A253,6),0),"")</x:f>
      </x:c>
      <x:c r="F253" s="21" t="str">
        <x:f>IF(A253&lt;='Inputs'!$B$28,F252+E252,"")</x:f>
      </x:c>
      <x:c r="G253" s="29" t="str">
        <x:f>IF(A253&lt;='Inputs'!$B$28,'Inputs'!$B$27^A253,"")</x:f>
      </x:c>
      <x:c r="H253" s="21" t="str">
        <x:f>IF(A253&lt;'Inputs'!$B$32,ROUNDUP(ROUND('Inputs'!$B$29*'Inputs'!$B$30^A253,6),0),"")</x:f>
      </x:c>
      <x:c r="I253" s="21" t="str">
        <x:f>IF(A253&lt;='Inputs'!$B$32,I252+H252,"")</x:f>
      </x:c>
      <x:c r="J253" s="29" t="str">
        <x:f>IF(A253&lt;='Inputs'!$B$32,1+'Inputs'!$B$31*A253,"")</x:f>
      </x:c>
    </x:row>
    <x:row r="254" ht="25" customHeight="1">
      <x:c r="A254" s="19" t="n">
        <x:v>252</x:v>
      </x:c>
      <x:c r="B254" s="21" t="n">
        <x:f>IF(A254&lt;'Inputs'!$B$24,ROUNDUP(ROUND('Inputs'!$B$21*'Inputs'!$B$22^A254,6),0),"")</x:f>
        <x:v>1269644048</x:v>
      </x:c>
      <x:c r="C254" s="21" t="n">
        <x:f>IF(A254&lt;='Inputs'!$B$24,C253+B253,"")</x:f>
        <x:v>18137771520</x:v>
      </x:c>
      <x:c r="D254" s="29" t="n">
        <x:f>IF(A254&lt;='Inputs'!$B$24,'Inputs'!$B$23^A254,"")</x:f>
        <x:v>503.98090113180376</x:v>
      </x:c>
      <x:c r="E254" s="21" t="str">
        <x:f>IF(A254&lt;'Inputs'!$B$28,ROUNDUP(ROUND('Inputs'!$B$25*'Inputs'!$B$26^A254,6),0),"")</x:f>
      </x:c>
      <x:c r="F254" s="21" t="str">
        <x:f>IF(A254&lt;='Inputs'!$B$28,F253+E253,"")</x:f>
      </x:c>
      <x:c r="G254" s="29" t="str">
        <x:f>IF(A254&lt;='Inputs'!$B$28,'Inputs'!$B$27^A254,"")</x:f>
      </x:c>
      <x:c r="H254" s="21" t="str">
        <x:f>IF(A254&lt;'Inputs'!$B$32,ROUNDUP(ROUND('Inputs'!$B$29*'Inputs'!$B$30^A254,6),0),"")</x:f>
      </x:c>
      <x:c r="I254" s="21" t="str">
        <x:f>IF(A254&lt;='Inputs'!$B$32,I253+H253,"")</x:f>
      </x:c>
      <x:c r="J254" s="29" t="str">
        <x:f>IF(A254&lt;='Inputs'!$B$32,1+'Inputs'!$B$31*A254,"")</x:f>
      </x:c>
    </x:row>
    <x:row r="255" ht="25" customHeight="1">
      <x:c r="A255" s="19" t="n">
        <x:v>253</x:v>
      </x:c>
      <x:c r="B255" s="21" t="n">
        <x:f>IF(A255&lt;'Inputs'!$B$24,ROUNDUP(ROUND('Inputs'!$B$21*'Inputs'!$B$22^A255,6),0),"")</x:f>
        <x:v>1358519132</x:v>
      </x:c>
      <x:c r="C255" s="21" t="n">
        <x:f>IF(A255&lt;='Inputs'!$B$24,C254+B254,"")</x:f>
        <x:v>19407415568</x:v>
      </x:c>
      <x:c r="D255" s="29" t="n">
        <x:f>IF(A255&lt;='Inputs'!$B$24,'Inputs'!$B$23^A255,"")</x:f>
        <x:v>516.5804236600987</x:v>
      </x:c>
      <x:c r="E255" s="21" t="str">
        <x:f>IF(A255&lt;'Inputs'!$B$28,ROUNDUP(ROUND('Inputs'!$B$25*'Inputs'!$B$26^A255,6),0),"")</x:f>
      </x:c>
      <x:c r="F255" s="21" t="str">
        <x:f>IF(A255&lt;='Inputs'!$B$28,F254+E254,"")</x:f>
      </x:c>
      <x:c r="G255" s="29" t="str">
        <x:f>IF(A255&lt;='Inputs'!$B$28,'Inputs'!$B$27^A255,"")</x:f>
      </x:c>
      <x:c r="H255" s="21" t="str">
        <x:f>IF(A255&lt;'Inputs'!$B$32,ROUNDUP(ROUND('Inputs'!$B$29*'Inputs'!$B$30^A255,6),0),"")</x:f>
      </x:c>
      <x:c r="I255" s="21" t="str">
        <x:f>IF(A255&lt;='Inputs'!$B$32,I254+H254,"")</x:f>
      </x:c>
      <x:c r="J255" s="29" t="str">
        <x:f>IF(A255&lt;='Inputs'!$B$32,1+'Inputs'!$B$31*A255,"")</x:f>
      </x:c>
    </x:row>
    <x:row r="256" ht="25" customHeight="1">
      <x:c r="A256" s="19" t="n">
        <x:v>254</x:v>
      </x:c>
      <x:c r="B256" s="21" t="n">
        <x:f>IF(A256&lt;'Inputs'!$B$24,ROUNDUP(ROUND('Inputs'!$B$21*'Inputs'!$B$22^A256,6),0),"")</x:f>
        <x:v>1453615471</x:v>
      </x:c>
      <x:c r="C256" s="21" t="n">
        <x:f>IF(A256&lt;='Inputs'!$B$24,C255+B255,"")</x:f>
        <x:v>20765934700</x:v>
      </x:c>
      <x:c r="D256" s="29" t="n">
        <x:f>IF(A256&lt;='Inputs'!$B$24,'Inputs'!$B$23^A256,"")</x:f>
        <x:v>529.4949342516012</x:v>
      </x:c>
      <x:c r="E256" s="21" t="str">
        <x:f>IF(A256&lt;'Inputs'!$B$28,ROUNDUP(ROUND('Inputs'!$B$25*'Inputs'!$B$26^A256,6),0),"")</x:f>
      </x:c>
      <x:c r="F256" s="21" t="str">
        <x:f>IF(A256&lt;='Inputs'!$B$28,F255+E255,"")</x:f>
      </x:c>
      <x:c r="G256" s="29" t="str">
        <x:f>IF(A256&lt;='Inputs'!$B$28,'Inputs'!$B$27^A256,"")</x:f>
      </x:c>
      <x:c r="H256" s="21" t="str">
        <x:f>IF(A256&lt;'Inputs'!$B$32,ROUNDUP(ROUND('Inputs'!$B$29*'Inputs'!$B$30^A256,6),0),"")</x:f>
      </x:c>
      <x:c r="I256" s="21" t="str">
        <x:f>IF(A256&lt;='Inputs'!$B$32,I255+H255,"")</x:f>
      </x:c>
      <x:c r="J256" s="29" t="str">
        <x:f>IF(A256&lt;='Inputs'!$B$32,1+'Inputs'!$B$31*A256,"")</x:f>
      </x:c>
    </x:row>
    <x:row r="257" ht="25" customHeight="1">
      <x:c r="A257" s="19" t="n">
        <x:v>255</x:v>
      </x:c>
      <x:c r="B257" s="21" t="n">
        <x:f>IF(A257&lt;'Inputs'!$B$24,ROUNDUP(ROUND('Inputs'!$B$21*'Inputs'!$B$22^A257,6),0),"")</x:f>
        <x:v>1555368554</x:v>
      </x:c>
      <x:c r="C257" s="21" t="n">
        <x:f>IF(A257&lt;='Inputs'!$B$24,C256+B256,"")</x:f>
        <x:v>22219550171</x:v>
      </x:c>
      <x:c r="D257" s="29" t="n">
        <x:f>IF(A257&lt;='Inputs'!$B$24,'Inputs'!$B$23^A257,"")</x:f>
        <x:v>542.7323076078912</x:v>
      </x:c>
      <x:c r="E257" s="21" t="str">
        <x:f>IF(A257&lt;'Inputs'!$B$28,ROUNDUP(ROUND('Inputs'!$B$25*'Inputs'!$B$26^A257,6),0),"")</x:f>
      </x:c>
      <x:c r="F257" s="21" t="str">
        <x:f>IF(A257&lt;='Inputs'!$B$28,F256+E256,"")</x:f>
      </x:c>
      <x:c r="G257" s="29" t="str">
        <x:f>IF(A257&lt;='Inputs'!$B$28,'Inputs'!$B$27^A257,"")</x:f>
      </x:c>
      <x:c r="H257" s="21" t="str">
        <x:f>IF(A257&lt;'Inputs'!$B$32,ROUNDUP(ROUND('Inputs'!$B$29*'Inputs'!$B$30^A257,6),0),"")</x:f>
      </x:c>
      <x:c r="I257" s="21" t="str">
        <x:f>IF(A257&lt;='Inputs'!$B$32,I256+H256,"")</x:f>
      </x:c>
      <x:c r="J257" s="29" t="str">
        <x:f>IF(A257&lt;='Inputs'!$B$32,1+'Inputs'!$B$31*A257,"")</x:f>
      </x:c>
    </x:row>
    <x:row r="258" ht="25" customHeight="1">
      <x:c r="A258" s="19" t="n">
        <x:v>256</x:v>
      </x:c>
      <x:c r="B258" s="21" t="n">
        <x:f>IF(A258&lt;'Inputs'!$B$24,ROUNDUP(ROUND('Inputs'!$B$21*'Inputs'!$B$22^A258,6),0),"")</x:f>
        <x:v>1664244353</x:v>
      </x:c>
      <x:c r="C258" s="21" t="n">
        <x:f>IF(A258&lt;='Inputs'!$B$24,C257+B257,"")</x:f>
        <x:v>23774918725</x:v>
      </x:c>
      <x:c r="D258" s="29" t="n">
        <x:f>IF(A258&lt;='Inputs'!$B$24,'Inputs'!$B$23^A258,"")</x:f>
        <x:v>556.3006152980885</x:v>
      </x:c>
      <x:c r="E258" s="21" t="str">
        <x:f>IF(A258&lt;'Inputs'!$B$28,ROUNDUP(ROUND('Inputs'!$B$25*'Inputs'!$B$26^A258,6),0),"")</x:f>
      </x:c>
      <x:c r="F258" s="21" t="str">
        <x:f>IF(A258&lt;='Inputs'!$B$28,F257+E257,"")</x:f>
      </x:c>
      <x:c r="G258" s="29" t="str">
        <x:f>IF(A258&lt;='Inputs'!$B$28,'Inputs'!$B$27^A258,"")</x:f>
      </x:c>
      <x:c r="H258" s="21" t="str">
        <x:f>IF(A258&lt;'Inputs'!$B$32,ROUNDUP(ROUND('Inputs'!$B$29*'Inputs'!$B$30^A258,6),0),"")</x:f>
      </x:c>
      <x:c r="I258" s="21" t="str">
        <x:f>IF(A258&lt;='Inputs'!$B$32,I257+H257,"")</x:f>
      </x:c>
      <x:c r="J258" s="29" t="str">
        <x:f>IF(A258&lt;='Inputs'!$B$32,1+'Inputs'!$B$31*A258,"")</x:f>
      </x:c>
    </x:row>
    <x:row r="259" ht="25" customHeight="1">
      <x:c r="A259" s="19" t="n">
        <x:v>257</x:v>
      </x:c>
      <x:c r="B259" s="21" t="n">
        <x:f>IF(A259&lt;'Inputs'!$B$24,ROUNDUP(ROUND('Inputs'!$B$21*'Inputs'!$B$22^A259,6),0),"")</x:f>
        <x:v>1780741457</x:v>
      </x:c>
      <x:c r="C259" s="21" t="n">
        <x:f>IF(A259&lt;='Inputs'!$B$24,C258+B258,"")</x:f>
        <x:v>25439163078</x:v>
      </x:c>
      <x:c r="D259" s="29" t="n">
        <x:f>IF(A259&lt;='Inputs'!$B$24,'Inputs'!$B$23^A259,"")</x:f>
        <x:v>570.2081306805406</x:v>
      </x:c>
      <x:c r="E259" s="21" t="str">
        <x:f>IF(A259&lt;'Inputs'!$B$28,ROUNDUP(ROUND('Inputs'!$B$25*'Inputs'!$B$26^A259,6),0),"")</x:f>
      </x:c>
      <x:c r="F259" s="21" t="str">
        <x:f>IF(A259&lt;='Inputs'!$B$28,F258+E258,"")</x:f>
      </x:c>
      <x:c r="G259" s="29" t="str">
        <x:f>IF(A259&lt;='Inputs'!$B$28,'Inputs'!$B$27^A259,"")</x:f>
      </x:c>
      <x:c r="H259" s="21" t="str">
        <x:f>IF(A259&lt;'Inputs'!$B$32,ROUNDUP(ROUND('Inputs'!$B$29*'Inputs'!$B$30^A259,6),0),"")</x:f>
      </x:c>
      <x:c r="I259" s="21" t="str">
        <x:f>IF(A259&lt;='Inputs'!$B$32,I258+H258,"")</x:f>
      </x:c>
      <x:c r="J259" s="29" t="str">
        <x:f>IF(A259&lt;='Inputs'!$B$32,1+'Inputs'!$B$31*A259,"")</x:f>
      </x:c>
    </x:row>
    <x:row r="260" ht="25" customHeight="1">
      <x:c r="A260" s="19" t="n">
        <x:v>258</x:v>
      </x:c>
      <x:c r="B260" s="21" t="n">
        <x:f>IF(A260&lt;'Inputs'!$B$24,ROUNDUP(ROUND('Inputs'!$B$21*'Inputs'!$B$22^A260,6),0),"")</x:f>
        <x:v>1905393359</x:v>
      </x:c>
      <x:c r="C260" s="21" t="n">
        <x:f>IF(A260&lt;='Inputs'!$B$24,C259+B259,"")</x:f>
        <x:v>27219904535</x:v>
      </x:c>
      <x:c r="D260" s="29" t="n">
        <x:f>IF(A260&lt;='Inputs'!$B$24,'Inputs'!$B$23^A260,"")</x:f>
        <x:v>584.463333947554</x:v>
      </x:c>
      <x:c r="E260" s="21" t="str">
        <x:f>IF(A260&lt;'Inputs'!$B$28,ROUNDUP(ROUND('Inputs'!$B$25*'Inputs'!$B$26^A260,6),0),"")</x:f>
      </x:c>
      <x:c r="F260" s="21" t="str">
        <x:f>IF(A260&lt;='Inputs'!$B$28,F259+E259,"")</x:f>
      </x:c>
      <x:c r="G260" s="29" t="str">
        <x:f>IF(A260&lt;='Inputs'!$B$28,'Inputs'!$B$27^A260,"")</x:f>
      </x:c>
      <x:c r="H260" s="21" t="str">
        <x:f>IF(A260&lt;'Inputs'!$B$32,ROUNDUP(ROUND('Inputs'!$B$29*'Inputs'!$B$30^A260,6),0),"")</x:f>
      </x:c>
      <x:c r="I260" s="21" t="str">
        <x:f>IF(A260&lt;='Inputs'!$B$32,I259+H259,"")</x:f>
      </x:c>
      <x:c r="J260" s="29" t="str">
        <x:f>IF(A260&lt;='Inputs'!$B$32,1+'Inputs'!$B$31*A260,"")</x:f>
      </x:c>
    </x:row>
    <x:row r="261" ht="25" customHeight="1">
      <x:c r="A261" s="19" t="n">
        <x:v>259</x:v>
      </x:c>
      <x:c r="B261" s="21" t="n">
        <x:f>IF(A261&lt;'Inputs'!$B$24,ROUNDUP(ROUND('Inputs'!$B$21*'Inputs'!$B$22^A261,6),0),"")</x:f>
        <x:v>2038770894</x:v>
      </x:c>
      <x:c r="C261" s="21" t="n">
        <x:f>IF(A261&lt;='Inputs'!$B$24,C260+B260,"")</x:f>
        <x:v>29125297894</x:v>
      </x:c>
      <x:c r="D261" s="29" t="n">
        <x:f>IF(A261&lt;='Inputs'!$B$24,'Inputs'!$B$23^A261,"")</x:f>
        <x:v>599.0749172962429</x:v>
      </x:c>
      <x:c r="E261" s="21" t="str">
        <x:f>IF(A261&lt;'Inputs'!$B$28,ROUNDUP(ROUND('Inputs'!$B$25*'Inputs'!$B$26^A261,6),0),"")</x:f>
      </x:c>
      <x:c r="F261" s="21" t="str">
        <x:f>IF(A261&lt;='Inputs'!$B$28,F260+E260,"")</x:f>
      </x:c>
      <x:c r="G261" s="29" t="str">
        <x:f>IF(A261&lt;='Inputs'!$B$28,'Inputs'!$B$27^A261,"")</x:f>
      </x:c>
      <x:c r="H261" s="21" t="str">
        <x:f>IF(A261&lt;'Inputs'!$B$32,ROUNDUP(ROUND('Inputs'!$B$29*'Inputs'!$B$30^A261,6),0),"")</x:f>
      </x:c>
      <x:c r="I261" s="21" t="str">
        <x:f>IF(A261&lt;='Inputs'!$B$32,I260+H260,"")</x:f>
      </x:c>
      <x:c r="J261" s="29" t="str">
        <x:f>IF(A261&lt;='Inputs'!$B$32,1+'Inputs'!$B$31*A261,"")</x:f>
      </x:c>
    </x:row>
    <x:row r="262" ht="25" customHeight="1">
      <x:c r="A262" s="19" t="n">
        <x:v>260</x:v>
      </x:c>
      <x:c r="B262" s="21" t="n">
        <x:f>IF(A262&lt;'Inputs'!$B$24,ROUNDUP(ROUND('Inputs'!$B$21*'Inputs'!$B$22^A262,6),0),"")</x:f>
        <x:v>2181484857</x:v>
      </x:c>
      <x:c r="C262" s="21" t="n">
        <x:f>IF(A262&lt;='Inputs'!$B$24,C261+B261,"")</x:f>
        <x:v>31164068788</x:v>
      </x:c>
      <x:c r="D262" s="29" t="n">
        <x:f>IF(A262&lt;='Inputs'!$B$24,'Inputs'!$B$23^A262,"")</x:f>
        <x:v>614.0517902286489</x:v>
      </x:c>
      <x:c r="E262" s="21" t="str">
        <x:f>IF(A262&lt;'Inputs'!$B$28,ROUNDUP(ROUND('Inputs'!$B$25*'Inputs'!$B$26^A262,6),0),"")</x:f>
      </x:c>
      <x:c r="F262" s="21" t="str">
        <x:f>IF(A262&lt;='Inputs'!$B$28,F261+E261,"")</x:f>
      </x:c>
      <x:c r="G262" s="29" t="str">
        <x:f>IF(A262&lt;='Inputs'!$B$28,'Inputs'!$B$27^A262,"")</x:f>
      </x:c>
      <x:c r="H262" s="21" t="str">
        <x:f>IF(A262&lt;'Inputs'!$B$32,ROUNDUP(ROUND('Inputs'!$B$29*'Inputs'!$B$30^A262,6),0),"")</x:f>
      </x:c>
      <x:c r="I262" s="21" t="str">
        <x:f>IF(A262&lt;='Inputs'!$B$32,I261+H261,"")</x:f>
      </x:c>
      <x:c r="J262" s="29" t="str">
        <x:f>IF(A262&lt;='Inputs'!$B$32,1+'Inputs'!$B$31*A262,"")</x:f>
      </x:c>
    </x:row>
    <x:row r="263" ht="25" customHeight="1">
      <x:c r="A263" s="19" t="n">
        <x:v>261</x:v>
      </x:c>
      <x:c r="B263" s="21" t="n">
        <x:f>IF(A263&lt;'Inputs'!$B$24,ROUNDUP(ROUND('Inputs'!$B$21*'Inputs'!$B$22^A263,6),0),"")</x:f>
        <x:v>2334188797</x:v>
      </x:c>
      <x:c r="C263" s="21" t="n">
        <x:f>IF(A263&lt;='Inputs'!$B$24,C262+B262,"")</x:f>
        <x:v>33345553645</x:v>
      </x:c>
      <x:c r="D263" s="29" t="n">
        <x:f>IF(A263&lt;='Inputs'!$B$24,'Inputs'!$B$23^A263,"")</x:f>
        <x:v>629.403084984365</x:v>
      </x:c>
      <x:c r="E263" s="21" t="str">
        <x:f>IF(A263&lt;'Inputs'!$B$28,ROUNDUP(ROUND('Inputs'!$B$25*'Inputs'!$B$26^A263,6),0),"")</x:f>
      </x:c>
      <x:c r="F263" s="21" t="str">
        <x:f>IF(A263&lt;='Inputs'!$B$28,F262+E262,"")</x:f>
      </x:c>
      <x:c r="G263" s="29" t="str">
        <x:f>IF(A263&lt;='Inputs'!$B$28,'Inputs'!$B$27^A263,"")</x:f>
      </x:c>
      <x:c r="H263" s="21" t="str">
        <x:f>IF(A263&lt;'Inputs'!$B$32,ROUNDUP(ROUND('Inputs'!$B$29*'Inputs'!$B$30^A263,6),0),"")</x:f>
      </x:c>
      <x:c r="I263" s="21" t="str">
        <x:f>IF(A263&lt;='Inputs'!$B$32,I262+H262,"")</x:f>
      </x:c>
      <x:c r="J263" s="29" t="str">
        <x:f>IF(A263&lt;='Inputs'!$B$32,1+'Inputs'!$B$31*A263,"")</x:f>
      </x:c>
    </x:row>
    <x:row r="264" ht="25" customHeight="1">
      <x:c r="A264" s="19" t="n">
        <x:v>262</x:v>
      </x:c>
      <x:c r="B264" s="21" t="n">
        <x:f>IF(A264&lt;'Inputs'!$B$24,ROUNDUP(ROUND('Inputs'!$B$21*'Inputs'!$B$22^A264,6),0),"")</x:f>
        <x:v>2497582012</x:v>
      </x:c>
      <x:c r="C264" s="21" t="n">
        <x:f>IF(A264&lt;='Inputs'!$B$24,C263+B263,"")</x:f>
        <x:v>35679742442</x:v>
      </x:c>
      <x:c r="D264" s="29" t="n">
        <x:f>IF(A264&lt;='Inputs'!$B$24,'Inputs'!$B$23^A264,"")</x:f>
        <x:v>645.1381621089741</x:v>
      </x:c>
      <x:c r="E264" s="21" t="str">
        <x:f>IF(A264&lt;'Inputs'!$B$28,ROUNDUP(ROUND('Inputs'!$B$25*'Inputs'!$B$26^A264,6),0),"")</x:f>
      </x:c>
      <x:c r="F264" s="21" t="str">
        <x:f>IF(A264&lt;='Inputs'!$B$28,F263+E263,"")</x:f>
      </x:c>
      <x:c r="G264" s="29" t="str">
        <x:f>IF(A264&lt;='Inputs'!$B$28,'Inputs'!$B$27^A264,"")</x:f>
      </x:c>
      <x:c r="H264" s="21" t="str">
        <x:f>IF(A264&lt;'Inputs'!$B$32,ROUNDUP(ROUND('Inputs'!$B$29*'Inputs'!$B$30^A264,6),0),"")</x:f>
      </x:c>
      <x:c r="I264" s="21" t="str">
        <x:f>IF(A264&lt;='Inputs'!$B$32,I263+H263,"")</x:f>
      </x:c>
      <x:c r="J264" s="29" t="str">
        <x:f>IF(A264&lt;='Inputs'!$B$32,1+'Inputs'!$B$31*A264,"")</x:f>
      </x:c>
    </x:row>
    <x:row r="265" ht="25" customHeight="1">
      <x:c r="A265" s="19" t="n">
        <x:v>263</x:v>
      </x:c>
      <x:c r="B265" s="21" t="n">
        <x:f>IF(A265&lt;'Inputs'!$B$24,ROUNDUP(ROUND('Inputs'!$B$21*'Inputs'!$B$22^A265,6),0),"")</x:f>
        <x:v>2672412753</x:v>
      </x:c>
      <x:c r="C265" s="21" t="n">
        <x:f>IF(A265&lt;='Inputs'!$B$24,C264+B264,"")</x:f>
        <x:v>38177324454</x:v>
      </x:c>
      <x:c r="D265" s="29" t="n">
        <x:f>IF(A265&lt;='Inputs'!$B$24,'Inputs'!$B$23^A265,"")</x:f>
        <x:v>661.2666161616984</x:v>
      </x:c>
      <x:c r="E265" s="21" t="str">
        <x:f>IF(A265&lt;'Inputs'!$B$28,ROUNDUP(ROUND('Inputs'!$B$25*'Inputs'!$B$26^A265,6),0),"")</x:f>
      </x:c>
      <x:c r="F265" s="21" t="str">
        <x:f>IF(A265&lt;='Inputs'!$B$28,F264+E264,"")</x:f>
      </x:c>
      <x:c r="G265" s="29" t="str">
        <x:f>IF(A265&lt;='Inputs'!$B$28,'Inputs'!$B$27^A265,"")</x:f>
      </x:c>
      <x:c r="H265" s="21" t="str">
        <x:f>IF(A265&lt;'Inputs'!$B$32,ROUNDUP(ROUND('Inputs'!$B$29*'Inputs'!$B$30^A265,6),0),"")</x:f>
      </x:c>
      <x:c r="I265" s="21" t="str">
        <x:f>IF(A265&lt;='Inputs'!$B$32,I264+H264,"")</x:f>
      </x:c>
      <x:c r="J265" s="29" t="str">
        <x:f>IF(A265&lt;='Inputs'!$B$32,1+'Inputs'!$B$31*A265,"")</x:f>
      </x:c>
    </x:row>
    <x:row r="266" ht="25" customHeight="1">
      <x:c r="A266" s="19" t="n">
        <x:v>264</x:v>
      </x:c>
      <x:c r="B266" s="21" t="n">
        <x:f>IF(A266&lt;'Inputs'!$B$24,ROUNDUP(ROUND('Inputs'!$B$21*'Inputs'!$B$22^A266,6),0),"")</x:f>
        <x:v>2859481646</x:v>
      </x:c>
      <x:c r="C266" s="21" t="n">
        <x:f>IF(A266&lt;='Inputs'!$B$24,C265+B265,"")</x:f>
        <x:v>40849737207</x:v>
      </x:c>
      <x:c r="D266" s="29" t="n">
        <x:f>IF(A266&lt;='Inputs'!$B$24,'Inputs'!$B$23^A266,"")</x:f>
        <x:v>677.7982815657408</x:v>
      </x:c>
      <x:c r="E266" s="21" t="str">
        <x:f>IF(A266&lt;'Inputs'!$B$28,ROUNDUP(ROUND('Inputs'!$B$25*'Inputs'!$B$26^A266,6),0),"")</x:f>
      </x:c>
      <x:c r="F266" s="21" t="str">
        <x:f>IF(A266&lt;='Inputs'!$B$28,F265+E265,"")</x:f>
      </x:c>
      <x:c r="G266" s="29" t="str">
        <x:f>IF(A266&lt;='Inputs'!$B$28,'Inputs'!$B$27^A266,"")</x:f>
      </x:c>
      <x:c r="H266" s="21" t="str">
        <x:f>IF(A266&lt;'Inputs'!$B$32,ROUNDUP(ROUND('Inputs'!$B$29*'Inputs'!$B$30^A266,6),0),"")</x:f>
      </x:c>
      <x:c r="I266" s="21" t="str">
        <x:f>IF(A266&lt;='Inputs'!$B$32,I265+H265,"")</x:f>
      </x:c>
      <x:c r="J266" s="29" t="str">
        <x:f>IF(A266&lt;='Inputs'!$B$32,1+'Inputs'!$B$31*A266,"")</x:f>
      </x:c>
    </x:row>
    <x:row r="267" ht="25" customHeight="1">
      <x:c r="A267" s="19" t="n">
        <x:v>265</x:v>
      </x:c>
      <x:c r="B267" s="21" t="n">
        <x:f>IF(A267&lt;'Inputs'!$B$24,ROUNDUP(ROUND('Inputs'!$B$21*'Inputs'!$B$22^A267,6),0),"")</x:f>
        <x:v>3059645361</x:v>
      </x:c>
      <x:c r="C267" s="21" t="n">
        <x:f>IF(A267&lt;='Inputs'!$B$24,C266+B266,"")</x:f>
        <x:v>43709218853</x:v>
      </x:c>
      <x:c r="D267" s="29" t="n">
        <x:f>IF(A267&lt;='Inputs'!$B$24,'Inputs'!$B$23^A267,"")</x:f>
        <x:v>694.7432386048843</x:v>
      </x:c>
      <x:c r="E267" s="21" t="str">
        <x:f>IF(A267&lt;'Inputs'!$B$28,ROUNDUP(ROUND('Inputs'!$B$25*'Inputs'!$B$26^A267,6),0),"")</x:f>
      </x:c>
      <x:c r="F267" s="21" t="str">
        <x:f>IF(A267&lt;='Inputs'!$B$28,F266+E266,"")</x:f>
      </x:c>
      <x:c r="G267" s="29" t="str">
        <x:f>IF(A267&lt;='Inputs'!$B$28,'Inputs'!$B$27^A267,"")</x:f>
      </x:c>
      <x:c r="H267" s="21" t="str">
        <x:f>IF(A267&lt;'Inputs'!$B$32,ROUNDUP(ROUND('Inputs'!$B$29*'Inputs'!$B$30^A267,6),0),"")</x:f>
      </x:c>
      <x:c r="I267" s="21" t="str">
        <x:f>IF(A267&lt;='Inputs'!$B$32,I266+H266,"")</x:f>
      </x:c>
      <x:c r="J267" s="29" t="str">
        <x:f>IF(A267&lt;='Inputs'!$B$32,1+'Inputs'!$B$31*A267,"")</x:f>
      </x:c>
    </x:row>
    <x:row r="268" ht="25" customHeight="1">
      <x:c r="A268" s="19" t="n">
        <x:v>266</x:v>
      </x:c>
      <x:c r="B268" s="21" t="n">
        <x:f>IF(A268&lt;'Inputs'!$B$24,ROUNDUP(ROUND('Inputs'!$B$21*'Inputs'!$B$22^A268,6),0),"")</x:f>
        <x:v>3273820536</x:v>
      </x:c>
      <x:c r="C268" s="21" t="n">
        <x:f>IF(A268&lt;='Inputs'!$B$24,C267+B267,"")</x:f>
        <x:v>46768864214</x:v>
      </x:c>
      <x:c r="D268" s="29" t="n">
        <x:f>IF(A268&lt;='Inputs'!$B$24,'Inputs'!$B$23^A268,"")</x:f>
        <x:v>712.1118195700063</x:v>
      </x:c>
      <x:c r="E268" s="21" t="str">
        <x:f>IF(A268&lt;'Inputs'!$B$28,ROUNDUP(ROUND('Inputs'!$B$25*'Inputs'!$B$26^A268,6),0),"")</x:f>
      </x:c>
      <x:c r="F268" s="21" t="str">
        <x:f>IF(A268&lt;='Inputs'!$B$28,F267+E267,"")</x:f>
      </x:c>
      <x:c r="G268" s="29" t="str">
        <x:f>IF(A268&lt;='Inputs'!$B$28,'Inputs'!$B$27^A268,"")</x:f>
      </x:c>
      <x:c r="H268" s="21" t="str">
        <x:f>IF(A268&lt;'Inputs'!$B$32,ROUNDUP(ROUND('Inputs'!$B$29*'Inputs'!$B$30^A268,6),0),"")</x:f>
      </x:c>
      <x:c r="I268" s="21" t="str">
        <x:f>IF(A268&lt;='Inputs'!$B$32,I267+H267,"")</x:f>
      </x:c>
      <x:c r="J268" s="29" t="str">
        <x:f>IF(A268&lt;='Inputs'!$B$32,1+'Inputs'!$B$31*A268,"")</x:f>
      </x:c>
    </x:row>
    <x:row r="269" ht="25" customHeight="1">
      <x:c r="A269" s="19" t="n">
        <x:v>267</x:v>
      </x:c>
      <x:c r="B269" s="21" t="n">
        <x:f>IF(A269&lt;'Inputs'!$B$24,ROUNDUP(ROUND('Inputs'!$B$21*'Inputs'!$B$22^A269,6),0),"")</x:f>
        <x:v>3502987974</x:v>
      </x:c>
      <x:c r="C269" s="21" t="n">
        <x:f>IF(A269&lt;='Inputs'!$B$24,C268+B268,"")</x:f>
        <x:v>50042684750</x:v>
      </x:c>
      <x:c r="D269" s="29" t="n">
        <x:f>IF(A269&lt;='Inputs'!$B$24,'Inputs'!$B$23^A269,"")</x:f>
        <x:v>729.9146150592564</x:v>
      </x:c>
      <x:c r="E269" s="21" t="str">
        <x:f>IF(A269&lt;'Inputs'!$B$28,ROUNDUP(ROUND('Inputs'!$B$25*'Inputs'!$B$26^A269,6),0),"")</x:f>
      </x:c>
      <x:c r="F269" s="21" t="str">
        <x:f>IF(A269&lt;='Inputs'!$B$28,F268+E268,"")</x:f>
      </x:c>
      <x:c r="G269" s="29" t="str">
        <x:f>IF(A269&lt;='Inputs'!$B$28,'Inputs'!$B$27^A269,"")</x:f>
      </x:c>
      <x:c r="H269" s="21" t="str">
        <x:f>IF(A269&lt;'Inputs'!$B$32,ROUNDUP(ROUND('Inputs'!$B$29*'Inputs'!$B$30^A269,6),0),"")</x:f>
      </x:c>
      <x:c r="I269" s="21" t="str">
        <x:f>IF(A269&lt;='Inputs'!$B$32,I268+H268,"")</x:f>
      </x:c>
      <x:c r="J269" s="29" t="str">
        <x:f>IF(A269&lt;='Inputs'!$B$32,1+'Inputs'!$B$31*A269,"")</x:f>
      </x:c>
    </x:row>
    <x:row r="270" ht="25" customHeight="1">
      <x:c r="A270" s="19" t="n">
        <x:v>268</x:v>
      </x:c>
      <x:c r="B270" s="21" t="n">
        <x:f>IF(A270&lt;'Inputs'!$B$24,ROUNDUP(ROUND('Inputs'!$B$21*'Inputs'!$B$22^A270,6),0),"")</x:f>
        <x:v>3748197132</x:v>
      </x:c>
      <x:c r="C270" s="21" t="n">
        <x:f>IF(A270&lt;='Inputs'!$B$24,C269+B269,"")</x:f>
        <x:v>53545672724</x:v>
      </x:c>
      <x:c r="D270" s="29" t="n">
        <x:f>IF(A270&lt;='Inputs'!$B$24,'Inputs'!$B$23^A270,"")</x:f>
        <x:v>748.1624804357377</x:v>
      </x:c>
      <x:c r="E270" s="21" t="str">
        <x:f>IF(A270&lt;'Inputs'!$B$28,ROUNDUP(ROUND('Inputs'!$B$25*'Inputs'!$B$26^A270,6),0),"")</x:f>
      </x:c>
      <x:c r="F270" s="21" t="str">
        <x:f>IF(A270&lt;='Inputs'!$B$28,F269+E269,"")</x:f>
      </x:c>
      <x:c r="G270" s="29" t="str">
        <x:f>IF(A270&lt;='Inputs'!$B$28,'Inputs'!$B$27^A270,"")</x:f>
      </x:c>
      <x:c r="H270" s="21" t="str">
        <x:f>IF(A270&lt;'Inputs'!$B$32,ROUNDUP(ROUND('Inputs'!$B$29*'Inputs'!$B$30^A270,6),0),"")</x:f>
      </x:c>
      <x:c r="I270" s="21" t="str">
        <x:f>IF(A270&lt;='Inputs'!$B$32,I269+H269,"")</x:f>
      </x:c>
      <x:c r="J270" s="29" t="str">
        <x:f>IF(A270&lt;='Inputs'!$B$32,1+'Inputs'!$B$31*A270,"")</x:f>
      </x:c>
    </x:row>
    <x:row r="271" ht="25" customHeight="1">
      <x:c r="A271" s="19" t="n">
        <x:v>269</x:v>
      </x:c>
      <x:c r="B271" s="21" t="n">
        <x:f>IF(A271&lt;'Inputs'!$B$24,ROUNDUP(ROUND('Inputs'!$B$21*'Inputs'!$B$22^A271,6),0),"")</x:f>
        <x:v>4010570931</x:v>
      </x:c>
      <x:c r="C271" s="21" t="n">
        <x:f>IF(A271&lt;='Inputs'!$B$24,C270+B270,"")</x:f>
        <x:v>57293869856</x:v>
      </x:c>
      <x:c r="D271" s="29" t="n">
        <x:f>IF(A271&lt;='Inputs'!$B$24,'Inputs'!$B$23^A271,"")</x:f>
        <x:v>766.8665424466311</x:v>
      </x:c>
      <x:c r="E271" s="21" t="str">
        <x:f>IF(A271&lt;'Inputs'!$B$28,ROUNDUP(ROUND('Inputs'!$B$25*'Inputs'!$B$26^A271,6),0),"")</x:f>
      </x:c>
      <x:c r="F271" s="21" t="str">
        <x:f>IF(A271&lt;='Inputs'!$B$28,F270+E270,"")</x:f>
      </x:c>
      <x:c r="G271" s="29" t="str">
        <x:f>IF(A271&lt;='Inputs'!$B$28,'Inputs'!$B$27^A271,"")</x:f>
      </x:c>
      <x:c r="H271" s="21" t="str">
        <x:f>IF(A271&lt;'Inputs'!$B$32,ROUNDUP(ROUND('Inputs'!$B$29*'Inputs'!$B$30^A271,6),0),"")</x:f>
      </x:c>
      <x:c r="I271" s="21" t="str">
        <x:f>IF(A271&lt;='Inputs'!$B$32,I270+H270,"")</x:f>
      </x:c>
      <x:c r="J271" s="29" t="str">
        <x:f>IF(A271&lt;='Inputs'!$B$32,1+'Inputs'!$B$31*A271,"")</x:f>
      </x:c>
    </x:row>
    <x:row r="272" ht="25" customHeight="1">
      <x:c r="A272" s="19" t="n">
        <x:v>270</x:v>
      </x:c>
      <x:c r="B272" s="21" t="n">
        <x:f>IF(A272&lt;'Inputs'!$B$24,ROUNDUP(ROUND('Inputs'!$B$21*'Inputs'!$B$22^A272,6),0),"")</x:f>
        <x:v>4291310896</x:v>
      </x:c>
      <x:c r="C272" s="21" t="n">
        <x:f>IF(A272&lt;='Inputs'!$B$24,C271+B271,"")</x:f>
        <x:v>61304440787</x:v>
      </x:c>
      <x:c r="D272" s="29" t="n">
        <x:f>IF(A272&lt;='Inputs'!$B$24,'Inputs'!$B$23^A272,"")</x:f>
        <x:v>786.0382060077968</x:v>
      </x:c>
      <x:c r="E272" s="21" t="str">
        <x:f>IF(A272&lt;'Inputs'!$B$28,ROUNDUP(ROUND('Inputs'!$B$25*'Inputs'!$B$26^A272,6),0),"")</x:f>
      </x:c>
      <x:c r="F272" s="21" t="str">
        <x:f>IF(A272&lt;='Inputs'!$B$28,F271+E271,"")</x:f>
      </x:c>
      <x:c r="G272" s="29" t="str">
        <x:f>IF(A272&lt;='Inputs'!$B$28,'Inputs'!$B$27^A272,"")</x:f>
      </x:c>
      <x:c r="H272" s="21" t="str">
        <x:f>IF(A272&lt;'Inputs'!$B$32,ROUNDUP(ROUND('Inputs'!$B$29*'Inputs'!$B$30^A272,6),0),"")</x:f>
      </x:c>
      <x:c r="I272" s="21" t="str">
        <x:f>IF(A272&lt;='Inputs'!$B$32,I271+H271,"")</x:f>
      </x:c>
      <x:c r="J272" s="29" t="str">
        <x:f>IF(A272&lt;='Inputs'!$B$32,1+'Inputs'!$B$31*A272,"")</x:f>
      </x:c>
    </x:row>
    <x:row r="273" ht="25" customHeight="1">
      <x:c r="A273" s="19" t="n">
        <x:v>271</x:v>
      </x:c>
      <x:c r="B273" s="21" t="n">
        <x:f>IF(A273&lt;'Inputs'!$B$24,ROUNDUP(ROUND('Inputs'!$B$21*'Inputs'!$B$22^A273,6),0),"")</x:f>
        <x:v>4591702659</x:v>
      </x:c>
      <x:c r="C273" s="21" t="n">
        <x:f>IF(A273&lt;='Inputs'!$B$24,C272+B272,"")</x:f>
        <x:v>65595751683</x:v>
      </x:c>
      <x:c r="D273" s="29" t="n">
        <x:f>IF(A273&lt;='Inputs'!$B$24,'Inputs'!$B$23^A273,"")</x:f>
        <x:v>805.6891611579917</x:v>
      </x:c>
      <x:c r="E273" s="21" t="str">
        <x:f>IF(A273&lt;'Inputs'!$B$28,ROUNDUP(ROUND('Inputs'!$B$25*'Inputs'!$B$26^A273,6),0),"")</x:f>
      </x:c>
      <x:c r="F273" s="21" t="str">
        <x:f>IF(A273&lt;='Inputs'!$B$28,F272+E272,"")</x:f>
      </x:c>
      <x:c r="G273" s="29" t="str">
        <x:f>IF(A273&lt;='Inputs'!$B$28,'Inputs'!$B$27^A273,"")</x:f>
      </x:c>
      <x:c r="H273" s="21" t="str">
        <x:f>IF(A273&lt;'Inputs'!$B$32,ROUNDUP(ROUND('Inputs'!$B$29*'Inputs'!$B$30^A273,6),0),"")</x:f>
      </x:c>
      <x:c r="I273" s="21" t="str">
        <x:f>IF(A273&lt;='Inputs'!$B$32,I272+H272,"")</x:f>
      </x:c>
      <x:c r="J273" s="29" t="str">
        <x:f>IF(A273&lt;='Inputs'!$B$32,1+'Inputs'!$B$31*A273,"")</x:f>
      </x:c>
    </x:row>
    <x:row r="274" ht="25" customHeight="1">
      <x:c r="A274" s="19" t="n">
        <x:v>272</x:v>
      </x:c>
      <x:c r="B274" s="21" t="n">
        <x:f>IF(A274&lt;'Inputs'!$B$24,ROUNDUP(ROUND('Inputs'!$B$21*'Inputs'!$B$22^A274,6),0),"")</x:f>
        <x:v>4913121845</x:v>
      </x:c>
      <x:c r="C274" s="21" t="n">
        <x:f>IF(A274&lt;='Inputs'!$B$24,C273+B273,"")</x:f>
        <x:v>70187454342</x:v>
      </x:c>
      <x:c r="D274" s="29" t="n">
        <x:f>IF(A274&lt;='Inputs'!$B$24,'Inputs'!$B$23^A274,"")</x:f>
        <x:v>825.8313901869415</x:v>
      </x:c>
      <x:c r="E274" s="21" t="str">
        <x:f>IF(A274&lt;'Inputs'!$B$28,ROUNDUP(ROUND('Inputs'!$B$25*'Inputs'!$B$26^A274,6),0),"")</x:f>
      </x:c>
      <x:c r="F274" s="21" t="str">
        <x:f>IF(A274&lt;='Inputs'!$B$28,F273+E273,"")</x:f>
      </x:c>
      <x:c r="G274" s="29" t="str">
        <x:f>IF(A274&lt;='Inputs'!$B$28,'Inputs'!$B$27^A274,"")</x:f>
      </x:c>
      <x:c r="H274" s="21" t="str">
        <x:f>IF(A274&lt;'Inputs'!$B$32,ROUNDUP(ROUND('Inputs'!$B$29*'Inputs'!$B$30^A274,6),0),"")</x:f>
      </x:c>
      <x:c r="I274" s="21" t="str">
        <x:f>IF(A274&lt;='Inputs'!$B$32,I273+H273,"")</x:f>
      </x:c>
      <x:c r="J274" s="29" t="str">
        <x:f>IF(A274&lt;='Inputs'!$B$32,1+'Inputs'!$B$31*A274,"")</x:f>
      </x:c>
    </x:row>
    <x:row r="275" ht="25" customHeight="1">
      <x:c r="A275" s="19" t="n">
        <x:v>273</x:v>
      </x:c>
      <x:c r="B275" s="21" t="n">
        <x:f>IF(A275&lt;'Inputs'!$B$24,ROUNDUP(ROUND('Inputs'!$B$21*'Inputs'!$B$22^A275,6),0),"")</x:f>
        <x:v>5257040374</x:v>
      </x:c>
      <x:c r="C275" s="21" t="n">
        <x:f>IF(A275&lt;='Inputs'!$B$24,C274+B274,"")</x:f>
        <x:v>75100576187</x:v>
      </x:c>
      <x:c r="D275" s="29" t="n">
        <x:f>IF(A275&lt;='Inputs'!$B$24,'Inputs'!$B$23^A275,"")</x:f>
        <x:v>846.4771749416149</x:v>
      </x:c>
      <x:c r="E275" s="21" t="str">
        <x:f>IF(A275&lt;'Inputs'!$B$28,ROUNDUP(ROUND('Inputs'!$B$25*'Inputs'!$B$26^A275,6),0),"")</x:f>
      </x:c>
      <x:c r="F275" s="21" t="str">
        <x:f>IF(A275&lt;='Inputs'!$B$28,F274+E274,"")</x:f>
      </x:c>
      <x:c r="G275" s="29" t="str">
        <x:f>IF(A275&lt;='Inputs'!$B$28,'Inputs'!$B$27^A275,"")</x:f>
      </x:c>
      <x:c r="H275" s="21" t="str">
        <x:f>IF(A275&lt;'Inputs'!$B$32,ROUNDUP(ROUND('Inputs'!$B$29*'Inputs'!$B$30^A275,6),0),"")</x:f>
      </x:c>
      <x:c r="I275" s="21" t="str">
        <x:f>IF(A275&lt;='Inputs'!$B$32,I274+H274,"")</x:f>
      </x:c>
      <x:c r="J275" s="29" t="str">
        <x:f>IF(A275&lt;='Inputs'!$B$32,1+'Inputs'!$B$31*A275,"")</x:f>
      </x:c>
    </x:row>
    <x:row r="276" ht="25" customHeight="1">
      <x:c r="A276" s="19" t="n">
        <x:v>274</x:v>
      </x:c>
      <x:c r="B276" s="21" t="n">
        <x:f>IF(A276&lt;'Inputs'!$B$24,ROUNDUP(ROUND('Inputs'!$B$21*'Inputs'!$B$22^A276,6),0),"")</x:f>
        <x:v>5625033201</x:v>
      </x:c>
      <x:c r="C276" s="21" t="n">
        <x:f>IF(A276&lt;='Inputs'!$B$24,C275+B275,"")</x:f>
        <x:v>80357616561</x:v>
      </x:c>
      <x:c r="D276" s="29" t="n">
        <x:f>IF(A276&lt;='Inputs'!$B$24,'Inputs'!$B$23^A276,"")</x:f>
        <x:v>867.6391043151551</x:v>
      </x:c>
      <x:c r="E276" s="21" t="str">
        <x:f>IF(A276&lt;'Inputs'!$B$28,ROUNDUP(ROUND('Inputs'!$B$25*'Inputs'!$B$26^A276,6),0),"")</x:f>
      </x:c>
      <x:c r="F276" s="21" t="str">
        <x:f>IF(A276&lt;='Inputs'!$B$28,F275+E275,"")</x:f>
      </x:c>
      <x:c r="G276" s="29" t="str">
        <x:f>IF(A276&lt;='Inputs'!$B$28,'Inputs'!$B$27^A276,"")</x:f>
      </x:c>
      <x:c r="H276" s="21" t="str">
        <x:f>IF(A276&lt;'Inputs'!$B$32,ROUNDUP(ROUND('Inputs'!$B$29*'Inputs'!$B$30^A276,6),0),"")</x:f>
      </x:c>
      <x:c r="I276" s="21" t="str">
        <x:f>IF(A276&lt;='Inputs'!$B$32,I275+H275,"")</x:f>
      </x:c>
      <x:c r="J276" s="29" t="str">
        <x:f>IF(A276&lt;='Inputs'!$B$32,1+'Inputs'!$B$31*A276,"")</x:f>
      </x:c>
    </x:row>
    <x:row r="277" ht="25" customHeight="1">
      <x:c r="A277" s="19" t="n">
        <x:v>275</x:v>
      </x:c>
      <x:c r="B277" s="21" t="n">
        <x:f>IF(A277&lt;'Inputs'!$B$24,ROUNDUP(ROUND('Inputs'!$B$21*'Inputs'!$B$22^A277,6),0),"")</x:f>
        <x:v>6018785525</x:v>
      </x:c>
      <x:c r="C277" s="21" t="n">
        <x:f>IF(A277&lt;='Inputs'!$B$24,C276+B276,"")</x:f>
        <x:v>85982649762</x:v>
      </x:c>
      <x:c r="D277" s="29" t="n">
        <x:f>IF(A277&lt;='Inputs'!$B$24,'Inputs'!$B$23^A277,"")</x:f>
        <x:v>889.330081923034</x:v>
      </x:c>
      <x:c r="E277" s="21" t="str">
        <x:f>IF(A277&lt;'Inputs'!$B$28,ROUNDUP(ROUND('Inputs'!$B$25*'Inputs'!$B$26^A277,6),0),"")</x:f>
      </x:c>
      <x:c r="F277" s="21" t="str">
        <x:f>IF(A277&lt;='Inputs'!$B$28,F276+E276,"")</x:f>
      </x:c>
      <x:c r="G277" s="29" t="str">
        <x:f>IF(A277&lt;='Inputs'!$B$28,'Inputs'!$B$27^A277,"")</x:f>
      </x:c>
      <x:c r="H277" s="21" t="str">
        <x:f>IF(A277&lt;'Inputs'!$B$32,ROUNDUP(ROUND('Inputs'!$B$29*'Inputs'!$B$30^A277,6),0),"")</x:f>
      </x:c>
      <x:c r="I277" s="21" t="str">
        <x:f>IF(A277&lt;='Inputs'!$B$32,I276+H276,"")</x:f>
      </x:c>
      <x:c r="J277" s="29" t="str">
        <x:f>IF(A277&lt;='Inputs'!$B$32,1+'Inputs'!$B$31*A277,"")</x:f>
      </x:c>
    </x:row>
    <x:row r="278" ht="25" customHeight="1">
      <x:c r="A278" s="19" t="n">
        <x:v>276</x:v>
      </x:c>
      <x:c r="B278" s="21" t="n">
        <x:f>IF(A278&lt;'Inputs'!$B$24,ROUNDUP(ROUND('Inputs'!$B$21*'Inputs'!$B$22^A278,6),0),"")</x:f>
        <x:v>6440100511</x:v>
      </x:c>
      <x:c r="C278" s="21" t="n">
        <x:f>IF(A278&lt;='Inputs'!$B$24,C277+B277,"")</x:f>
        <x:v>92001435287</x:v>
      </x:c>
      <x:c r="D278" s="29" t="n">
        <x:f>IF(A278&lt;='Inputs'!$B$24,'Inputs'!$B$23^A278,"")</x:f>
        <x:v>911.5633339711097</x:v>
      </x:c>
      <x:c r="E278" s="21" t="str">
        <x:f>IF(A278&lt;'Inputs'!$B$28,ROUNDUP(ROUND('Inputs'!$B$25*'Inputs'!$B$26^A278,6),0),"")</x:f>
      </x:c>
      <x:c r="F278" s="21" t="str">
        <x:f>IF(A278&lt;='Inputs'!$B$28,F277+E277,"")</x:f>
      </x:c>
      <x:c r="G278" s="29" t="str">
        <x:f>IF(A278&lt;='Inputs'!$B$28,'Inputs'!$B$27^A278,"")</x:f>
      </x:c>
      <x:c r="H278" s="21" t="str">
        <x:f>IF(A278&lt;'Inputs'!$B$32,ROUNDUP(ROUND('Inputs'!$B$29*'Inputs'!$B$30^A278,6),0),"")</x:f>
      </x:c>
      <x:c r="I278" s="21" t="str">
        <x:f>IF(A278&lt;='Inputs'!$B$32,I277+H277,"")</x:f>
      </x:c>
      <x:c r="J278" s="29" t="str">
        <x:f>IF(A278&lt;='Inputs'!$B$32,1+'Inputs'!$B$31*A278,"")</x:f>
      </x:c>
    </x:row>
    <x:row r="279" ht="25" customHeight="1">
      <x:c r="A279" s="19" t="n">
        <x:v>277</x:v>
      </x:c>
      <x:c r="B279" s="21" t="n">
        <x:f>IF(A279&lt;'Inputs'!$B$24,ROUNDUP(ROUND('Inputs'!$B$21*'Inputs'!$B$22^A279,6),0),"")</x:f>
        <x:v>6890907547</x:v>
      </x:c>
      <x:c r="C279" s="21" t="n">
        <x:f>IF(A279&lt;='Inputs'!$B$24,C278+B278,"")</x:f>
        <x:v>98441535798</x:v>
      </x:c>
      <x:c r="D279" s="29" t="n">
        <x:f>IF(A279&lt;='Inputs'!$B$24,'Inputs'!$B$23^A279,"")</x:f>
        <x:v>934.3524173203874</x:v>
      </x:c>
      <x:c r="E279" s="21" t="str">
        <x:f>IF(A279&lt;'Inputs'!$B$28,ROUNDUP(ROUND('Inputs'!$B$25*'Inputs'!$B$26^A279,6),0),"")</x:f>
      </x:c>
      <x:c r="F279" s="21" t="str">
        <x:f>IF(A279&lt;='Inputs'!$B$28,F278+E278,"")</x:f>
      </x:c>
      <x:c r="G279" s="29" t="str">
        <x:f>IF(A279&lt;='Inputs'!$B$28,'Inputs'!$B$27^A279,"")</x:f>
      </x:c>
      <x:c r="H279" s="21" t="str">
        <x:f>IF(A279&lt;'Inputs'!$B$32,ROUNDUP(ROUND('Inputs'!$B$29*'Inputs'!$B$30^A279,6),0),"")</x:f>
      </x:c>
      <x:c r="I279" s="21" t="str">
        <x:f>IF(A279&lt;='Inputs'!$B$32,I278+H278,"")</x:f>
      </x:c>
      <x:c r="J279" s="29" t="str">
        <x:f>IF(A279&lt;='Inputs'!$B$32,1+'Inputs'!$B$31*A279,"")</x:f>
      </x:c>
    </x:row>
    <x:row r="280" ht="25" customHeight="1">
      <x:c r="A280" s="19" t="n">
        <x:v>278</x:v>
      </x:c>
      <x:c r="B280" s="21" t="n">
        <x:f>IF(A280&lt;'Inputs'!$B$24,ROUNDUP(ROUND('Inputs'!$B$21*'Inputs'!$B$22^A280,6),0),"")</x:f>
        <x:v>7373271075</x:v>
      </x:c>
      <x:c r="C280" s="21" t="n">
        <x:f>IF(A280&lt;='Inputs'!$B$24,C279+B279,"")</x:f>
        <x:v>105332443345</x:v>
      </x:c>
      <x:c r="D280" s="29" t="n">
        <x:f>IF(A280&lt;='Inputs'!$B$24,'Inputs'!$B$23^A280,"")</x:f>
        <x:v>957.711227753397</x:v>
      </x:c>
      <x:c r="E280" s="21" t="str">
        <x:f>IF(A280&lt;'Inputs'!$B$28,ROUNDUP(ROUND('Inputs'!$B$25*'Inputs'!$B$26^A280,6),0),"")</x:f>
      </x:c>
      <x:c r="F280" s="21" t="str">
        <x:f>IF(A280&lt;='Inputs'!$B$28,F279+E279,"")</x:f>
      </x:c>
      <x:c r="G280" s="29" t="str">
        <x:f>IF(A280&lt;='Inputs'!$B$28,'Inputs'!$B$27^A280,"")</x:f>
      </x:c>
      <x:c r="H280" s="21" t="str">
        <x:f>IF(A280&lt;'Inputs'!$B$32,ROUNDUP(ROUND('Inputs'!$B$29*'Inputs'!$B$30^A280,6),0),"")</x:f>
      </x:c>
      <x:c r="I280" s="21" t="str">
        <x:f>IF(A280&lt;='Inputs'!$B$32,I279+H279,"")</x:f>
      </x:c>
      <x:c r="J280" s="29" t="str">
        <x:f>IF(A280&lt;='Inputs'!$B$32,1+'Inputs'!$B$31*A280,"")</x:f>
      </x:c>
    </x:row>
    <x:row r="281" ht="25" customHeight="1">
      <x:c r="A281" s="19" t="n">
        <x:v>279</x:v>
      </x:c>
      <x:c r="B281" s="21" t="n">
        <x:f>IF(A281&lt;'Inputs'!$B$24,ROUNDUP(ROUND('Inputs'!$B$21*'Inputs'!$B$22^A281,6),0),"")</x:f>
        <x:v>7889400050</x:v>
      </x:c>
      <x:c r="C281" s="21" t="n">
        <x:f>IF(A281&lt;='Inputs'!$B$24,C280+B280,"")</x:f>
        <x:v>112705714420</x:v>
      </x:c>
      <x:c r="D281" s="29" t="n">
        <x:f>IF(A281&lt;='Inputs'!$B$24,'Inputs'!$B$23^A281,"")</x:f>
        <x:v>981.6540084472318</x:v>
      </x:c>
      <x:c r="E281" s="21" t="str">
        <x:f>IF(A281&lt;'Inputs'!$B$28,ROUNDUP(ROUND('Inputs'!$B$25*'Inputs'!$B$26^A281,6),0),"")</x:f>
      </x:c>
      <x:c r="F281" s="21" t="str">
        <x:f>IF(A281&lt;='Inputs'!$B$28,F280+E280,"")</x:f>
      </x:c>
      <x:c r="G281" s="29" t="str">
        <x:f>IF(A281&lt;='Inputs'!$B$28,'Inputs'!$B$27^A281,"")</x:f>
      </x:c>
      <x:c r="H281" s="21" t="str">
        <x:f>IF(A281&lt;'Inputs'!$B$32,ROUNDUP(ROUND('Inputs'!$B$29*'Inputs'!$B$30^A281,6),0),"")</x:f>
      </x:c>
      <x:c r="I281" s="21" t="str">
        <x:f>IF(A281&lt;='Inputs'!$B$32,I280+H280,"")</x:f>
      </x:c>
      <x:c r="J281" s="29" t="str">
        <x:f>IF(A281&lt;='Inputs'!$B$32,1+'Inputs'!$B$31*A281,"")</x:f>
      </x:c>
    </x:row>
    <x:row r="282" ht="25" customHeight="1">
      <x:c r="A282" s="19" t="n">
        <x:v>280</x:v>
      </x:c>
      <x:c r="B282" s="21" t="n">
        <x:f>IF(A282&lt;'Inputs'!$B$24,ROUNDUP(ROUND('Inputs'!$B$21*'Inputs'!$B$22^A282,6),0),"")</x:f>
        <x:v>8441658054</x:v>
      </x:c>
      <x:c r="C282" s="21" t="n">
        <x:f>IF(A282&lt;='Inputs'!$B$24,C281+B281,"")</x:f>
        <x:v>120595114470</x:v>
      </x:c>
      <x:c r="D282" s="29" t="n">
        <x:f>IF(A282&lt;='Inputs'!$B$24,'Inputs'!$B$23^A282,"")</x:f>
        <x:v>1006.1953586584126</x:v>
      </x:c>
      <x:c r="E282" s="21" t="str">
        <x:f>IF(A282&lt;'Inputs'!$B$28,ROUNDUP(ROUND('Inputs'!$B$25*'Inputs'!$B$26^A282,6),0),"")</x:f>
      </x:c>
      <x:c r="F282" s="21" t="str">
        <x:f>IF(A282&lt;='Inputs'!$B$28,F281+E281,"")</x:f>
      </x:c>
      <x:c r="G282" s="29" t="str">
        <x:f>IF(A282&lt;='Inputs'!$B$28,'Inputs'!$B$27^A282,"")</x:f>
      </x:c>
      <x:c r="H282" s="21" t="str">
        <x:f>IF(A282&lt;'Inputs'!$B$32,ROUNDUP(ROUND('Inputs'!$B$29*'Inputs'!$B$30^A282,6),0),"")</x:f>
      </x:c>
      <x:c r="I282" s="21" t="str">
        <x:f>IF(A282&lt;='Inputs'!$B$32,I281+H281,"")</x:f>
      </x:c>
      <x:c r="J282" s="29" t="str">
        <x:f>IF(A282&lt;='Inputs'!$B$32,1+'Inputs'!$B$31*A282,"")</x:f>
      </x:c>
    </x:row>
    <x:row r="283" ht="25" customHeight="1">
      <x:c r="A283" s="19" t="n">
        <x:v>281</x:v>
      </x:c>
      <x:c r="B283" s="21" t="n">
        <x:f>IF(A283&lt;'Inputs'!$B$24,ROUNDUP(ROUND('Inputs'!$B$21*'Inputs'!$B$22^A283,6),0),"")</x:f>
        <x:v>9032574118</x:v>
      </x:c>
      <x:c r="C283" s="21" t="n">
        <x:f>IF(A283&lt;='Inputs'!$B$24,C282+B282,"")</x:f>
        <x:v>129036772524</x:v>
      </x:c>
      <x:c r="D283" s="29" t="n">
        <x:f>IF(A283&lt;='Inputs'!$B$24,'Inputs'!$B$23^A283,"")</x:f>
        <x:v>1031.3502426248729</x:v>
      </x:c>
      <x:c r="E283" s="21" t="str">
        <x:f>IF(A283&lt;'Inputs'!$B$28,ROUNDUP(ROUND('Inputs'!$B$25*'Inputs'!$B$26^A283,6),0),"")</x:f>
      </x:c>
      <x:c r="F283" s="21" t="str">
        <x:f>IF(A283&lt;='Inputs'!$B$28,F282+E282,"")</x:f>
      </x:c>
      <x:c r="G283" s="29" t="str">
        <x:f>IF(A283&lt;='Inputs'!$B$28,'Inputs'!$B$27^A283,"")</x:f>
      </x:c>
      <x:c r="H283" s="21" t="str">
        <x:f>IF(A283&lt;'Inputs'!$B$32,ROUNDUP(ROUND('Inputs'!$B$29*'Inputs'!$B$30^A283,6),0),"")</x:f>
      </x:c>
      <x:c r="I283" s="21" t="str">
        <x:f>IF(A283&lt;='Inputs'!$B$32,I282+H282,"")</x:f>
      </x:c>
      <x:c r="J283" s="29" t="str">
        <x:f>IF(A283&lt;='Inputs'!$B$32,1+'Inputs'!$B$31*A283,"")</x:f>
      </x:c>
    </x:row>
    <x:row r="284" ht="25" customHeight="1">
      <x:c r="A284" s="19" t="n">
        <x:v>282</x:v>
      </x:c>
      <x:c r="B284" s="21" t="n">
        <x:f>IF(A284&lt;'Inputs'!$B$24,ROUNDUP(ROUND('Inputs'!$B$21*'Inputs'!$B$22^A284,6),0),"")</x:f>
        <x:v>9664854306</x:v>
      </x:c>
      <x:c r="C284" s="21" t="n">
        <x:f>IF(A284&lt;='Inputs'!$B$24,C283+B283,"")</x:f>
        <x:v>138069346642</x:v>
      </x:c>
      <x:c r="D284" s="29" t="n">
        <x:f>IF(A284&lt;='Inputs'!$B$24,'Inputs'!$B$23^A284,"")</x:f>
        <x:v>1057.1339986904945</x:v>
      </x:c>
      <x:c r="E284" s="21" t="str">
        <x:f>IF(A284&lt;'Inputs'!$B$28,ROUNDUP(ROUND('Inputs'!$B$25*'Inputs'!$B$26^A284,6),0),"")</x:f>
      </x:c>
      <x:c r="F284" s="21" t="str">
        <x:f>IF(A284&lt;='Inputs'!$B$28,F283+E283,"")</x:f>
      </x:c>
      <x:c r="G284" s="29" t="str">
        <x:f>IF(A284&lt;='Inputs'!$B$28,'Inputs'!$B$27^A284,"")</x:f>
      </x:c>
      <x:c r="H284" s="21" t="str">
        <x:f>IF(A284&lt;'Inputs'!$B$32,ROUNDUP(ROUND('Inputs'!$B$29*'Inputs'!$B$30^A284,6),0),"")</x:f>
      </x:c>
      <x:c r="I284" s="21" t="str">
        <x:f>IF(A284&lt;='Inputs'!$B$32,I283+H283,"")</x:f>
      </x:c>
      <x:c r="J284" s="29" t="str">
        <x:f>IF(A284&lt;='Inputs'!$B$32,1+'Inputs'!$B$31*A284,"")</x:f>
      </x:c>
    </x:row>
    <x:row r="285" ht="25" customHeight="1">
      <x:c r="A285" s="19" t="n">
        <x:v>283</x:v>
      </x:c>
      <x:c r="B285" s="21" t="n">
        <x:f>IF(A285&lt;'Inputs'!$B$24,ROUNDUP(ROUND('Inputs'!$B$21*'Inputs'!$B$22^A285,6),0),"")</x:f>
        <x:v>10341394107</x:v>
      </x:c>
      <x:c r="C285" s="21" t="n">
        <x:f>IF(A285&lt;='Inputs'!$B$24,C284+B284,"")</x:f>
        <x:v>147734200948</x:v>
      </x:c>
      <x:c r="D285" s="29" t="n">
        <x:f>IF(A285&lt;='Inputs'!$B$24,'Inputs'!$B$23^A285,"")</x:f>
        <x:v>1083.5623486577567</x:v>
      </x:c>
      <x:c r="E285" s="21" t="str">
        <x:f>IF(A285&lt;'Inputs'!$B$28,ROUNDUP(ROUND('Inputs'!$B$25*'Inputs'!$B$26^A285,6),0),"")</x:f>
      </x:c>
      <x:c r="F285" s="21" t="str">
        <x:f>IF(A285&lt;='Inputs'!$B$28,F284+E284,"")</x:f>
      </x:c>
      <x:c r="G285" s="29" t="str">
        <x:f>IF(A285&lt;='Inputs'!$B$28,'Inputs'!$B$27^A285,"")</x:f>
      </x:c>
      <x:c r="H285" s="21" t="str">
        <x:f>IF(A285&lt;'Inputs'!$B$32,ROUNDUP(ROUND('Inputs'!$B$29*'Inputs'!$B$30^A285,6),0),"")</x:f>
      </x:c>
      <x:c r="I285" s="21" t="str">
        <x:f>IF(A285&lt;='Inputs'!$B$32,I284+H284,"")</x:f>
      </x:c>
      <x:c r="J285" s="29" t="str">
        <x:f>IF(A285&lt;='Inputs'!$B$32,1+'Inputs'!$B$31*A285,"")</x:f>
      </x:c>
    </x:row>
    <x:row r="286" ht="25" customHeight="1">
      <x:c r="A286" s="19" t="n">
        <x:v>284</x:v>
      </x:c>
      <x:c r="B286" s="21" t="n">
        <x:f>IF(A286&lt;'Inputs'!$B$24,ROUNDUP(ROUND('Inputs'!$B$21*'Inputs'!$B$22^A286,6),0),"")</x:f>
        <x:v>11065291695</x:v>
      </x:c>
      <x:c r="C286" s="21" t="n">
        <x:f>IF(A286&lt;='Inputs'!$B$24,C285+B285,"")</x:f>
        <x:v>158075595055</x:v>
      </x:c>
      <x:c r="D286" s="29" t="n">
        <x:f>IF(A286&lt;='Inputs'!$B$24,'Inputs'!$B$23^A286,"")</x:f>
        <x:v>1110.6514073742005</x:v>
      </x:c>
      <x:c r="E286" s="21" t="str">
        <x:f>IF(A286&lt;'Inputs'!$B$28,ROUNDUP(ROUND('Inputs'!$B$25*'Inputs'!$B$26^A286,6),0),"")</x:f>
      </x:c>
      <x:c r="F286" s="21" t="str">
        <x:f>IF(A286&lt;='Inputs'!$B$28,F285+E285,"")</x:f>
      </x:c>
      <x:c r="G286" s="29" t="str">
        <x:f>IF(A286&lt;='Inputs'!$B$28,'Inputs'!$B$27^A286,"")</x:f>
      </x:c>
      <x:c r="H286" s="21" t="str">
        <x:f>IF(A286&lt;'Inputs'!$B$32,ROUNDUP(ROUND('Inputs'!$B$29*'Inputs'!$B$30^A286,6),0),"")</x:f>
      </x:c>
      <x:c r="I286" s="21" t="str">
        <x:f>IF(A286&lt;='Inputs'!$B$32,I285+H285,"")</x:f>
      </x:c>
      <x:c r="J286" s="29" t="str">
        <x:f>IF(A286&lt;='Inputs'!$B$32,1+'Inputs'!$B$31*A286,"")</x:f>
      </x:c>
    </x:row>
    <x:row r="287" ht="25" customHeight="1">
      <x:c r="A287" s="19" t="n">
        <x:v>285</x:v>
      </x:c>
      <x:c r="B287" s="21" t="n">
        <x:f>IF(A287&lt;'Inputs'!$B$24,ROUNDUP(ROUND('Inputs'!$B$21*'Inputs'!$B$22^A287,6),0),"")</x:f>
        <x:v>11839862113</x:v>
      </x:c>
      <x:c r="C287" s="21" t="n">
        <x:f>IF(A287&lt;='Inputs'!$B$24,C286+B286,"")</x:f>
        <x:v>169140886750</x:v>
      </x:c>
      <x:c r="D287" s="29" t="n">
        <x:f>IF(A287&lt;='Inputs'!$B$24,'Inputs'!$B$23^A287,"")</x:f>
        <x:v>1138.4176925585555</x:v>
      </x:c>
      <x:c r="E287" s="21" t="str">
        <x:f>IF(A287&lt;'Inputs'!$B$28,ROUNDUP(ROUND('Inputs'!$B$25*'Inputs'!$B$26^A287,6),0),"")</x:f>
      </x:c>
      <x:c r="F287" s="21" t="str">
        <x:f>IF(A287&lt;='Inputs'!$B$28,F286+E286,"")</x:f>
      </x:c>
      <x:c r="G287" s="29" t="str">
        <x:f>IF(A287&lt;='Inputs'!$B$28,'Inputs'!$B$27^A287,"")</x:f>
      </x:c>
      <x:c r="H287" s="21" t="str">
        <x:f>IF(A287&lt;'Inputs'!$B$32,ROUNDUP(ROUND('Inputs'!$B$29*'Inputs'!$B$30^A287,6),0),"")</x:f>
      </x:c>
      <x:c r="I287" s="21" t="str">
        <x:f>IF(A287&lt;='Inputs'!$B$32,I286+H286,"")</x:f>
      </x:c>
      <x:c r="J287" s="29" t="str">
        <x:f>IF(A287&lt;='Inputs'!$B$32,1+'Inputs'!$B$31*A287,"")</x:f>
      </x:c>
    </x:row>
    <x:row r="288" ht="25" customHeight="1">
      <x:c r="A288" s="19" t="n">
        <x:v>286</x:v>
      </x:c>
      <x:c r="B288" s="21" t="n">
        <x:f>IF(A288&lt;'Inputs'!$B$24,ROUNDUP(ROUND('Inputs'!$B$21*'Inputs'!$B$22^A288,6),0),"")</x:f>
        <x:v>12668652461</x:v>
      </x:c>
      <x:c r="C288" s="21" t="n">
        <x:f>IF(A288&lt;='Inputs'!$B$24,C287+B287,"")</x:f>
        <x:v>180980748863</x:v>
      </x:c>
      <x:c r="D288" s="29" t="n">
        <x:f>IF(A288&lt;='Inputs'!$B$24,'Inputs'!$B$23^A288,"")</x:f>
        <x:v>1166.8781348725192</x:v>
      </x:c>
      <x:c r="E288" s="21" t="str">
        <x:f>IF(A288&lt;'Inputs'!$B$28,ROUNDUP(ROUND('Inputs'!$B$25*'Inputs'!$B$26^A288,6),0),"")</x:f>
      </x:c>
      <x:c r="F288" s="21" t="str">
        <x:f>IF(A288&lt;='Inputs'!$B$28,F287+E287,"")</x:f>
      </x:c>
      <x:c r="G288" s="29" t="str">
        <x:f>IF(A288&lt;='Inputs'!$B$28,'Inputs'!$B$27^A288,"")</x:f>
      </x:c>
      <x:c r="H288" s="21" t="str">
        <x:f>IF(A288&lt;'Inputs'!$B$32,ROUNDUP(ROUND('Inputs'!$B$29*'Inputs'!$B$30^A288,6),0),"")</x:f>
      </x:c>
      <x:c r="I288" s="21" t="str">
        <x:f>IF(A288&lt;='Inputs'!$B$32,I287+H287,"")</x:f>
      </x:c>
      <x:c r="J288" s="29" t="str">
        <x:f>IF(A288&lt;='Inputs'!$B$32,1+'Inputs'!$B$31*A288,"")</x:f>
      </x:c>
    </x:row>
    <x:row r="289" ht="25" customHeight="1">
      <x:c r="A289" s="19" t="n">
        <x:v>287</x:v>
      </x:c>
      <x:c r="B289" s="21" t="n">
        <x:f>IF(A289&lt;'Inputs'!$B$24,ROUNDUP(ROUND('Inputs'!$B$21*'Inputs'!$B$22^A289,6),0),"")</x:f>
        <x:v>13555458134</x:v>
      </x:c>
      <x:c r="C289" s="21" t="n">
        <x:f>IF(A289&lt;='Inputs'!$B$24,C288+B288,"")</x:f>
        <x:v>193649401324</x:v>
      </x:c>
      <x:c r="D289" s="29" t="n">
        <x:f>IF(A289&lt;='Inputs'!$B$24,'Inputs'!$B$23^A289,"")</x:f>
        <x:v>1196.0500882443323</x:v>
      </x:c>
      <x:c r="E289" s="21" t="str">
        <x:f>IF(A289&lt;'Inputs'!$B$28,ROUNDUP(ROUND('Inputs'!$B$25*'Inputs'!$B$26^A289,6),0),"")</x:f>
      </x:c>
      <x:c r="F289" s="21" t="str">
        <x:f>IF(A289&lt;='Inputs'!$B$28,F288+E288,"")</x:f>
      </x:c>
      <x:c r="G289" s="29" t="str">
        <x:f>IF(A289&lt;='Inputs'!$B$28,'Inputs'!$B$27^A289,"")</x:f>
      </x:c>
      <x:c r="H289" s="21" t="str">
        <x:f>IF(A289&lt;'Inputs'!$B$32,ROUNDUP(ROUND('Inputs'!$B$29*'Inputs'!$B$30^A289,6),0),"")</x:f>
      </x:c>
      <x:c r="I289" s="21" t="str">
        <x:f>IF(A289&lt;='Inputs'!$B$32,I288+H288,"")</x:f>
      </x:c>
      <x:c r="J289" s="29" t="str">
        <x:f>IF(A289&lt;='Inputs'!$B$32,1+'Inputs'!$B$31*A289,"")</x:f>
      </x:c>
    </x:row>
    <x:row r="290" ht="25" customHeight="1">
      <x:c r="A290" s="19" t="n">
        <x:v>288</x:v>
      </x:c>
      <x:c r="B290" s="21" t="n">
        <x:f>IF(A290&lt;'Inputs'!$B$24,ROUNDUP(ROUND('Inputs'!$B$21*'Inputs'!$B$22^A290,6),0),"")</x:f>
        <x:v>14504340203</x:v>
      </x:c>
      <x:c r="C290" s="21" t="n">
        <x:f>IF(A290&lt;='Inputs'!$B$24,C289+B289,"")</x:f>
        <x:v>207204859458</x:v>
      </x:c>
      <x:c r="D290" s="29" t="n">
        <x:f>IF(A290&lt;='Inputs'!$B$24,'Inputs'!$B$23^A290,"")</x:f>
        <x:v>1225.9513404504403</x:v>
      </x:c>
      <x:c r="E290" s="21" t="str">
        <x:f>IF(A290&lt;'Inputs'!$B$28,ROUNDUP(ROUND('Inputs'!$B$25*'Inputs'!$B$26^A290,6),0),"")</x:f>
      </x:c>
      <x:c r="F290" s="21" t="str">
        <x:f>IF(A290&lt;='Inputs'!$B$28,F289+E289,"")</x:f>
      </x:c>
      <x:c r="G290" s="29" t="str">
        <x:f>IF(A290&lt;='Inputs'!$B$28,'Inputs'!$B$27^A290,"")</x:f>
      </x:c>
      <x:c r="H290" s="21" t="str">
        <x:f>IF(A290&lt;'Inputs'!$B$32,ROUNDUP(ROUND('Inputs'!$B$29*'Inputs'!$B$30^A290,6),0),"")</x:f>
      </x:c>
      <x:c r="I290" s="21" t="str">
        <x:f>IF(A290&lt;='Inputs'!$B$32,I289+H289,"")</x:f>
      </x:c>
      <x:c r="J290" s="29" t="str">
        <x:f>IF(A290&lt;='Inputs'!$B$32,1+'Inputs'!$B$31*A290,"")</x:f>
      </x:c>
    </x:row>
    <x:row r="291" ht="25" customHeight="1">
      <x:c r="A291" s="19" t="n">
        <x:v>289</x:v>
      </x:c>
      <x:c r="B291" s="21" t="n">
        <x:f>IF(A291&lt;'Inputs'!$B$24,ROUNDUP(ROUND('Inputs'!$B$21*'Inputs'!$B$22^A291,6),0),"")</x:f>
        <x:v>15519644017</x:v>
      </x:c>
      <x:c r="C291" s="21" t="n">
        <x:f>IF(A291&lt;='Inputs'!$B$24,C290+B290,"")</x:f>
        <x:v>221709199661</x:v>
      </x:c>
      <x:c r="D291" s="29" t="n">
        <x:f>IF(A291&lt;='Inputs'!$B$24,'Inputs'!$B$23^A291,"")</x:f>
        <x:v>1256.6001239617012</x:v>
      </x:c>
      <x:c r="E291" s="21" t="str">
        <x:f>IF(A291&lt;'Inputs'!$B$28,ROUNDUP(ROUND('Inputs'!$B$25*'Inputs'!$B$26^A291,6),0),"")</x:f>
      </x:c>
      <x:c r="F291" s="21" t="str">
        <x:f>IF(A291&lt;='Inputs'!$B$28,F290+E290,"")</x:f>
      </x:c>
      <x:c r="G291" s="29" t="str">
        <x:f>IF(A291&lt;='Inputs'!$B$28,'Inputs'!$B$27^A291,"")</x:f>
      </x:c>
      <x:c r="H291" s="21" t="str">
        <x:f>IF(A291&lt;'Inputs'!$B$32,ROUNDUP(ROUND('Inputs'!$B$29*'Inputs'!$B$30^A291,6),0),"")</x:f>
      </x:c>
      <x:c r="I291" s="21" t="str">
        <x:f>IF(A291&lt;='Inputs'!$B$32,I290+H290,"")</x:f>
      </x:c>
      <x:c r="J291" s="29" t="str">
        <x:f>IF(A291&lt;='Inputs'!$B$32,1+'Inputs'!$B$31*A291,"")</x:f>
      </x:c>
    </x:row>
    <x:row r="292" ht="25" customHeight="1">
      <x:c r="A292" s="19" t="n">
        <x:v>290</x:v>
      </x:c>
      <x:c r="B292" s="21" t="n">
        <x:f>IF(A292&lt;'Inputs'!$B$24,ROUNDUP(ROUND('Inputs'!$B$21*'Inputs'!$B$22^A292,6),0),"")</x:f>
        <x:v>16606019098</x:v>
      </x:c>
      <x:c r="C292" s="21" t="n">
        <x:f>IF(A292&lt;='Inputs'!$B$24,C291+B291,"")</x:f>
        <x:v>237228843678</x:v>
      </x:c>
      <x:c r="D292" s="29" t="n">
        <x:f>IF(A292&lt;='Inputs'!$B$24,'Inputs'!$B$23^A292,"")</x:f>
        <x:v>1288.0151270607437</x:v>
      </x:c>
      <x:c r="E292" s="21" t="str">
        <x:f>IF(A292&lt;'Inputs'!$B$28,ROUNDUP(ROUND('Inputs'!$B$25*'Inputs'!$B$26^A292,6),0),"")</x:f>
      </x:c>
      <x:c r="F292" s="21" t="str">
        <x:f>IF(A292&lt;='Inputs'!$B$28,F291+E291,"")</x:f>
      </x:c>
      <x:c r="G292" s="29" t="str">
        <x:f>IF(A292&lt;='Inputs'!$B$28,'Inputs'!$B$27^A292,"")</x:f>
      </x:c>
      <x:c r="H292" s="21" t="str">
        <x:f>IF(A292&lt;'Inputs'!$B$32,ROUNDUP(ROUND('Inputs'!$B$29*'Inputs'!$B$30^A292,6),0),"")</x:f>
      </x:c>
      <x:c r="I292" s="21" t="str">
        <x:f>IF(A292&lt;='Inputs'!$B$32,I291+H291,"")</x:f>
      </x:c>
      <x:c r="J292" s="29" t="str">
        <x:f>IF(A292&lt;='Inputs'!$B$32,1+'Inputs'!$B$31*A292,"")</x:f>
      </x:c>
    </x:row>
    <x:row r="293" ht="25" customHeight="1">
      <x:c r="A293" s="19" t="n">
        <x:v>291</x:v>
      </x:c>
      <x:c r="B293" s="21" t="n">
        <x:f>IF(A293&lt;'Inputs'!$B$24,ROUNDUP(ROUND('Inputs'!$B$21*'Inputs'!$B$22^A293,6),0),"")</x:f>
        <x:v>17768440435</x:v>
      </x:c>
      <x:c r="C293" s="21" t="n">
        <x:f>IF(A293&lt;='Inputs'!$B$24,C292+B292,"")</x:f>
        <x:v>253834862776</x:v>
      </x:c>
      <x:c r="D293" s="29" t="n">
        <x:f>IF(A293&lt;='Inputs'!$B$24,'Inputs'!$B$23^A293,"")</x:f>
        <x:v>1320.2155052372623</x:v>
      </x:c>
      <x:c r="E293" s="21" t="str">
        <x:f>IF(A293&lt;'Inputs'!$B$28,ROUNDUP(ROUND('Inputs'!$B$25*'Inputs'!$B$26^A293,6),0),"")</x:f>
      </x:c>
      <x:c r="F293" s="21" t="str">
        <x:f>IF(A293&lt;='Inputs'!$B$28,F292+E292,"")</x:f>
      </x:c>
      <x:c r="G293" s="29" t="str">
        <x:f>IF(A293&lt;='Inputs'!$B$28,'Inputs'!$B$27^A293,"")</x:f>
      </x:c>
      <x:c r="H293" s="21" t="str">
        <x:f>IF(A293&lt;'Inputs'!$B$32,ROUNDUP(ROUND('Inputs'!$B$29*'Inputs'!$B$30^A293,6),0),"")</x:f>
      </x:c>
      <x:c r="I293" s="21" t="str">
        <x:f>IF(A293&lt;='Inputs'!$B$32,I292+H292,"")</x:f>
      </x:c>
      <x:c r="J293" s="29" t="str">
        <x:f>IF(A293&lt;='Inputs'!$B$32,1+'Inputs'!$B$31*A293,"")</x:f>
      </x:c>
    </x:row>
    <x:row r="294" ht="25" customHeight="1">
      <x:c r="A294" s="19" t="n">
        <x:v>292</x:v>
      </x:c>
      <x:c r="B294" s="21" t="n">
        <x:f>IF(A294&lt;'Inputs'!$B$24,ROUNDUP(ROUND('Inputs'!$B$21*'Inputs'!$B$22^A294,6),0),"")</x:f>
        <x:v>19012231265</x:v>
      </x:c>
      <x:c r="C294" s="21" t="n">
        <x:f>IF(A294&lt;='Inputs'!$B$24,C293+B293,"")</x:f>
        <x:v>271603303211</x:v>
      </x:c>
      <x:c r="D294" s="29" t="n">
        <x:f>IF(A294&lt;='Inputs'!$B$24,'Inputs'!$B$23^A294,"")</x:f>
        <x:v>1353.2208928681937</x:v>
      </x:c>
      <x:c r="E294" s="21" t="str">
        <x:f>IF(A294&lt;'Inputs'!$B$28,ROUNDUP(ROUND('Inputs'!$B$25*'Inputs'!$B$26^A294,6),0),"")</x:f>
      </x:c>
      <x:c r="F294" s="21" t="str">
        <x:f>IF(A294&lt;='Inputs'!$B$28,F293+E293,"")</x:f>
      </x:c>
      <x:c r="G294" s="29" t="str">
        <x:f>IF(A294&lt;='Inputs'!$B$28,'Inputs'!$B$27^A294,"")</x:f>
      </x:c>
      <x:c r="H294" s="21" t="str">
        <x:f>IF(A294&lt;'Inputs'!$B$32,ROUNDUP(ROUND('Inputs'!$B$29*'Inputs'!$B$30^A294,6),0),"")</x:f>
      </x:c>
      <x:c r="I294" s="21" t="str">
        <x:f>IF(A294&lt;='Inputs'!$B$32,I293+H293,"")</x:f>
      </x:c>
      <x:c r="J294" s="29" t="str">
        <x:f>IF(A294&lt;='Inputs'!$B$32,1+'Inputs'!$B$31*A294,"")</x:f>
      </x:c>
    </x:row>
    <x:row r="295" ht="25" customHeight="1">
      <x:c r="A295" s="19" t="n">
        <x:v>293</x:v>
      </x:c>
      <x:c r="B295" s="21" t="n">
        <x:f>IF(A295&lt;'Inputs'!$B$24,ROUNDUP(ROUND('Inputs'!$B$21*'Inputs'!$B$22^A295,6),0),"")</x:f>
        <x:v>20343087454</x:v>
      </x:c>
      <x:c r="C295" s="21" t="n">
        <x:f>IF(A295&lt;='Inputs'!$B$24,C294+B294,"")</x:f>
        <x:v>290615534476</x:v>
      </x:c>
      <x:c r="D295" s="29" t="n">
        <x:f>IF(A295&lt;='Inputs'!$B$24,'Inputs'!$B$23^A295,"")</x:f>
        <x:v>1387.0514151898983</x:v>
      </x:c>
      <x:c r="E295" s="21" t="str">
        <x:f>IF(A295&lt;'Inputs'!$B$28,ROUNDUP(ROUND('Inputs'!$B$25*'Inputs'!$B$26^A295,6),0),"")</x:f>
      </x:c>
      <x:c r="F295" s="21" t="str">
        <x:f>IF(A295&lt;='Inputs'!$B$28,F294+E294,"")</x:f>
      </x:c>
      <x:c r="G295" s="29" t="str">
        <x:f>IF(A295&lt;='Inputs'!$B$28,'Inputs'!$B$27^A295,"")</x:f>
      </x:c>
      <x:c r="H295" s="21" t="str">
        <x:f>IF(A295&lt;'Inputs'!$B$32,ROUNDUP(ROUND('Inputs'!$B$29*'Inputs'!$B$30^A295,6),0),"")</x:f>
      </x:c>
      <x:c r="I295" s="21" t="str">
        <x:f>IF(A295&lt;='Inputs'!$B$32,I294+H294,"")</x:f>
      </x:c>
      <x:c r="J295" s="29" t="str">
        <x:f>IF(A295&lt;='Inputs'!$B$32,1+'Inputs'!$B$31*A295,"")</x:f>
      </x:c>
    </x:row>
    <x:row r="296" ht="25" customHeight="1">
      <x:c r="A296" s="19" t="n">
        <x:v>294</x:v>
      </x:c>
      <x:c r="B296" s="21" t="n">
        <x:f>IF(A296&lt;'Inputs'!$B$24,ROUNDUP(ROUND('Inputs'!$B$21*'Inputs'!$B$22^A296,6),0),"")</x:f>
        <x:v>21767103576</x:v>
      </x:c>
      <x:c r="C296" s="21" t="n">
        <x:f>IF(A296&lt;='Inputs'!$B$24,C295+B295,"")</x:f>
        <x:v>310958621930</x:v>
      </x:c>
      <x:c r="D296" s="29" t="n">
        <x:f>IF(A296&lt;='Inputs'!$B$24,'Inputs'!$B$23^A296,"")</x:f>
        <x:v>1421.7277005696458</x:v>
      </x:c>
      <x:c r="E296" s="21" t="str">
        <x:f>IF(A296&lt;'Inputs'!$B$28,ROUNDUP(ROUND('Inputs'!$B$25*'Inputs'!$B$26^A296,6),0),"")</x:f>
      </x:c>
      <x:c r="F296" s="21" t="str">
        <x:f>IF(A296&lt;='Inputs'!$B$28,F295+E295,"")</x:f>
      </x:c>
      <x:c r="G296" s="29" t="str">
        <x:f>IF(A296&lt;='Inputs'!$B$28,'Inputs'!$B$27^A296,"")</x:f>
      </x:c>
      <x:c r="H296" s="21" t="str">
        <x:f>IF(A296&lt;'Inputs'!$B$32,ROUNDUP(ROUND('Inputs'!$B$29*'Inputs'!$B$30^A296,6),0),"")</x:f>
      </x:c>
      <x:c r="I296" s="21" t="str">
        <x:f>IF(A296&lt;='Inputs'!$B$32,I295+H295,"")</x:f>
      </x:c>
      <x:c r="J296" s="29" t="str">
        <x:f>IF(A296&lt;='Inputs'!$B$32,1+'Inputs'!$B$31*A296,"")</x:f>
      </x:c>
    </x:row>
    <x:row r="297" ht="25" customHeight="1">
      <x:c r="A297" s="19" t="n">
        <x:v>295</x:v>
      </x:c>
      <x:c r="B297" s="21" t="n">
        <x:f>IF(A297&lt;'Inputs'!$B$24,ROUNDUP(ROUND('Inputs'!$B$21*'Inputs'!$B$22^A297,6),0),"")</x:f>
        <x:v>23290800826</x:v>
      </x:c>
      <x:c r="C297" s="21" t="n">
        <x:f>IF(A297&lt;='Inputs'!$B$24,C296+B296,"")</x:f>
        <x:v>332725725506</x:v>
      </x:c>
      <x:c r="D297" s="29" t="n">
        <x:f>IF(A297&lt;='Inputs'!$B$24,'Inputs'!$B$23^A297,"")</x:f>
        <x:v>1457.2708930838867</x:v>
      </x:c>
      <x:c r="E297" s="21" t="str">
        <x:f>IF(A297&lt;'Inputs'!$B$28,ROUNDUP(ROUND('Inputs'!$B$25*'Inputs'!$B$26^A297,6),0),"")</x:f>
      </x:c>
      <x:c r="F297" s="21" t="str">
        <x:f>IF(A297&lt;='Inputs'!$B$28,F296+E296,"")</x:f>
      </x:c>
      <x:c r="G297" s="29" t="str">
        <x:f>IF(A297&lt;='Inputs'!$B$28,'Inputs'!$B$27^A297,"")</x:f>
      </x:c>
      <x:c r="H297" s="21" t="str">
        <x:f>IF(A297&lt;'Inputs'!$B$32,ROUNDUP(ROUND('Inputs'!$B$29*'Inputs'!$B$30^A297,6),0),"")</x:f>
      </x:c>
      <x:c r="I297" s="21" t="str">
        <x:f>IF(A297&lt;='Inputs'!$B$32,I296+H296,"")</x:f>
      </x:c>
      <x:c r="J297" s="29" t="str">
        <x:f>IF(A297&lt;='Inputs'!$B$32,1+'Inputs'!$B$31*A297,"")</x:f>
      </x:c>
    </x:row>
    <x:row r="298" ht="25" customHeight="1">
      <x:c r="A298" s="19" t="n">
        <x:v>296</x:v>
      </x:c>
      <x:c r="B298" s="21" t="n">
        <x:f>IF(A298&lt;'Inputs'!$B$24,ROUNDUP(ROUND('Inputs'!$B$21*'Inputs'!$B$22^A298,6),0),"")</x:f>
        <x:v>24921156884</x:v>
      </x:c>
      <x:c r="C298" s="21" t="n">
        <x:f>IF(A298&lt;='Inputs'!$B$24,C297+B297,"")</x:f>
        <x:v>356016526332</x:v>
      </x:c>
      <x:c r="D298" s="29" t="n">
        <x:f>IF(A298&lt;='Inputs'!$B$24,'Inputs'!$B$23^A298,"")</x:f>
        <x:v>1493.7026654109839</x:v>
      </x:c>
      <x:c r="E298" s="21" t="str">
        <x:f>IF(A298&lt;'Inputs'!$B$28,ROUNDUP(ROUND('Inputs'!$B$25*'Inputs'!$B$26^A298,6),0),"")</x:f>
      </x:c>
      <x:c r="F298" s="21" t="str">
        <x:f>IF(A298&lt;='Inputs'!$B$28,F297+E297,"")</x:f>
      </x:c>
      <x:c r="G298" s="29" t="str">
        <x:f>IF(A298&lt;='Inputs'!$B$28,'Inputs'!$B$27^A298,"")</x:f>
      </x:c>
      <x:c r="H298" s="21" t="str">
        <x:f>IF(A298&lt;'Inputs'!$B$32,ROUNDUP(ROUND('Inputs'!$B$29*'Inputs'!$B$30^A298,6),0),"")</x:f>
      </x:c>
      <x:c r="I298" s="21" t="str">
        <x:f>IF(A298&lt;='Inputs'!$B$32,I297+H297,"")</x:f>
      </x:c>
      <x:c r="J298" s="29" t="str">
        <x:f>IF(A298&lt;='Inputs'!$B$32,1+'Inputs'!$B$31*A298,"")</x:f>
      </x:c>
    </x:row>
    <x:row r="299" ht="25" customHeight="1">
      <x:c r="A299" s="19" t="n">
        <x:v>297</x:v>
      </x:c>
      <x:c r="B299" s="21" t="n">
        <x:f>IF(A299&lt;'Inputs'!$B$24,ROUNDUP(ROUND('Inputs'!$B$21*'Inputs'!$B$22^A299,6),0),"")</x:f>
        <x:v>26665637866</x:v>
      </x:c>
      <x:c r="C299" s="21" t="n">
        <x:f>IF(A299&lt;='Inputs'!$B$24,C298+B298,"")</x:f>
        <x:v>380937683216</x:v>
      </x:c>
      <x:c r="D299" s="29" t="n">
        <x:f>IF(A299&lt;='Inputs'!$B$24,'Inputs'!$B$23^A299,"")</x:f>
        <x:v>1531.0452320462582</x:v>
      </x:c>
      <x:c r="E299" s="21" t="str">
        <x:f>IF(A299&lt;'Inputs'!$B$28,ROUNDUP(ROUND('Inputs'!$B$25*'Inputs'!$B$26^A299,6),0),"")</x:f>
      </x:c>
      <x:c r="F299" s="21" t="str">
        <x:f>IF(A299&lt;='Inputs'!$B$28,F298+E298,"")</x:f>
      </x:c>
      <x:c r="G299" s="29" t="str">
        <x:f>IF(A299&lt;='Inputs'!$B$28,'Inputs'!$B$27^A299,"")</x:f>
      </x:c>
      <x:c r="H299" s="21" t="str">
        <x:f>IF(A299&lt;'Inputs'!$B$32,ROUNDUP(ROUND('Inputs'!$B$29*'Inputs'!$B$30^A299,6),0),"")</x:f>
      </x:c>
      <x:c r="I299" s="21" t="str">
        <x:f>IF(A299&lt;='Inputs'!$B$32,I298+H298,"")</x:f>
      </x:c>
      <x:c r="J299" s="29" t="str">
        <x:f>IF(A299&lt;='Inputs'!$B$32,1+'Inputs'!$B$31*A299,"")</x:f>
      </x:c>
    </x:row>
    <x:row r="300" ht="25" customHeight="1">
      <x:c r="A300" s="19" t="n">
        <x:v>298</x:v>
      </x:c>
      <x:c r="B300" s="21" t="n">
        <x:f>IF(A300&lt;'Inputs'!$B$24,ROUNDUP(ROUND('Inputs'!$B$21*'Inputs'!$B$22^A300,6),0),"")</x:f>
        <x:v>28532232516</x:v>
      </x:c>
      <x:c r="C300" s="21" t="n">
        <x:f>IF(A300&lt;='Inputs'!$B$24,C299+B299,"")</x:f>
        <x:v>407603321082</x:v>
      </x:c>
      <x:c r="D300" s="29" t="n">
        <x:f>IF(A300&lt;='Inputs'!$B$24,'Inputs'!$B$23^A300,"")</x:f>
        <x:v>1569.3213628474145</x:v>
      </x:c>
      <x:c r="E300" s="21" t="str">
        <x:f>IF(A300&lt;'Inputs'!$B$28,ROUNDUP(ROUND('Inputs'!$B$25*'Inputs'!$B$26^A300,6),0),"")</x:f>
      </x:c>
      <x:c r="F300" s="21" t="str">
        <x:f>IF(A300&lt;='Inputs'!$B$28,F299+E299,"")</x:f>
      </x:c>
      <x:c r="G300" s="29" t="str">
        <x:f>IF(A300&lt;='Inputs'!$B$28,'Inputs'!$B$27^A300,"")</x:f>
      </x:c>
      <x:c r="H300" s="21" t="str">
        <x:f>IF(A300&lt;'Inputs'!$B$32,ROUNDUP(ROUND('Inputs'!$B$29*'Inputs'!$B$30^A300,6),0),"")</x:f>
      </x:c>
      <x:c r="I300" s="21" t="str">
        <x:f>IF(A300&lt;='Inputs'!$B$32,I299+H299,"")</x:f>
      </x:c>
      <x:c r="J300" s="29" t="str">
        <x:f>IF(A300&lt;='Inputs'!$B$32,1+'Inputs'!$B$31*A300,"")</x:f>
      </x:c>
    </x:row>
    <x:row r="301" ht="25" customHeight="1">
      <x:c r="A301" s="19" t="n">
        <x:v>299</x:v>
      </x:c>
      <x:c r="B301" s="21" t="n">
        <x:f>IF(A301&lt;'Inputs'!$B$24,ROUNDUP(ROUND('Inputs'!$B$21*'Inputs'!$B$22^A301,6),0),"")</x:f>
        <x:v>30529488792</x:v>
      </x:c>
      <x:c r="C301" s="21" t="n">
        <x:f>IF(A301&lt;='Inputs'!$B$24,C300+B300,"")</x:f>
        <x:v>436135553598</x:v>
      </x:c>
      <x:c r="D301" s="29" t="n">
        <x:f>IF(A301&lt;='Inputs'!$B$24,'Inputs'!$B$23^A301,"")</x:f>
        <x:v>1608.5543969185997</x:v>
      </x:c>
      <x:c r="E301" s="21" t="str">
        <x:f>IF(A301&lt;'Inputs'!$B$28,ROUNDUP(ROUND('Inputs'!$B$25*'Inputs'!$B$26^A301,6),0),"")</x:f>
      </x:c>
      <x:c r="F301" s="21" t="str">
        <x:f>IF(A301&lt;='Inputs'!$B$28,F300+E300,"")</x:f>
      </x:c>
      <x:c r="G301" s="29" t="str">
        <x:f>IF(A301&lt;='Inputs'!$B$28,'Inputs'!$B$27^A301,"")</x:f>
      </x:c>
      <x:c r="H301" s="21" t="str">
        <x:f>IF(A301&lt;'Inputs'!$B$32,ROUNDUP(ROUND('Inputs'!$B$29*'Inputs'!$B$30^A301,6),0),"")</x:f>
      </x:c>
      <x:c r="I301" s="21" t="str">
        <x:f>IF(A301&lt;='Inputs'!$B$32,I300+H300,"")</x:f>
      </x:c>
      <x:c r="J301" s="29" t="str">
        <x:f>IF(A301&lt;='Inputs'!$B$32,1+'Inputs'!$B$31*A301,"")</x:f>
      </x:c>
    </x:row>
    <x:row r="302" ht="25" customHeight="1">
      <x:c r="A302" s="19" t="n">
        <x:v>300</x:v>
      </x:c>
      <x:c r="B302" s="21" t="str">
        <x:f>IF(A302&lt;'Inputs'!$B$24,ROUNDUP(ROUND('Inputs'!$B$21*'Inputs'!$B$22^A302,6),0),"")</x:f>
      </x:c>
      <x:c r="C302" s="21" t="n">
        <x:f>IF(A302&lt;='Inputs'!$B$24,C301+B301,"")</x:f>
        <x:v>466665042390</x:v>
      </x:c>
      <x:c r="D302" s="29" t="n">
        <x:f>IF(A302&lt;='Inputs'!$B$24,'Inputs'!$B$23^A302,"")</x:f>
        <x:v>1648.7682568415646</x:v>
      </x:c>
      <x:c r="E302" s="21" t="str">
        <x:f>IF(A302&lt;'Inputs'!$B$28,ROUNDUP(ROUND('Inputs'!$B$25*'Inputs'!$B$26^A302,6),0),"")</x:f>
      </x:c>
      <x:c r="F302" s="21" t="str">
        <x:f>IF(A302&lt;='Inputs'!$B$28,F301+E301,"")</x:f>
      </x:c>
      <x:c r="G302" s="29" t="str">
        <x:f>IF(A302&lt;='Inputs'!$B$28,'Inputs'!$B$27^A302,"")</x:f>
      </x:c>
      <x:c r="H302" s="21" t="str">
        <x:f>IF(A302&lt;'Inputs'!$B$32,ROUNDUP(ROUND('Inputs'!$B$29*'Inputs'!$B$30^A302,6),0),"")</x:f>
      </x:c>
      <x:c r="I302" s="21" t="str">
        <x:f>IF(A302&lt;='Inputs'!$B$32,I301+H301,"")</x:f>
      </x:c>
      <x:c r="J302" s="29" t="str">
        <x:f>IF(A302&lt;='Inputs'!$B$32,1+'Inputs'!$B$31*A302,"")</x:f>
      </x:c>
    </x:row>
  </x:sheetData>
  <x:pageMargins left="0.7" right="0.7" top="0.75" bottom="0.75" header="0.3" footer="0.3"/>
  <x:tableParts count="1">
    <x:tablePart xmlns:r="http://schemas.openxmlformats.org/officeDocument/2006/relationships" r:id="Rc987f0864ed6438e"/>
  </x:tableParts>
</x:worksheet>
</file>

<file path=xl/worksheets/sheet13.xml><?xml version="1.0" encoding="utf-8"?>
<x:worksheet xmlns:x="http://schemas.openxmlformats.org/spreadsheetml/2006/main">
  <x:sheetPr>
    <x:tabColor rgb="FF70858C"/>
  </x:sheetPr>
  <x:sheetViews>
    <x:sheetView showGridLines="0" workbookViewId="0">
      <x:pane xSplit="1" ySplit="1" topLeftCell="B2" activePane="bottomRight" state="frozen"/>
    </x:sheetView>
  </x:sheetViews>
  <x:sheetFormatPr defaultRowHeight="15"/>
  <x:cols>
    <x:col min="1" max="1" width="18" hidden="0" customWidth="1"/>
    <x:col min="2" max="2" width="18" hidden="0" customWidth="1"/>
    <x:col min="3" max="3" width="18" hidden="0" customWidth="1"/>
    <x:col min="4" max="4" width="18" hidden="0" customWidth="1"/>
    <x:col min="5" max="5" width="18" hidden="0" customWidth="1"/>
    <x:col min="6" max="6" width="18" hidden="0" customWidth="1"/>
    <x:col min="7" max="7" width="18" hidden="0" customWidth="1"/>
    <x:col min="8" max="8" width="18" hidden="0" customWidth="1"/>
    <x:col min="9" max="9" width="18" hidden="0" customWidth="1"/>
    <x:col min="10" max="10" width="18" hidden="0" customWidth="1"/>
    <x:col min="11" max="11" width="18" hidden="0" customWidth="1"/>
  </x:cols>
  <x:sheetData>
    <x:row r="1" ht="43" customHeight="1">
      <x:c r="A1" s="18" t="str">
        <x:v>MainWave</x:v>
      </x:c>
      <x:c r="B1" s="18" t="str">
        <x:v>GoldEach</x:v>
      </x:c>
      <x:c r="C1" s="18" t="str">
        <x:v>GoldPerMinute</x:v>
      </x:c>
      <x:c r="D1" s="18" t="str">
        <x:v>Online30Min</x:v>
      </x:c>
      <x:c r="E1" s="18" t="str">
        <x:v>Offline8Hours</x:v>
      </x:c>
      <x:c r="F1" s="18" t="str">
        <x:v>DailyMin2Min</x:v>
      </x:c>
      <x:c r="G1" s="18" t="str">
        <x:v>DailyMax6Min</x:v>
      </x:c>
      <x:c r="H1" s="18" t="str">
        <x:v>GoldDungeonDaily</x:v>
      </x:c>
      <x:c r="I1" s="18" t="str">
        <x:v>CombinedGold</x:v>
      </x:c>
      <x:c r="J1" s="18" t="str">
        <x:v>OfflineKills</x:v>
      </x:c>
      <x:c r="K1" s="18" t="str">
        <x:v>OfflineExp</x:v>
      </x:c>
    </x:row>
    <x:row r="2" ht="25" customHeight="1">
      <x:c r="A2" s="19" t="str">
        <x:v>1-10</x:v>
      </x:c>
      <x:c r="B2" s="21" t="n">
        <x:f>'MainBalance'!I11</x:f>
        <x:v>19</x:v>
      </x:c>
      <x:c r="C2" s="21" t="n">
        <x:f>'MainBalance'!O11</x:f>
        <x:v>570</x:v>
      </x:c>
      <x:c r="D2" s="21" t="n">
        <x:f>ROUNDDOWN(ROUND(B2*'Inputs'!$B$15*30*(1+'Inputs'!$B$31*'Inputs'!$B$53),6),0)</x:f>
        <x:v>17100</x:v>
      </x:c>
      <x:c r="E2" s="21" t="n">
        <x:f>ROUNDDOWN(ROUND(ROUNDDOWN(ROUND('Inputs'!$B$17*60*'Inputs'!$B$15*'Inputs'!$B$16,6),0)*B2*(1+'Inputs'!$B$31*'Inputs'!$B$53),6),0)</x:f>
        <x:v>164160</x:v>
      </x:c>
      <x:c r="F2" s="13" t="n">
        <x:f>C2*2</x:f>
        <x:v>1140</x:v>
      </x:c>
      <x:c r="G2" s="13" t="n">
        <x:f>C2*6</x:f>
        <x:v>3420</x:v>
      </x:c>
      <x:c r="H2" s="21" t="n">
        <x:f>'GoldBalance'!M2</x:f>
        <x:v>18000</x:v>
      </x:c>
      <x:c r="I2" s="13" t="n">
        <x:f>D2+E2+H2</x:f>
        <x:v>199260</x:v>
      </x:c>
      <x:c r="J2" s="21" t="n">
        <x:f>ROUNDDOWN(ROUND('Inputs'!$B$17*60*'Inputs'!$B$15*'Inputs'!$B$16,6),0)</x:f>
        <x:v>8640</x:v>
      </x:c>
      <x:c r="K2" s="21" t="n">
        <x:f>ROUNDDOWN(ROUND(J2*'MainBalance'!K11*(1+'Inputs'!$B$31*'Inputs'!$B$54),6),0)</x:f>
        <x:v>43200</x:v>
      </x:c>
    </x:row>
    <x:row r="3" ht="25" customHeight="1">
      <x:c r="A3" s="19" t="str">
        <x:v>2-10</x:v>
      </x:c>
      <x:c r="B3" s="21" t="n">
        <x:f>'MainBalance'!I22</x:f>
        <x:v>46</x:v>
      </x:c>
      <x:c r="C3" s="21" t="n">
        <x:f>'MainBalance'!O22</x:f>
        <x:v>1380</x:v>
      </x:c>
      <x:c r="D3" s="21" t="n">
        <x:f>ROUNDDOWN(ROUND(B3*'Inputs'!$B$15*30*(1+'Inputs'!$B$31*'Inputs'!$B$53),6),0)</x:f>
        <x:v>41400</x:v>
      </x:c>
      <x:c r="E3" s="21" t="n">
        <x:f>ROUNDDOWN(ROUND(ROUNDDOWN(ROUND('Inputs'!$B$17*60*'Inputs'!$B$15*'Inputs'!$B$16,6),0)*B3*(1+'Inputs'!$B$31*'Inputs'!$B$53),6),0)</x:f>
        <x:v>397440</x:v>
      </x:c>
      <x:c r="F3" s="13" t="n">
        <x:f>C3*2</x:f>
        <x:v>2760</x:v>
      </x:c>
      <x:c r="G3" s="13" t="n">
        <x:f>C3*6</x:f>
        <x:v>8280</x:v>
      </x:c>
      <x:c r="H3" s="21" t="n">
        <x:f>'GoldBalance'!M2</x:f>
        <x:v>18000</x:v>
      </x:c>
      <x:c r="I3" s="13" t="n">
        <x:f>D3+E3+H3</x:f>
        <x:v>456840</x:v>
      </x:c>
      <x:c r="J3" s="21" t="n">
        <x:f>ROUNDDOWN(ROUND('Inputs'!$B$17*60*'Inputs'!$B$15*'Inputs'!$B$16,6),0)</x:f>
        <x:v>8640</x:v>
      </x:c>
      <x:c r="K3" s="21" t="n">
        <x:f>ROUNDDOWN(ROUND(J3*'MainBalance'!K22*(1+'Inputs'!$B$31*'Inputs'!$B$54),6),0)</x:f>
        <x:v>95040</x:v>
      </x:c>
    </x:row>
    <x:row r="4" ht="25" customHeight="1">
      <x:c r="A4" s="19" t="str">
        <x:v>3-10</x:v>
      </x:c>
      <x:c r="B4" s="21" t="n">
        <x:f>'MainBalance'!I33</x:f>
        <x:v>108</x:v>
      </x:c>
      <x:c r="C4" s="21" t="n">
        <x:f>'MainBalance'!O33</x:f>
        <x:v>3240</x:v>
      </x:c>
      <x:c r="D4" s="21" t="n">
        <x:f>ROUNDDOWN(ROUND(B4*'Inputs'!$B$15*30*(1+'Inputs'!$B$31*'Inputs'!$B$53),6),0)</x:f>
        <x:v>97200</x:v>
      </x:c>
      <x:c r="E4" s="21" t="n">
        <x:f>ROUNDDOWN(ROUND(ROUNDDOWN(ROUND('Inputs'!$B$17*60*'Inputs'!$B$15*'Inputs'!$B$16,6),0)*B4*(1+'Inputs'!$B$31*'Inputs'!$B$53),6),0)</x:f>
        <x:v>933120</x:v>
      </x:c>
      <x:c r="F4" s="13" t="n">
        <x:f>C4*2</x:f>
        <x:v>6480</x:v>
      </x:c>
      <x:c r="G4" s="13" t="n">
        <x:f>C4*6</x:f>
        <x:v>19440</x:v>
      </x:c>
      <x:c r="H4" s="21" t="n">
        <x:f>'GoldBalance'!M2</x:f>
        <x:v>18000</x:v>
      </x:c>
      <x:c r="I4" s="13" t="n">
        <x:f>D4+E4+H4</x:f>
        <x:v>1048320</x:v>
      </x:c>
      <x:c r="J4" s="21" t="n">
        <x:f>ROUNDDOWN(ROUND('Inputs'!$B$17*60*'Inputs'!$B$15*'Inputs'!$B$16,6),0)</x:f>
        <x:v>8640</x:v>
      </x:c>
      <x:c r="K4" s="21" t="n">
        <x:f>ROUNDDOWN(ROUND(J4*'MainBalance'!K33*(1+'Inputs'!$B$31*'Inputs'!$B$54),6),0)</x:f>
        <x:v>207360</x:v>
      </x:c>
    </x:row>
  </x:sheetData>
  <x:pageMargins left="0.7" right="0.7" top="0.75" bottom="0.75" header="0.3" footer="0.3"/>
  <x:tableParts count="1">
    <x:tablePart xmlns:r="http://schemas.openxmlformats.org/officeDocument/2006/relationships" r:id="R8f4847a657d64d79"/>
  </x:tableParts>
</x:worksheet>
</file>

<file path=xl/worksheets/sheet14.xml><?xml version="1.0" encoding="utf-8"?>
<x:worksheet xmlns:x="http://schemas.openxmlformats.org/spreadsheetml/2006/main">
  <x:sheetPr>
    <x:tabColor rgb="FF70858C"/>
  </x:sheetPr>
  <x:sheetViews>
    <x:sheetView showGridLines="0" workbookViewId="0">
      <x:pane xSplit="1" ySplit="1" topLeftCell="B2" activePane="bottomRight" state="frozen"/>
    </x:sheetView>
  </x:sheetViews>
  <x:sheetFormatPr defaultRowHeight="15"/>
  <x:cols>
    <x:col min="1" max="1" width="23" hidden="0" customWidth="1"/>
    <x:col min="2" max="2" width="108" hidden="0" customWidth="1"/>
  </x:cols>
  <x:sheetData>
    <x:row r="1" ht="43" customHeight="1">
      <x:c r="A1" s="18" t="str">
        <x:v>Topic</x:v>
      </x:c>
      <x:c r="B1" s="18" t="str">
        <x:v>Description</x:v>
      </x:c>
    </x:row>
    <x:row r="2" ht="46" customHeight="1">
      <x:c r="A2" s="19" t="str">
        <x:v>운영 원본</x:v>
      </x:c>
      <x:c r="B2" s="30" t="str">
        <x:v>Stage_Catalog.xlsx → MyTools/Stage/Generate Stage Data → StageDatabaseSO → 게임. 엑셀 저장 후 생성 메뉴를 실행합니다.</x:v>
      </x:c>
    </x:row>
    <x:row r="3" ht="46" customHeight="1">
      <x:c r="A3" s="19" t="str">
        <x:v>편집 방식</x:v>
      </x:c>
      <x:c r="B3" s="30" t="str">
        <x:v>1행은 파서가 읽는 고정 열 이름입니다. 파란 글씨는 입력, 녹색 글씨는 시트 간 계산입니다. 표 필터로 콘텐츠·스테이지를 좁혀 확인합니다.</x:v>
      </x:c>
    </x:row>
    <x:row r="4" ht="46" customHeight="1">
      <x:c r="A4" s="19" t="str">
        <x:v>확정 반영 범위</x:v>
      </x:c>
      <x:c r="B4" s="30" t="str">
        <x:v>기존 베타개정 탭의 메인 33웨이브, 골드 5난이도, 루비 5난이도·15보스와 최초 보상·성장·수입식을 옮겼습니다. 기존 폐기 데이터는 제거했습니다.</x:v>
      </x:c>
    </x:row>
    <x:row r="5" ht="46" customHeight="1">
      <x:c r="A5" s="19" t="str">
        <x:v>스테이지 ID</x:v>
      </x:c>
      <x:c r="B5" s="30" t="str">
        <x:v>Main: 8589934592 + Stage×65536 + Wave. Gold/Ruby의 기존 마스크와 ID를 유지합니다. ID는 저장·보상 원장·서버 연결 키입니다.</x:v>
      </x:c>
    </x:row>
    <x:row r="6" ht="46" customHeight="1">
      <x:c r="A6" s="19" t="str">
        <x:v>몬스터 ID</x:v>
      </x:c>
      <x:c r="B6" s="30" t="str">
        <x:v>MonsterCatalog의 명시적 ID는 발급 후 바꾸지 않습니다. 기존 10개 enum ID는 호환성을 위해 유지하며 신규 번들은 별도 ID를 사용합니다.</x:v>
      </x:c>
    </x:row>
    <x:row r="7" ht="46" customHeight="1">
      <x:c r="A7" s="19" t="str">
        <x:v>1스테이지</x:v>
      </x:c>
      <x:c r="B7" s="30" t="str">
        <x:v>산적 전사·방패병·궁수 + 산적 왕. 정비된 흙길, 보스는 흙 공터.</x:v>
      </x:c>
    </x:row>
    <x:row r="8" ht="46" customHeight="1">
      <x:c r="A8" s="19" t="str">
        <x:v>2스테이지</x:v>
      </x:c>
      <x:c r="B8" s="30" t="str">
        <x:v>고블린·암살자·폭탄병·주술사 + 고블린 왕. 밝은 풀길과 가장자리 수목.</x:v>
      </x:c>
    </x:row>
    <x:row r="9" ht="46" customHeight="1">
      <x:c r="A9" s="19" t="str">
        <x:v>3스테이지</x:v>
      </x:c>
      <x:c r="B9" s="30" t="str">
        <x:v>오크 전사·감독관·사냥꾼·주술사 + 오크 거한. 2스테이지보다 촘촘한 수관과 관목, 중앙 전투 공간은 비워 둡니다.</x:v>
      </x:c>
    </x:row>
    <x:row r="10" ht="46" customHeight="1">
      <x:c r="A10" s="19" t="str">
        <x:v>로스터 역할</x:v>
      </x:c>
      <x:c r="B10" s="30" t="str">
        <x:v>원거리 비중은 W1~3:0%, W4~7:25%, W8~10:40%, 내림. 같은 역할의 종은 수량을 균등 배분합니다. 보스는 1종입니다.</x:v>
      </x:c>
    </x:row>
    <x:row r="11" ht="46" customHeight="1">
      <x:c r="A11" s="19" t="str">
        <x:v>크기</x:v>
      </x:c>
      <x:c r="B11" s="30" t="str">
        <x:v>준비 프리팹의 검수된 배율 유지: 소형 약 왕국군 2/3, 중형 1, 대형 4/3. 보스는 실루엣에 따라 별도.</x:v>
      </x:c>
    </x:row>
    <x:row r="12" ht="46" customHeight="1">
      <x:c r="A12" s="19" t="str">
        <x:v>골드 던전</x:v>
      </x:c>
      <x:c r="B12" s="30" t="str">
        <x:v>HeresyMimic은 Mimic_Animation_Pack 원본의 작업본입니다. ChestAndBarrel의 3종 미믹은 예비 콘텐츠로 유지합니다.</x:v>
      </x:c>
    </x:row>
    <x:row r="13" ht="46" customHeight="1">
      <x:c r="A13" s="19" t="str">
        <x:v>루비 던전</x:v>
      </x:c>
      <x:c r="B13" s="30" t="str">
        <x:v>산적 왕→고블린 왕→오크 거한. HP·쿨타임 이월, 보스별 제한 시간은 초기화. 마지막 처치에만 확정 보상.</x:v>
      </x:c>
    </x:row>
    <x:row r="14" ht="46" customHeight="1">
      <x:c r="A14" s="19" t="str">
        <x:v>배경 풀</x:v>
      </x:c>
      <x:c r="B14" s="30" t="str">
        <x:v>Main 10종, Boss 3종, Special 5종씩 5타일셋. PoolId로 조회하며 가중치 랜덤 선택·연속 중복 회피. 한 번에 하나만 로드합니다.</x:v>
      </x:c>
    </x:row>
    <x:row r="15" ht="46" customHeight="1">
      <x:c r="A15" s="19" t="str">
        <x:v>배경 가독성</x:v>
      </x:c>
      <x:c r="B15" s="30" t="str">
        <x:v>중앙 전투 영역은 비우고 장식은 가장자리에 둡니다. 타일맵 3개 구조와 Point 필터를 유지합니다.</x:v>
      </x:c>
    </x:row>
    <x:row r="16" ht="46" customHeight="1">
      <x:c r="A16" s="19" t="str">
        <x:v>수치 정수화</x:v>
      </x:c>
      <x:c r="B16" s="30" t="str">
        <x:v>HP/ATK는 6자리 반올림 후 올림, 보상은 6자리 반올림 후 내림. 보스 배율은 최종 정수화 전에 적용합니다.</x:v>
      </x:c>
    </x:row>
    <x:row r="17" ht="46" customHeight="1">
      <x:c r="A17" s="19" t="str">
        <x:v>성장표</x:v>
      </x:c>
      <x:c r="B17" s="30" t="str">
        <x:v>강화는 현 레벨→다음 레벨 비용. 상한의 빈 칸은 MAX이며 무료 강화가 아닙니다. Growth는 검토용, 강화 코드 변경 시 함께 대조합니다.</x:v>
      </x:c>
    </x:row>
    <x:row r="18" ht="46" customHeight="1">
      <x:c r="A18" s="19" t="str">
        <x:v>수입표</x:v>
      </x:c>
      <x:c r="B18" s="30" t="str">
        <x:v>30분 온라인 + 최대 8시간 단일 오프라인 정산 + 골드 던전 기본 일일권을 비교합니다. 실제 플레이 속도를 보장하는 수치는 아닙니다.</x:v>
      </x:c>
    </x:row>
    <x:row r="19" ht="46" customHeight="1">
      <x:c r="A19" s="19" t="str">
        <x:v>향후 서버</x:v>
      </x:c>
      <x:c r="B19" s="30" t="str">
        <x:v>수치·보상 스냅샷은 같은 카탈로그 해시로 식별합니다. 계정 최초 보상과 던전 반복 보상을 분리하고 기존 청구 키를 유지합니다.</x:v>
      </x:c>
    </x:row>
    <x:row r="20" ht="46" customHeight="1">
      <x:c r="A20" s="19" t="str">
        <x:v>출처</x:v>
      </x:c>
      <x:c r="B20" s="30" t="str">
        <x:v>Stage_Revised.xlsx / 베타개정 (2026-09-13 확정 기획). 프리팹·환경 목록은 Docs/ArtPreparation/Manifests와 대조.</x:v>
      </x:c>
    </x:row>
    <x:row r="21" ht="46" customHeight="1">
      <x:c r="A21" s="19" t="str">
        <x:v>원본 보존</x:v>
      </x:c>
      <x:c r="B21" s="30" t="str">
        <x:v>Assets/ExternalAssets는 Git 제외 원본 보관소입니다. 게임은 _Project/Art 또는 UGUI/Art 작업본만 참조합니다.</x:v>
      </x:c>
    </x:row>
  </x:sheetData>
  <x:pageMargins left="0.7" right="0.7" top="0.75" bottom="0.75" header="0.3" footer="0.3"/>
  <x:tableParts count="1">
    <x:tablePart xmlns:r="http://schemas.openxmlformats.org/officeDocument/2006/relationships" r:id="R000cedcdf6a84122"/>
  </x:tableParts>
</x:worksheet>
</file>